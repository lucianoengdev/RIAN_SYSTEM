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iano Faria\Desktop\Luciano\Programação\TioMarcoAntônio\"/>
    </mc:Choice>
  </mc:AlternateContent>
  <xr:revisionPtr revIDLastSave="0" documentId="8_{97CF9AFB-378C-4D04-9A7E-DC3D0C5BF5C1}" xr6:coauthVersionLast="47" xr6:coauthVersionMax="47" xr10:uidLastSave="{00000000-0000-0000-0000-000000000000}"/>
  <bookViews>
    <workbookView xWindow="-108" yWindow="-108" windowWidth="23256" windowHeight="12456" tabRatio="606" activeTab="15" xr2:uid="{00000000-000D-0000-FFFF-FFFF00000000}"/>
  </bookViews>
  <sheets>
    <sheet name="Res." sheetId="1" r:id="rId1"/>
    <sheet name="T. Fr" sheetId="2" r:id="rId2"/>
    <sheet name="T.Fr. B." sheetId="48" r:id="rId3"/>
    <sheet name="T.Fr.R." sheetId="51" r:id="rId4"/>
    <sheet name="B. Fr" sheetId="4" r:id="rId5"/>
    <sheet name="B.Fr.B." sheetId="49" r:id="rId6"/>
    <sheet name="B.Fr.R." sheetId="52" r:id="rId7"/>
    <sheet name="T. It" sheetId="24" r:id="rId8"/>
    <sheet name="B. It" sheetId="23" r:id="rId9"/>
    <sheet name="T. Es" sheetId="25" r:id="rId10"/>
    <sheet name="B. Es" sheetId="28" r:id="rId11"/>
    <sheet name="T. Pt" sheetId="27" r:id="rId12"/>
    <sheet name="B. Pt" sheetId="26" r:id="rId13"/>
    <sheet name="T. US" sheetId="18" r:id="rId14"/>
    <sheet name="B. US" sheetId="17" r:id="rId15"/>
    <sheet name="T. Aust" sheetId="16" r:id="rId16"/>
  </sheets>
  <definedNames>
    <definedName name="_xlnm._FilterDatabase" localSheetId="10" hidden="1">'B. Es'!$B$3:$L$56</definedName>
    <definedName name="_xlnm._FilterDatabase" localSheetId="4" hidden="1">'B. Fr'!$A$3:$M$37</definedName>
    <definedName name="_xlnm._FilterDatabase" localSheetId="8" hidden="1">'B. It'!$B$3:$L$62</definedName>
    <definedName name="_xlnm._FilterDatabase" localSheetId="12" hidden="1">'B. Pt'!$B$3:$L$132</definedName>
    <definedName name="_xlnm._FilterDatabase" localSheetId="14" hidden="1">'B. US'!$B$3:$L$144</definedName>
    <definedName name="_xlnm._FilterDatabase" localSheetId="5" hidden="1">'B.Fr.B.'!$A$11:$M$428</definedName>
    <definedName name="_xlnm._FilterDatabase" localSheetId="15" hidden="1">'T. Aust'!$A$3:$L$208</definedName>
    <definedName name="_xlnm._FilterDatabase" localSheetId="9" hidden="1">'T. Es'!$A$3:$M$580</definedName>
    <definedName name="_xlnm._FilterDatabase" localSheetId="1" hidden="1">'T. Fr'!$A$1:$L$1062</definedName>
    <definedName name="_xlnm._FilterDatabase" localSheetId="7" hidden="1">'T. It'!$A$3:$L$1020</definedName>
    <definedName name="_xlnm._FilterDatabase" localSheetId="11" hidden="1">'T. Pt'!$A$3:$L$329</definedName>
    <definedName name="_xlnm._FilterDatabase" localSheetId="13" hidden="1">'T. US'!$A$3:$L$668</definedName>
    <definedName name="_xlnm._FilterDatabase" localSheetId="2" hidden="1">'T.Fr. B.'!$A$11:$M$844</definedName>
    <definedName name="_xlnm.Print_Area" localSheetId="10">'B. Es'!$B$11:$K$36</definedName>
    <definedName name="_xlnm.Print_Area" localSheetId="4">'B. Fr'!$B$11:$K$32</definedName>
    <definedName name="_xlnm.Print_Area" localSheetId="8">'B. It'!$B$11:$K$44</definedName>
    <definedName name="_xlnm.Print_Area" localSheetId="12">'B. Pt'!$B$11:$K$114</definedName>
    <definedName name="_xlnm.Print_Area" localSheetId="14">'B. US'!$B$11:$K$124</definedName>
    <definedName name="_xlnm.Print_Area" localSheetId="5">'B.Fr.B.'!$B$11:$K$428</definedName>
    <definedName name="_xlnm.Print_Area" localSheetId="6">'B.Fr.R.'!$B$11:$K$132</definedName>
    <definedName name="_xlnm.Print_Area" localSheetId="0">'Res.'!$B$3:$O$72</definedName>
    <definedName name="_xlnm.Print_Area" localSheetId="15">'T. Aust'!$B$11:$K$200</definedName>
    <definedName name="_xlnm.Print_Area" localSheetId="9">'T. Es'!$B$11:$K$556</definedName>
    <definedName name="_xlnm.Print_Area" localSheetId="1">'T. Fr'!$B$11:$K$1046</definedName>
    <definedName name="_xlnm.Print_Area" localSheetId="7">'T. It'!$B$11:$K$994</definedName>
    <definedName name="_xlnm.Print_Area" localSheetId="11">'T. Pt'!$B$11:$K$312</definedName>
    <definedName name="_xlnm.Print_Area" localSheetId="13">'T. US'!$B$11:$K$644</definedName>
    <definedName name="_xlnm.Print_Area" localSheetId="2">'T.Fr. B.'!$B$11:$K$844</definedName>
    <definedName name="_xlnm.Print_Area" localSheetId="3">'T.Fr.R.'!$B$11:$K$498</definedName>
    <definedName name="_xlnm.Print_Titles" localSheetId="10">'B. Es'!$1:$10</definedName>
    <definedName name="_xlnm.Print_Titles" localSheetId="4">'B. Fr'!$1:$10</definedName>
    <definedName name="_xlnm.Print_Titles" localSheetId="8">'B. It'!$1:$10</definedName>
    <definedName name="_xlnm.Print_Titles" localSheetId="12">'B. Pt'!$1:$10</definedName>
    <definedName name="_xlnm.Print_Titles" localSheetId="14">'B. US'!$1:$10</definedName>
    <definedName name="_xlnm.Print_Titles" localSheetId="5">'B.Fr.B.'!$1:$10</definedName>
    <definedName name="_xlnm.Print_Titles" localSheetId="6">'B.Fr.R.'!$1:$10</definedName>
    <definedName name="_xlnm.Print_Titles" localSheetId="0">'Res.'!$3:$8</definedName>
    <definedName name="_xlnm.Print_Titles" localSheetId="15">'T. Aust'!$1:$10</definedName>
    <definedName name="_xlnm.Print_Titles" localSheetId="9">'T. Es'!$1:$10</definedName>
    <definedName name="_xlnm.Print_Titles" localSheetId="1">'T. Fr'!$1:$10</definedName>
    <definedName name="_xlnm.Print_Titles" localSheetId="7">'T. It'!$1:$10</definedName>
    <definedName name="_xlnm.Print_Titles" localSheetId="11">'T. Pt'!$1:$10</definedName>
    <definedName name="_xlnm.Print_Titles" localSheetId="13">'T. US'!$1:$10</definedName>
    <definedName name="_xlnm.Print_Titles" localSheetId="2">'T.Fr. B.'!$1:$10</definedName>
    <definedName name="_xlnm.Print_Titles" localSheetId="3">'T.Fr.R.'!$1:$10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95" i="51" l="1"/>
  <c r="L437" i="51"/>
  <c r="L117" i="51"/>
  <c r="L475" i="51"/>
  <c r="L463" i="51"/>
  <c r="L243" i="51"/>
  <c r="L481" i="51"/>
  <c r="M481" i="51"/>
  <c r="M495" i="51" l="1"/>
  <c r="M463" i="51"/>
  <c r="L497" i="51"/>
  <c r="M475" i="51"/>
  <c r="M439" i="51" l="1"/>
  <c r="M497" i="51" s="1"/>
  <c r="L453" i="25" l="1"/>
  <c r="L553" i="25"/>
  <c r="L507" i="25"/>
  <c r="L197" i="25" l="1"/>
  <c r="L173" i="25"/>
  <c r="M557" i="25" l="1"/>
  <c r="L557" i="25" s="1"/>
  <c r="N13" i="1"/>
  <c r="N59" i="1" l="1"/>
  <c r="L427" i="49"/>
  <c r="L843" i="48"/>
  <c r="M843" i="48"/>
  <c r="N29" i="1"/>
  <c r="L31" i="4"/>
  <c r="M1045" i="2"/>
  <c r="L309" i="27" l="1"/>
  <c r="L397" i="24"/>
  <c r="N51" i="1"/>
  <c r="L847" i="48"/>
  <c r="L117" i="52"/>
  <c r="L147" i="27"/>
  <c r="N23" i="1"/>
  <c r="L231" i="2"/>
  <c r="L431" i="49"/>
  <c r="L637" i="2"/>
  <c r="N57" i="1"/>
  <c r="L81" i="52"/>
  <c r="L549" i="24"/>
  <c r="L991" i="24"/>
  <c r="N27" i="1"/>
  <c r="N25" i="1"/>
  <c r="N47" i="1"/>
  <c r="L129" i="52"/>
  <c r="N61" i="1"/>
  <c r="L35" i="4"/>
  <c r="N45" i="1"/>
  <c r="N43" i="1"/>
  <c r="N21" i="1"/>
  <c r="L657" i="24"/>
  <c r="L903" i="24"/>
  <c r="N17" i="1"/>
  <c r="N55" i="1"/>
  <c r="L227" i="27"/>
  <c r="L549" i="2"/>
  <c r="L325" i="2"/>
  <c r="L1043" i="2"/>
  <c r="L405" i="2"/>
  <c r="L539" i="2"/>
  <c r="L797" i="2"/>
  <c r="L45" i="23"/>
  <c r="N53" i="1"/>
  <c r="N49" i="1"/>
  <c r="N41" i="1"/>
  <c r="L115" i="26"/>
  <c r="M969" i="24" l="1"/>
  <c r="L967" i="24"/>
  <c r="M995" i="24"/>
  <c r="N65" i="1"/>
  <c r="N19" i="1"/>
  <c r="L59" i="52"/>
  <c r="L131" i="52" s="1"/>
  <c r="L135" i="52" s="1"/>
  <c r="N39" i="1"/>
  <c r="N63" i="1" s="1"/>
  <c r="N67" i="1"/>
  <c r="N31" i="1"/>
  <c r="N69" i="1"/>
  <c r="M991" i="24"/>
  <c r="M313" i="27"/>
  <c r="L313" i="27" s="1"/>
  <c r="N11" i="1"/>
  <c r="L1049" i="2"/>
  <c r="L1045" i="2"/>
  <c r="N15" i="1" l="1"/>
  <c r="M551" i="24"/>
  <c r="L501" i="51"/>
  <c r="M905" i="24"/>
  <c r="N9" i="1"/>
  <c r="N995" i="24" l="1"/>
  <c r="N33" i="1"/>
  <c r="N71" i="1" s="1"/>
  <c r="O74" i="1" l="1"/>
  <c r="O71" i="1"/>
</calcChain>
</file>

<file path=xl/sharedStrings.xml><?xml version="1.0" encoding="utf-8"?>
<sst xmlns="http://schemas.openxmlformats.org/spreadsheetml/2006/main" count="4982" uniqueCount="2008">
  <si>
    <t>15 - 55</t>
  </si>
  <si>
    <t>11 - 20</t>
  </si>
  <si>
    <t>94 - 95</t>
  </si>
  <si>
    <t>91 - 92</t>
  </si>
  <si>
    <t>TOTAL DE CHAMPAGNE</t>
  </si>
  <si>
    <t>TOTAL DE FORTIFICADOS</t>
  </si>
  <si>
    <t>TOTAL DE VINHOS TINTOS, VINHOS BRANCOS, FORTICADOS E CHAMPAGNE</t>
  </si>
  <si>
    <t>10 - 50</t>
  </si>
  <si>
    <t>Lagrange</t>
  </si>
  <si>
    <t>Haut-Bailly</t>
  </si>
  <si>
    <t>96 - 98</t>
  </si>
  <si>
    <t>La Couspaude</t>
  </si>
  <si>
    <t>Etude - C.S.</t>
  </si>
  <si>
    <t>La Gomerie</t>
  </si>
  <si>
    <t>Malescot - St. Exupery</t>
  </si>
  <si>
    <t>12 - 30</t>
  </si>
  <si>
    <t>09 - 32</t>
  </si>
  <si>
    <t>11 - 41</t>
  </si>
  <si>
    <t>Pintas</t>
  </si>
  <si>
    <t>Petrus</t>
  </si>
  <si>
    <t>La Mondotte</t>
  </si>
  <si>
    <t>Clos Dalmasso</t>
  </si>
  <si>
    <t>12 - 35</t>
  </si>
  <si>
    <t>12 - 37</t>
  </si>
  <si>
    <t>Paul Jaboulet Ainé - La Chapelle</t>
  </si>
  <si>
    <t>16 - 35</t>
  </si>
  <si>
    <t>15 - 45</t>
  </si>
  <si>
    <t>Vieux Chateau Mazerat</t>
  </si>
  <si>
    <t>TOTAL DE VINHOS DOCES</t>
  </si>
  <si>
    <t>Louis Jadot - Corton Charlemagne - G C</t>
  </si>
  <si>
    <t xml:space="preserve">Fojo </t>
  </si>
  <si>
    <t>05 - 35</t>
  </si>
  <si>
    <t>94 - 09</t>
  </si>
  <si>
    <t>03 - 25</t>
  </si>
  <si>
    <t>09 - 24</t>
  </si>
  <si>
    <t>09 - 25</t>
  </si>
  <si>
    <t>03 - 20</t>
  </si>
  <si>
    <t>97 - 12</t>
  </si>
  <si>
    <t>09 - 19</t>
  </si>
  <si>
    <t>20 - 60</t>
  </si>
  <si>
    <t>03 - 45</t>
  </si>
  <si>
    <t xml:space="preserve"> 18 - 38</t>
  </si>
  <si>
    <t>98 - 100</t>
  </si>
  <si>
    <t>99 - 19</t>
  </si>
  <si>
    <t>95 - 97</t>
  </si>
  <si>
    <t>04 - 29</t>
  </si>
  <si>
    <t>09 - 37</t>
  </si>
  <si>
    <t>13 - 43</t>
  </si>
  <si>
    <t>95 - 98</t>
  </si>
  <si>
    <t>14 - 64</t>
  </si>
  <si>
    <t>14 - 35</t>
  </si>
  <si>
    <t>09 - 34</t>
  </si>
  <si>
    <t>12 - 42</t>
  </si>
  <si>
    <t>11 - 31</t>
  </si>
  <si>
    <t>03 - 11</t>
  </si>
  <si>
    <t>08 - 33</t>
  </si>
  <si>
    <t xml:space="preserve">La Mission - Haut-Brion </t>
  </si>
  <si>
    <t>Marojallia</t>
  </si>
  <si>
    <t>95 - 100</t>
  </si>
  <si>
    <t>Gracia</t>
  </si>
  <si>
    <t xml:space="preserve">Ausone </t>
  </si>
  <si>
    <t>89 - 91</t>
  </si>
  <si>
    <t>05 - 30</t>
  </si>
  <si>
    <t>20 - 35</t>
  </si>
  <si>
    <t xml:space="preserve">Araujo - Eisele Vineyard - C.S. </t>
  </si>
  <si>
    <t>Valandraud</t>
  </si>
  <si>
    <t>Gloria</t>
  </si>
  <si>
    <t>14 - 44</t>
  </si>
  <si>
    <t>94 - 96</t>
  </si>
  <si>
    <t>17 - 35</t>
  </si>
  <si>
    <t>Rayas - Réservé</t>
  </si>
  <si>
    <t xml:space="preserve">La Lagune </t>
  </si>
  <si>
    <t xml:space="preserve">Pavie Decesse </t>
  </si>
  <si>
    <t>Branon</t>
  </si>
  <si>
    <t>93 - 95</t>
  </si>
  <si>
    <t>Ramonet - Batard Montrachet</t>
  </si>
  <si>
    <t>ST. EMILION (continuação)</t>
  </si>
  <si>
    <t>Lafleur</t>
  </si>
  <si>
    <t>10 - 24</t>
  </si>
  <si>
    <t>11 - 35</t>
  </si>
  <si>
    <t>Jean Louis Chave</t>
  </si>
  <si>
    <t>Beaucastel</t>
  </si>
  <si>
    <t xml:space="preserve">Vinho </t>
  </si>
  <si>
    <t>Estoque</t>
  </si>
  <si>
    <t>Safra</t>
  </si>
  <si>
    <t>TINTO</t>
  </si>
  <si>
    <t>BORDEAUX</t>
  </si>
  <si>
    <t>BOURGOGNE</t>
  </si>
  <si>
    <t>BRANCO</t>
  </si>
  <si>
    <t>ALSACE</t>
  </si>
  <si>
    <t>R.P.</t>
  </si>
  <si>
    <t>Beber</t>
  </si>
  <si>
    <t>ALENTEJO</t>
  </si>
  <si>
    <t>DOURO</t>
  </si>
  <si>
    <t>RIOJA</t>
  </si>
  <si>
    <t>14 - 29</t>
  </si>
  <si>
    <t>11 - 24</t>
  </si>
  <si>
    <t>Pais</t>
  </si>
  <si>
    <t xml:space="preserve">FRANÇA </t>
  </si>
  <si>
    <t>PORTUGAL</t>
  </si>
  <si>
    <t>Vale D' Algares</t>
  </si>
  <si>
    <t>ESPANHA</t>
  </si>
  <si>
    <t xml:space="preserve">CHILE </t>
  </si>
  <si>
    <t>ARGENTINA</t>
  </si>
  <si>
    <t>ALEMANHA</t>
  </si>
  <si>
    <t>ITÁLIA</t>
  </si>
  <si>
    <t>ESTADOS UNIDOS DA AMÉRICA</t>
  </si>
  <si>
    <t>AUSTRÁLIA</t>
  </si>
  <si>
    <t>NOVA ZELÂNDIA</t>
  </si>
  <si>
    <t xml:space="preserve">ÁFRICA DO SUL </t>
  </si>
  <si>
    <t>07 - 35</t>
  </si>
  <si>
    <t>TOTAL DE VINHOS TINTOS</t>
  </si>
  <si>
    <t>TOTAL DE VINHOS BRANCOS</t>
  </si>
  <si>
    <t>03 - 15</t>
  </si>
  <si>
    <t>00 - 12</t>
  </si>
  <si>
    <t>01 - 17</t>
  </si>
  <si>
    <t>04 - 30</t>
  </si>
  <si>
    <t>05 - 40</t>
  </si>
  <si>
    <t>Pintia</t>
  </si>
  <si>
    <t>Alion</t>
  </si>
  <si>
    <t>Sociando-Mallet - Haut Médoc.</t>
  </si>
  <si>
    <t>09 - 20</t>
  </si>
  <si>
    <t>07 - 30</t>
  </si>
  <si>
    <t>15 - 50</t>
  </si>
  <si>
    <t>15 - 30</t>
  </si>
  <si>
    <t>03 - 30</t>
  </si>
  <si>
    <t>09 - 30</t>
  </si>
  <si>
    <t>13 - 25</t>
  </si>
  <si>
    <t>05 - 27</t>
  </si>
  <si>
    <t>07 - 18</t>
  </si>
  <si>
    <t>11 - 36</t>
  </si>
  <si>
    <t>08 - 16</t>
  </si>
  <si>
    <t xml:space="preserve">     - 15</t>
  </si>
  <si>
    <t xml:space="preserve">     - 20</t>
  </si>
  <si>
    <t>Vieux Chateau Certan</t>
  </si>
  <si>
    <t>08 - 30</t>
  </si>
  <si>
    <t>08 - 25</t>
  </si>
  <si>
    <t>06 - 20</t>
  </si>
  <si>
    <t>03 - 18</t>
  </si>
  <si>
    <t>06 - 25</t>
  </si>
  <si>
    <t>01 - 25</t>
  </si>
  <si>
    <t>06 - 30</t>
  </si>
  <si>
    <t>Lafite Rothschild</t>
  </si>
  <si>
    <t xml:space="preserve">Mouton Rothschild </t>
  </si>
  <si>
    <t xml:space="preserve">Latour </t>
  </si>
  <si>
    <t>Mouton Rothschild</t>
  </si>
  <si>
    <t xml:space="preserve">Pichon Longueville Comtesse de Lalande </t>
  </si>
  <si>
    <t>Pape Clement</t>
  </si>
  <si>
    <t>Smith Haut Lafitte</t>
  </si>
  <si>
    <t>Cos D'Estournel</t>
  </si>
  <si>
    <t>Montrose</t>
  </si>
  <si>
    <t>Branaire - Ducru</t>
  </si>
  <si>
    <t>Gruaud Larose</t>
  </si>
  <si>
    <t>POMEROL</t>
  </si>
  <si>
    <t>Petit Village</t>
  </si>
  <si>
    <t>Le Gay</t>
  </si>
  <si>
    <t>Hosanna</t>
  </si>
  <si>
    <t>Troplong Mondot</t>
  </si>
  <si>
    <t>CÔTE ROTIE</t>
  </si>
  <si>
    <t>HERMITAGE</t>
  </si>
  <si>
    <t>CORNAS</t>
  </si>
  <si>
    <t>A .  Clape</t>
  </si>
  <si>
    <t>VAL DU LOIRE</t>
  </si>
  <si>
    <t xml:space="preserve">Latour  </t>
  </si>
  <si>
    <t xml:space="preserve">Duhart - Milon </t>
  </si>
  <si>
    <t>Pichon Longueville Comtesse de Lalande</t>
  </si>
  <si>
    <t>Pontet-Canet</t>
  </si>
  <si>
    <t xml:space="preserve">Haut-Brion </t>
  </si>
  <si>
    <t>Margaux</t>
  </si>
  <si>
    <t xml:space="preserve">Margaux </t>
  </si>
  <si>
    <t>Palmer</t>
  </si>
  <si>
    <t>Prieuré Lichine</t>
  </si>
  <si>
    <t xml:space="preserve">Cos D'Estournel </t>
  </si>
  <si>
    <t>Ducru Beaucaillou</t>
  </si>
  <si>
    <t>Léoville Las Cases</t>
  </si>
  <si>
    <t>Léoville Poyferré</t>
  </si>
  <si>
    <t>Léoville Barton</t>
  </si>
  <si>
    <t>Clinet</t>
  </si>
  <si>
    <t xml:space="preserve">Monbousquet </t>
  </si>
  <si>
    <t xml:space="preserve">Pavie </t>
  </si>
  <si>
    <t>Angelus</t>
  </si>
  <si>
    <t>Clos Fourtet</t>
  </si>
  <si>
    <t>CHÂTEAUNEUF DU PAPE</t>
  </si>
  <si>
    <t>96 - 97</t>
  </si>
  <si>
    <t xml:space="preserve">Clos Des Papes </t>
  </si>
  <si>
    <t>Clos Des Papes</t>
  </si>
  <si>
    <t>OUTRAS REGIÕES</t>
  </si>
  <si>
    <t>Marqués de Cáceres - Gran Reserva</t>
  </si>
  <si>
    <t>PRIORAT</t>
  </si>
  <si>
    <t>Clos Figueres</t>
  </si>
  <si>
    <t>Clos Mogador</t>
  </si>
  <si>
    <t>DOURO (continuação)</t>
  </si>
  <si>
    <t>W.S.</t>
  </si>
  <si>
    <t>08 - 28</t>
  </si>
  <si>
    <t>Pichon Longueville Baron</t>
  </si>
  <si>
    <t>Pêra Manca</t>
  </si>
  <si>
    <t>Tapada do Chaves - Reserva</t>
  </si>
  <si>
    <t xml:space="preserve">Grange  - Penfolds - Barossa Valley - Shiraz </t>
  </si>
  <si>
    <t>The Dead Arm - D'Arenberg - Mc Laren Valley - Shiraz</t>
  </si>
  <si>
    <t>Mitolo - G.A.M. - McLaren Valley - Shiraz</t>
  </si>
  <si>
    <t>Mitolo - Savitar - McLaren Valley - Shiraz</t>
  </si>
  <si>
    <t>Amon-Ra - Glaetzer Wines - Barossa Valley - Shiraz</t>
  </si>
  <si>
    <t>Quinta do Crasto  - Touriga Nacional</t>
  </si>
  <si>
    <t>Chryseia</t>
  </si>
  <si>
    <t>Quinta do Vale Meão</t>
  </si>
  <si>
    <t xml:space="preserve">Batuta </t>
  </si>
  <si>
    <t xml:space="preserve">Charme </t>
  </si>
  <si>
    <t>Cheval Blanc</t>
  </si>
  <si>
    <t>BRASIL + OUTROS</t>
  </si>
  <si>
    <t>Paul Hobbs - Beckstoffer To Kalon - C. S.</t>
  </si>
  <si>
    <t>Paul Hobbs - Beckstoffer Dr Crane - C.S.</t>
  </si>
  <si>
    <t>Caymus - Special Selection - C.S.</t>
  </si>
  <si>
    <t>B. V. Georges De Latour - Beaulieu Vineyard - C.S.</t>
  </si>
  <si>
    <t>Laforge</t>
  </si>
  <si>
    <t>RIOJA  (continuação)</t>
  </si>
  <si>
    <t>12 - 45</t>
  </si>
  <si>
    <t>15 - 35</t>
  </si>
  <si>
    <t>Ramonet - Bienvenue Batard Montrachet</t>
  </si>
  <si>
    <t>L' Eglise-Clinet</t>
  </si>
  <si>
    <t xml:space="preserve">Domaine de Chevalier - Pessac Leognan </t>
  </si>
  <si>
    <t>Les Astéries</t>
  </si>
  <si>
    <t>Paul Hobbs - Carneros - Napa Valley -  C. S.</t>
  </si>
  <si>
    <t>10 - 20</t>
  </si>
  <si>
    <t>02 - 22</t>
  </si>
  <si>
    <t>07 - 25</t>
  </si>
  <si>
    <t>10 - 30</t>
  </si>
  <si>
    <t>10 - 40</t>
  </si>
  <si>
    <t>20 - 40</t>
  </si>
  <si>
    <t>11 - 22</t>
  </si>
  <si>
    <t>Beaucastel - Hommage A Jacques Perrin</t>
  </si>
  <si>
    <t>05 - 16</t>
  </si>
  <si>
    <t>07 - 20</t>
  </si>
  <si>
    <t>07 - 17</t>
  </si>
  <si>
    <t>08 - 23</t>
  </si>
  <si>
    <t>05 - 17</t>
  </si>
  <si>
    <t>08 - 18</t>
  </si>
  <si>
    <t>12 - 25</t>
  </si>
  <si>
    <t>08 - 38</t>
  </si>
  <si>
    <t>now -17</t>
  </si>
  <si>
    <t>09 - 21</t>
  </si>
  <si>
    <t>12 - 28</t>
  </si>
  <si>
    <t>D' Issan</t>
  </si>
  <si>
    <t xml:space="preserve">Aalto </t>
  </si>
  <si>
    <t>Abadia Retuerta - Pago Negralada</t>
  </si>
  <si>
    <t>BOURGOGNE (continuação)</t>
  </si>
  <si>
    <t>Alonso Del Yerro</t>
  </si>
  <si>
    <t/>
  </si>
  <si>
    <t>10 - 17</t>
  </si>
  <si>
    <t>15 - 40</t>
  </si>
  <si>
    <t>12 - 32</t>
  </si>
  <si>
    <t>10 - 35</t>
  </si>
  <si>
    <t>14 - 24</t>
  </si>
  <si>
    <t xml:space="preserve">     - 16</t>
  </si>
  <si>
    <t xml:space="preserve">     - 11</t>
  </si>
  <si>
    <t xml:space="preserve">     - 22</t>
  </si>
  <si>
    <t xml:space="preserve">     - 19</t>
  </si>
  <si>
    <t>10 - 25</t>
  </si>
  <si>
    <t>18 - 50</t>
  </si>
  <si>
    <t>18 - 45</t>
  </si>
  <si>
    <t>14 - 30</t>
  </si>
  <si>
    <t>13 - 27</t>
  </si>
  <si>
    <t>18 - 40</t>
  </si>
  <si>
    <t>12 - 27</t>
  </si>
  <si>
    <t>15 - 25</t>
  </si>
  <si>
    <t>18 - 35</t>
  </si>
  <si>
    <t>20 - 45</t>
  </si>
  <si>
    <t>20 - 50</t>
  </si>
  <si>
    <t>16 - 30</t>
  </si>
  <si>
    <t>10 - 22</t>
  </si>
  <si>
    <t>La Gaffelière</t>
  </si>
  <si>
    <t>La Fleur de Gay</t>
  </si>
  <si>
    <t>Brane - Cantenac</t>
  </si>
  <si>
    <t>BOURGOGNE ( continuação )</t>
  </si>
  <si>
    <t>Mouchão - Tonel 3, 4</t>
  </si>
  <si>
    <t>Aalto PS</t>
  </si>
  <si>
    <t xml:space="preserve">El Nido - Jumilla </t>
  </si>
  <si>
    <t>92 - 95</t>
  </si>
  <si>
    <t>10 - 23</t>
  </si>
  <si>
    <t>Trotanoy</t>
  </si>
  <si>
    <t>L' Evangile</t>
  </si>
  <si>
    <t>Lascombes</t>
  </si>
  <si>
    <t>La Conseillante</t>
  </si>
  <si>
    <t>12 - 40</t>
  </si>
  <si>
    <t>11 - 26</t>
  </si>
  <si>
    <t>Grand - Puy - Lacoste</t>
  </si>
  <si>
    <t>09 - 27</t>
  </si>
  <si>
    <t>CHÂTEAUNEUF DU PAPE  (continuação)</t>
  </si>
  <si>
    <t xml:space="preserve">     - 21</t>
  </si>
  <si>
    <t xml:space="preserve">     - 35</t>
  </si>
  <si>
    <t xml:space="preserve">BORDEAUX </t>
  </si>
  <si>
    <t>Antonino Izquierdo</t>
  </si>
  <si>
    <t>Ausone</t>
  </si>
  <si>
    <t>11 - 30</t>
  </si>
  <si>
    <t>Le Dôme</t>
  </si>
  <si>
    <t xml:space="preserve">     - 25</t>
  </si>
  <si>
    <t>12 - 50</t>
  </si>
  <si>
    <t xml:space="preserve">     - 17</t>
  </si>
  <si>
    <t>10 - 45</t>
  </si>
  <si>
    <t>Pingus</t>
  </si>
  <si>
    <t>92 - 94</t>
  </si>
  <si>
    <t>E. Guigal</t>
  </si>
  <si>
    <t>Cartuxa Reserva</t>
  </si>
  <si>
    <t>Quinta do Crasto  - Vinhas Velhas</t>
  </si>
  <si>
    <t xml:space="preserve">Ramonet - Batard Montrachet </t>
  </si>
  <si>
    <t>90 - 93</t>
  </si>
  <si>
    <t>16 - 36</t>
  </si>
  <si>
    <t>16 - 32</t>
  </si>
  <si>
    <t>03 - 17</t>
  </si>
  <si>
    <t>95 - 25</t>
  </si>
  <si>
    <t>01 - 21</t>
  </si>
  <si>
    <t>02 - 25</t>
  </si>
  <si>
    <t>10 - 28</t>
  </si>
  <si>
    <t>20 - 37</t>
  </si>
  <si>
    <t>16 - 33</t>
  </si>
  <si>
    <t>11 - 25</t>
  </si>
  <si>
    <t>10 - 26</t>
  </si>
  <si>
    <t>16 - 42</t>
  </si>
  <si>
    <t>15 - 27</t>
  </si>
  <si>
    <t>02 - 20</t>
  </si>
  <si>
    <t>15 - 26</t>
  </si>
  <si>
    <t>10 - 32</t>
  </si>
  <si>
    <t>17 - 30</t>
  </si>
  <si>
    <t>16 - 31</t>
  </si>
  <si>
    <t>14 - 34</t>
  </si>
  <si>
    <t>12 - 24</t>
  </si>
  <si>
    <t>17 - 27</t>
  </si>
  <si>
    <t>12 - 21</t>
  </si>
  <si>
    <t>15 - 37</t>
  </si>
  <si>
    <t>11 - 21</t>
  </si>
  <si>
    <t>08 - 35</t>
  </si>
  <si>
    <t>Remirez de Ganuza - Trasnocho</t>
  </si>
  <si>
    <t>Remirez de Ganuza - Reserva</t>
  </si>
  <si>
    <t>Remirez de Ganuza - Gran Reserva</t>
  </si>
  <si>
    <t>03 - 50</t>
  </si>
  <si>
    <t>07 - 24</t>
  </si>
  <si>
    <t>05 - 20</t>
  </si>
  <si>
    <t>94 - 97</t>
  </si>
  <si>
    <t>07 - 37</t>
  </si>
  <si>
    <t>00 - 15</t>
  </si>
  <si>
    <t>00 - 25</t>
  </si>
  <si>
    <t>00 - 30</t>
  </si>
  <si>
    <t>03 - 22</t>
  </si>
  <si>
    <t>16 - 46</t>
  </si>
  <si>
    <t>10 - 18</t>
  </si>
  <si>
    <t>09 - 35</t>
  </si>
  <si>
    <t>07 - 47</t>
  </si>
  <si>
    <t>05 - 21</t>
  </si>
  <si>
    <t>07 - 57</t>
  </si>
  <si>
    <t>08 - 17</t>
  </si>
  <si>
    <t>11 - 19</t>
  </si>
  <si>
    <t>09 - 15</t>
  </si>
  <si>
    <t>14 - 25</t>
  </si>
  <si>
    <t>13 - 26</t>
  </si>
  <si>
    <t>18 - 58</t>
  </si>
  <si>
    <t>16 - 28</t>
  </si>
  <si>
    <t>09 - 18</t>
  </si>
  <si>
    <t>07 - 27</t>
  </si>
  <si>
    <t>96 - 21</t>
  </si>
  <si>
    <t>01 - 18</t>
  </si>
  <si>
    <t>05 - 25</t>
  </si>
  <si>
    <t>09 - 13</t>
  </si>
  <si>
    <t>10 - 37</t>
  </si>
  <si>
    <t>02 - 16</t>
  </si>
  <si>
    <t>09 - 39</t>
  </si>
  <si>
    <t>02 - 17</t>
  </si>
  <si>
    <t xml:space="preserve"> 06 - 19</t>
  </si>
  <si>
    <t>07 - 50</t>
  </si>
  <si>
    <t>16 - 50</t>
  </si>
  <si>
    <t xml:space="preserve"> 06 - 24</t>
  </si>
  <si>
    <t xml:space="preserve"> 06 - 31</t>
  </si>
  <si>
    <t xml:space="preserve"> 05 - 20</t>
  </si>
  <si>
    <t>09 - 40</t>
  </si>
  <si>
    <t>12 - 26</t>
  </si>
  <si>
    <t>91 - 94</t>
  </si>
  <si>
    <t>Les Cailloux - Cuvée Centenaire - Lucien &amp; André Brunel</t>
  </si>
  <si>
    <t>04 - 22</t>
  </si>
  <si>
    <t>96 - 16</t>
  </si>
  <si>
    <t>11 - 46</t>
  </si>
  <si>
    <t>20 - 46</t>
  </si>
  <si>
    <t>TORO</t>
  </si>
  <si>
    <t xml:space="preserve">RIBERA DEL DUERO </t>
  </si>
  <si>
    <t>RIBERA DEL DUERO (continuação)</t>
  </si>
  <si>
    <t>13 - 30</t>
  </si>
  <si>
    <t>10 - 38</t>
  </si>
  <si>
    <t>Le Pin</t>
  </si>
  <si>
    <t>Monbousquet</t>
  </si>
  <si>
    <t>La Fleur-Petrus</t>
  </si>
  <si>
    <t>06 - 36</t>
  </si>
  <si>
    <t>16 - 41</t>
  </si>
  <si>
    <t>Canon</t>
  </si>
  <si>
    <t>Clos L' Eglise</t>
  </si>
  <si>
    <t>Robustus - Niepoort</t>
  </si>
  <si>
    <t>Marqués de Murrieta - Castillo Ygay - Gran Reserva</t>
  </si>
  <si>
    <t>Kistler - Sonoma Chardonnay Cuvee Cathleen</t>
  </si>
  <si>
    <t>96 - 100</t>
  </si>
  <si>
    <t>03 - 40</t>
  </si>
  <si>
    <t>05 - 14</t>
  </si>
  <si>
    <t>Clos Saint Jean - Deus-Ex Machina</t>
  </si>
  <si>
    <t>03 - 12</t>
  </si>
  <si>
    <t>03 - 35</t>
  </si>
  <si>
    <t>00 - 20</t>
  </si>
  <si>
    <t>06 - 21</t>
  </si>
  <si>
    <t xml:space="preserve">Grange  - Penfolds - Barossa Valley -  Shiraz </t>
  </si>
  <si>
    <t>Bin 707 - Penfolds - Barossa Valley - C. S.</t>
  </si>
  <si>
    <t>The Coppermine Road - Mc Laren Valley - C. S.</t>
  </si>
  <si>
    <t>Chris Ringland - Shiraz - Ex - Three rivers</t>
  </si>
  <si>
    <t xml:space="preserve">Beausejour-Becot </t>
  </si>
  <si>
    <t>Beausejour - Duffau - Lagarosse</t>
  </si>
  <si>
    <t>09 - 29</t>
  </si>
  <si>
    <t>RHÔNE</t>
  </si>
  <si>
    <t>10 - 16</t>
  </si>
  <si>
    <t>Clos Saint Jean - La Combe Des Fous</t>
  </si>
  <si>
    <t>Greenock Creek - Creek Block Shiraz</t>
  </si>
  <si>
    <t>12 - 20</t>
  </si>
  <si>
    <t>13 - 23</t>
  </si>
  <si>
    <t>16 - 26</t>
  </si>
  <si>
    <t>01 - 26</t>
  </si>
  <si>
    <t>22 - 47</t>
  </si>
  <si>
    <t>21 - 31</t>
  </si>
  <si>
    <t>18 - 38</t>
  </si>
  <si>
    <t>14 - 22</t>
  </si>
  <si>
    <t>12 - 22</t>
  </si>
  <si>
    <t xml:space="preserve">Magrez Fombrauge </t>
  </si>
  <si>
    <t>Greenock Creek - Roennfeldt Road - Shiraz</t>
  </si>
  <si>
    <t>Greenock Creek - Creek Block - Shiraz</t>
  </si>
  <si>
    <t>06 - 16</t>
  </si>
  <si>
    <t>07 - 22</t>
  </si>
  <si>
    <t>Bellevue Mondotte</t>
  </si>
  <si>
    <t>Lynch Bages</t>
  </si>
  <si>
    <t>ADEGA RICARDO SENA</t>
  </si>
  <si>
    <t>VINHOS DA FRANÇA</t>
  </si>
  <si>
    <t>VINHOS DE PORTUGAL</t>
  </si>
  <si>
    <t>VINHOS DA ESPANHA</t>
  </si>
  <si>
    <t>VINHOS DA ITÁLIA</t>
  </si>
  <si>
    <t>VINHOS DOS ESTADOS UNIDOS</t>
  </si>
  <si>
    <t>VINHOS DA AUSTRÁLIA</t>
  </si>
  <si>
    <t>Jean Louis Chave - Hermitage</t>
  </si>
  <si>
    <t>Muga - Prado Enea - Reserva</t>
  </si>
  <si>
    <t xml:space="preserve">Marcassin Three sisters Sonoma Coast Chardonnay </t>
  </si>
  <si>
    <t>02 - 27</t>
  </si>
  <si>
    <t>03 - 23</t>
  </si>
  <si>
    <t>17 - 47</t>
  </si>
  <si>
    <t>Dalla Valle Maya - Napa Valley - C.S. / C.F.</t>
  </si>
  <si>
    <t>98 - 19</t>
  </si>
  <si>
    <t>22 - 50</t>
  </si>
  <si>
    <t>01 - 30</t>
  </si>
  <si>
    <t>07 - 32</t>
  </si>
  <si>
    <t xml:space="preserve">Lokoya - Diamond Mountain - Napa Valley - C.S. </t>
  </si>
  <si>
    <t xml:space="preserve">Lokoya - Howell Mountain - Napa Valley - C.S. </t>
  </si>
  <si>
    <t xml:space="preserve">Lokoya - Mount Veeder - Napa Valley - C.S. </t>
  </si>
  <si>
    <t>10 - 41</t>
  </si>
  <si>
    <t>16 - 56</t>
  </si>
  <si>
    <t>11 - 38</t>
  </si>
  <si>
    <t>Quilceda Creek - Washington - C.S.</t>
  </si>
  <si>
    <t>06 - 22</t>
  </si>
  <si>
    <t>17 - 45</t>
  </si>
  <si>
    <t>Stag's Leap - Wine Cellers - Cask - 23 - C.S.</t>
  </si>
  <si>
    <t>Bryant Family - Napa Valley - CS</t>
  </si>
  <si>
    <t>Abreu - Madrona Ranch - Napa Valley -  C. S.</t>
  </si>
  <si>
    <t>01 - 31</t>
  </si>
  <si>
    <t>06 - 26</t>
  </si>
  <si>
    <t>06 - 31</t>
  </si>
  <si>
    <t xml:space="preserve">Harlan Estate - Napa Valley - C. S. </t>
  </si>
  <si>
    <t>Colgin - Tychson Vineyard - Napa Valley - C. S.</t>
  </si>
  <si>
    <t>Colgin - IX - Estate - Napa Valley - Syrah</t>
  </si>
  <si>
    <t>06 - 14</t>
  </si>
  <si>
    <t>Outpost - Howell Mountain - Napa Valley - C.S.</t>
  </si>
  <si>
    <t>04 - 19</t>
  </si>
  <si>
    <t>05 - 15</t>
  </si>
  <si>
    <t xml:space="preserve">Sine Qua Non - Papa - Sta Rita Hills - Syrah </t>
  </si>
  <si>
    <t>11 - 28</t>
  </si>
  <si>
    <t>Scarecrow - Napa Valley - C. S.</t>
  </si>
  <si>
    <t>99 - 27</t>
  </si>
  <si>
    <t>97 - 27</t>
  </si>
  <si>
    <t>Cayuse Bionic Frog - W. Walla Valley - Oregon - Syrah</t>
  </si>
  <si>
    <t>10 - 27</t>
  </si>
  <si>
    <t>Domenico Clerico - Percristina</t>
  </si>
  <si>
    <t xml:space="preserve">Ceretto - Bricco Rocche </t>
  </si>
  <si>
    <t>Giacomo Conterno - Riserva Monfortino</t>
  </si>
  <si>
    <t>21 - 41</t>
  </si>
  <si>
    <t>27 - 52</t>
  </si>
  <si>
    <t>Domenico Clerico - Ciabot Mentin Ginestra</t>
  </si>
  <si>
    <t>Antinori - Bussia Prunotto</t>
  </si>
  <si>
    <t>09 - 22</t>
  </si>
  <si>
    <t>Roberto Voerzio - La Serra</t>
  </si>
  <si>
    <t>Roberto Voerzio - Cerequio</t>
  </si>
  <si>
    <t>Roberto Voerzio - Rocche dell' Annunziata Torriglione</t>
  </si>
  <si>
    <t>Roberto Voerzio - Brunate - La Morra</t>
  </si>
  <si>
    <t xml:space="preserve">Paolo Scavino - Bric Del Fiasc </t>
  </si>
  <si>
    <t>12 - 29</t>
  </si>
  <si>
    <t>10 - 14</t>
  </si>
  <si>
    <t xml:space="preserve">Vietti - Villero Riserva </t>
  </si>
  <si>
    <t>19 - 34</t>
  </si>
  <si>
    <t>Giacomo Conterno - Cascina Francia</t>
  </si>
  <si>
    <t xml:space="preserve">Giacomo Fenocchio - Bussia </t>
  </si>
  <si>
    <t>93 - 08</t>
  </si>
  <si>
    <t>10 - 15</t>
  </si>
  <si>
    <t>Luciano Sandrone - Cannubi Boschis</t>
  </si>
  <si>
    <t>Luciano Sandrone - Le Vigne</t>
  </si>
  <si>
    <t>Giuseppe Mascarello  - Monprivato</t>
  </si>
  <si>
    <t>15 - 31</t>
  </si>
  <si>
    <t>Bruno Giacosa - Santo Stefano Di Neive</t>
  </si>
  <si>
    <t>Bruno Giacosa - Rabajà' Di Barbaresco</t>
  </si>
  <si>
    <t xml:space="preserve">Bruno Rocca - Rabajà </t>
  </si>
  <si>
    <t>Gaja - Sorì San Lorenzo</t>
  </si>
  <si>
    <t>Gaja - Sorì Tildìn</t>
  </si>
  <si>
    <t>Gaja - Sperss</t>
  </si>
  <si>
    <t>04 - 36</t>
  </si>
  <si>
    <t xml:space="preserve">Gaja - Costa Russi </t>
  </si>
  <si>
    <t>12 - 19</t>
  </si>
  <si>
    <t xml:space="preserve"> 04 - 24</t>
  </si>
  <si>
    <t xml:space="preserve"> 06 - 36</t>
  </si>
  <si>
    <t xml:space="preserve"> 02 - 18</t>
  </si>
  <si>
    <t xml:space="preserve"> 01 - 21</t>
  </si>
  <si>
    <t xml:space="preserve"> 01 - 25</t>
  </si>
  <si>
    <t xml:space="preserve"> 11 - 25</t>
  </si>
  <si>
    <t>Two Hands Wines - Ares - Shiraz</t>
  </si>
  <si>
    <t xml:space="preserve"> 05 - 25</t>
  </si>
  <si>
    <t xml:space="preserve">Two Hands Wines - Aphrodite _ C.S. </t>
  </si>
  <si>
    <t>Torbreck - Barossa Valley - RunRig - Shiraz</t>
  </si>
  <si>
    <t xml:space="preserve"> 10 - 20</t>
  </si>
  <si>
    <t xml:space="preserve"> 09 - 19</t>
  </si>
  <si>
    <t xml:space="preserve"> 09 - 24</t>
  </si>
  <si>
    <t xml:space="preserve"> 07 - 20</t>
  </si>
  <si>
    <t>Torbreck - Barossa Valley - Les Amis - Grenache</t>
  </si>
  <si>
    <t xml:space="preserve"> 06 - 26</t>
  </si>
  <si>
    <t>Torbreck - Barossa Valley - Descendant - Shiraz/Viognier</t>
  </si>
  <si>
    <t>Torbreck - Barossa Valley - The Factor - Shiraz</t>
  </si>
  <si>
    <t>Clarendon Hills - Astralis - Shiraz</t>
  </si>
  <si>
    <t xml:space="preserve"> 13 - 20</t>
  </si>
  <si>
    <t xml:space="preserve"> 13 - 22</t>
  </si>
  <si>
    <t>E Guigal - La Mouline</t>
  </si>
  <si>
    <t>E Guigal - La Turque</t>
  </si>
  <si>
    <t>E Guigal - La Landonne</t>
  </si>
  <si>
    <t>M. Chapoutier - La Mordoree</t>
  </si>
  <si>
    <t xml:space="preserve">M. Chapoutier - La Sizeranne </t>
  </si>
  <si>
    <t>M. Chapoutier - Le Méal</t>
  </si>
  <si>
    <t>M. Chapoutier - L'Ermite</t>
  </si>
  <si>
    <t>M. Chapoutier - Le Pavillon</t>
  </si>
  <si>
    <t>E. Guigal - Ex Voto</t>
  </si>
  <si>
    <t>M. Sorrel - Le Gréal</t>
  </si>
  <si>
    <t>06 - ?</t>
  </si>
  <si>
    <t>Smith Haut Lafitte - Pessac Leognan</t>
  </si>
  <si>
    <t>Chateau Valoux - Pessac Leognan</t>
  </si>
  <si>
    <t>Leroy - Meursault- Les Poruzots P. C.</t>
  </si>
  <si>
    <t>Jacques Prieur - Montrachet - G C</t>
  </si>
  <si>
    <t>Nicolas Potel - Criots-Bâtard-Montrachet - G C</t>
  </si>
  <si>
    <t>Jean Chartron - Corton-Charlemagne - G C</t>
  </si>
  <si>
    <t>E. Guigal - Ex voto - Ermitage</t>
  </si>
  <si>
    <t>Nicolas Joly - Savennières - Coulée de Serrant</t>
  </si>
  <si>
    <t>Coop. De Borba - Cinquentenário</t>
  </si>
  <si>
    <t>Herdade do Esporão - 1 Premio</t>
  </si>
  <si>
    <t>Casa Ferreirinha - Reserva</t>
  </si>
  <si>
    <t xml:space="preserve">Casa Ferreirinha - Reserva Especial </t>
  </si>
  <si>
    <t>Quinta da Leda - Casa Ferreirinha</t>
  </si>
  <si>
    <t>Barca Velha - Casa Ferreirinha</t>
  </si>
  <si>
    <t>91 - 93</t>
  </si>
  <si>
    <t>95 - 96</t>
  </si>
  <si>
    <t>Michel Niellon - Chevalier -Montrachet  G. C.</t>
  </si>
  <si>
    <t>Bartolo Mascarello</t>
  </si>
  <si>
    <t>Aldo Conterno - Colonnello - Bricco Bussia</t>
  </si>
  <si>
    <t>Tignanello - Antinori</t>
  </si>
  <si>
    <t>Solaia - Antinori</t>
  </si>
  <si>
    <t>Messorio - Le Macchiole</t>
  </si>
  <si>
    <t>Ornellaia - Tenuta Dell'Ornellaia</t>
  </si>
  <si>
    <t>Masseto - Tenuta Dell'Ornellaia</t>
  </si>
  <si>
    <t xml:space="preserve">Oreno - Tenuta Sette Ponti </t>
  </si>
  <si>
    <t>Sassicaia - Tenuta San Guido</t>
  </si>
  <si>
    <t xml:space="preserve">Syrah - Tua Rita </t>
  </si>
  <si>
    <t xml:space="preserve">Redigaffi - Tua Rita         </t>
  </si>
  <si>
    <t>Giusto di Notri - Tua Rita</t>
  </si>
  <si>
    <t>Giorgio Primo - La Massa</t>
  </si>
  <si>
    <t>Gran Coronas - Reserva</t>
  </si>
  <si>
    <t>Baron De Ley - Gran Reserva</t>
  </si>
  <si>
    <t xml:space="preserve">La Rioja Alta - Gran Reserva 904 </t>
  </si>
  <si>
    <t>La Rioja Alta - Gran Reserva 890</t>
  </si>
  <si>
    <t>Sierra Cantabria - Colección Privada</t>
  </si>
  <si>
    <t>Sierra Cantábria - Amancio</t>
  </si>
  <si>
    <t>Mas Doix - Costers de Vinyes Velles</t>
  </si>
  <si>
    <t>95 - 15</t>
  </si>
  <si>
    <t>07 - 29</t>
  </si>
  <si>
    <t>19 - 40</t>
  </si>
  <si>
    <t>18 - 30</t>
  </si>
  <si>
    <t xml:space="preserve">Pesquera - Janus Gran Reserva </t>
  </si>
  <si>
    <t>Viña Sastre - Regina Vides</t>
  </si>
  <si>
    <t>Alonso Del Yerro - Maria</t>
  </si>
  <si>
    <t>Numanthia Termes - Termanthia</t>
  </si>
  <si>
    <t>Numanthia Termes - Numanthia</t>
  </si>
  <si>
    <t>R. Lopes De Heredia - Vina Tondonia - Gran Reserva</t>
  </si>
  <si>
    <t>CVNE - Vina Real - Gran Reserva</t>
  </si>
  <si>
    <t xml:space="preserve">Finca Allende - Calvario </t>
  </si>
  <si>
    <t>Finca Allende - Aurus</t>
  </si>
  <si>
    <t>Finca Allende - Allende</t>
  </si>
  <si>
    <t>Andres Romeo - La Viña de Andres Romeo</t>
  </si>
  <si>
    <t>Andres Romeo - Contador</t>
  </si>
  <si>
    <t>Andres Romeo - La Cueva Del Contador</t>
  </si>
  <si>
    <t>Artadi - Pagos Viejos</t>
  </si>
  <si>
    <t>Artadi - Viña El Pison</t>
  </si>
  <si>
    <t>Roda - Cirsion</t>
  </si>
  <si>
    <t>99 - 08</t>
  </si>
  <si>
    <t>09 - 17</t>
  </si>
  <si>
    <t>18 - 33</t>
  </si>
  <si>
    <t>05 - 12</t>
  </si>
  <si>
    <t xml:space="preserve"> 12 - 25</t>
  </si>
  <si>
    <t xml:space="preserve"> 10 - 30</t>
  </si>
  <si>
    <t>Henschke Hill Of Grace - Henschke - Shiraz</t>
  </si>
  <si>
    <t>Leroy - Gevrey Chambertin</t>
  </si>
  <si>
    <t>Leroy - Nuits-Saint-Georges</t>
  </si>
  <si>
    <t>Shafer - Stag's Leap District - Hillside Select - C. S.</t>
  </si>
  <si>
    <t>La Clusière</t>
  </si>
  <si>
    <t>Ramonet - Montrachet</t>
  </si>
  <si>
    <t>Aldo Conterno - Riserva - Granbussia</t>
  </si>
  <si>
    <t>93 - 96</t>
  </si>
  <si>
    <t xml:space="preserve">Lokoya - Rutherford - Napa Valley - C.S. </t>
  </si>
  <si>
    <t>Latour a Pomerol</t>
  </si>
  <si>
    <t>R. Lopes De Heredia - Vina Bosconia - Gran Reserva</t>
  </si>
  <si>
    <t>97 - 98</t>
  </si>
  <si>
    <t>Martinez Bujanda - Gran Reserva</t>
  </si>
  <si>
    <t>Bruno Giacosa - Collina Rionda di Serralunga D`Alba</t>
  </si>
  <si>
    <t xml:space="preserve">Bruno Giacosa - Asili Di Barbaresco </t>
  </si>
  <si>
    <r>
      <t xml:space="preserve">  96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</si>
  <si>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Latour </t>
    </r>
    <r>
      <rPr>
        <b/>
        <sz val="8"/>
        <color indexed="60"/>
        <rFont val="Verdana"/>
        <family val="2"/>
      </rPr>
      <t xml:space="preserve">- </t>
    </r>
    <r>
      <rPr>
        <b/>
        <sz val="8"/>
        <color indexed="10"/>
        <rFont val="Verdana"/>
        <family val="2"/>
      </rPr>
      <t xml:space="preserve">Magnum </t>
    </r>
  </si>
  <si>
    <r>
      <t xml:space="preserve">Lafite Rothschild  - </t>
    </r>
    <r>
      <rPr>
        <b/>
        <sz val="8"/>
        <color indexed="10"/>
        <rFont val="Verdana"/>
        <family val="2"/>
      </rPr>
      <t>Magnum</t>
    </r>
  </si>
  <si>
    <r>
      <t xml:space="preserve">  95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</si>
  <si>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Mouton Rothschild - </t>
    </r>
    <r>
      <rPr>
        <b/>
        <sz val="8"/>
        <color indexed="10"/>
        <rFont val="Verdana"/>
        <family val="2"/>
      </rPr>
      <t>Magnum</t>
    </r>
  </si>
  <si>
    <r>
      <t xml:space="preserve">  94</t>
    </r>
    <r>
      <rPr>
        <b/>
        <vertAlign val="superscript"/>
        <sz val="8"/>
        <color indexed="12"/>
        <rFont val="Verdana"/>
        <family val="2"/>
      </rPr>
      <t>+</t>
    </r>
  </si>
  <si>
    <r>
      <t>96</t>
    </r>
    <r>
      <rPr>
        <b/>
        <vertAlign val="superscript"/>
        <sz val="8"/>
        <color indexed="12"/>
        <rFont val="Verdana"/>
        <family val="2"/>
      </rPr>
      <t>+</t>
    </r>
  </si>
  <si>
    <r>
      <t>95</t>
    </r>
    <r>
      <rPr>
        <b/>
        <vertAlign val="superscript"/>
        <sz val="8"/>
        <color indexed="12"/>
        <rFont val="Verdana"/>
        <family val="2"/>
      </rPr>
      <t>+</t>
    </r>
  </si>
  <si>
    <r>
      <t>92</t>
    </r>
    <r>
      <rPr>
        <b/>
        <vertAlign val="superscript"/>
        <sz val="8"/>
        <color indexed="12"/>
        <rFont val="Verdana"/>
        <family val="2"/>
      </rPr>
      <t>+</t>
    </r>
  </si>
  <si>
    <r>
      <t>98</t>
    </r>
    <r>
      <rPr>
        <b/>
        <vertAlign val="superscript"/>
        <sz val="8"/>
        <color indexed="12"/>
        <rFont val="Verdana"/>
        <family val="2"/>
      </rPr>
      <t>+</t>
    </r>
  </si>
  <si>
    <r>
      <t>99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</si>
  <si>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Pichon Longueville Comtesse de Lalande - </t>
    </r>
    <r>
      <rPr>
        <b/>
        <sz val="8"/>
        <color indexed="10"/>
        <rFont val="Verdana"/>
        <family val="2"/>
      </rPr>
      <t>Magnum</t>
    </r>
  </si>
  <si>
    <r>
      <t xml:space="preserve">Pichon Longueville Baron - </t>
    </r>
    <r>
      <rPr>
        <b/>
        <sz val="8"/>
        <color indexed="10"/>
        <rFont val="Verdana"/>
        <family val="2"/>
      </rPr>
      <t>Double Magnum</t>
    </r>
  </si>
  <si>
    <r>
      <t>94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</si>
  <si>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Haut-Bergey - </t>
    </r>
    <r>
      <rPr>
        <b/>
        <sz val="8"/>
        <color indexed="10"/>
        <rFont val="Verdana"/>
        <family val="2"/>
      </rPr>
      <t>Magnum</t>
    </r>
  </si>
  <si>
    <r>
      <t xml:space="preserve">Margaux - </t>
    </r>
    <r>
      <rPr>
        <b/>
        <sz val="8"/>
        <color indexed="10"/>
        <rFont val="Verdana"/>
        <family val="2"/>
      </rPr>
      <t>Magnum</t>
    </r>
    <r>
      <rPr>
        <b/>
        <sz val="8"/>
        <rFont val="Verdana"/>
        <family val="2"/>
      </rPr>
      <t xml:space="preserve"> </t>
    </r>
  </si>
  <si>
    <r>
      <t xml:space="preserve">Margaux - </t>
    </r>
    <r>
      <rPr>
        <b/>
        <sz val="8"/>
        <color indexed="10"/>
        <rFont val="Verdana"/>
        <family val="2"/>
      </rPr>
      <t>Magnum</t>
    </r>
  </si>
  <si>
    <r>
      <t>91</t>
    </r>
    <r>
      <rPr>
        <b/>
        <vertAlign val="superscript"/>
        <sz val="8"/>
        <color indexed="12"/>
        <rFont val="Verdana"/>
        <family val="2"/>
      </rPr>
      <t>+</t>
    </r>
  </si>
  <si>
    <r>
      <t>93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</si>
  <si>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Palmer - </t>
    </r>
    <r>
      <rPr>
        <b/>
        <sz val="8"/>
        <color indexed="10"/>
        <rFont val="Verdana"/>
        <family val="2"/>
      </rPr>
      <t>Double Magnum</t>
    </r>
  </si>
  <si>
    <r>
      <t>97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</si>
  <si>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Montrose - </t>
    </r>
    <r>
      <rPr>
        <b/>
        <sz val="8"/>
        <color indexed="10"/>
        <rFont val="Verdana"/>
        <family val="2"/>
      </rPr>
      <t>Magnum</t>
    </r>
  </si>
  <si>
    <r>
      <t xml:space="preserve">Montrose - </t>
    </r>
    <r>
      <rPr>
        <b/>
        <sz val="8"/>
        <color indexed="10"/>
        <rFont val="Verdana"/>
        <family val="2"/>
      </rPr>
      <t>Double Magnum</t>
    </r>
  </si>
  <si>
    <r>
      <t xml:space="preserve">Cos D'Estournel - </t>
    </r>
    <r>
      <rPr>
        <b/>
        <sz val="8"/>
        <color indexed="10"/>
        <rFont val="Verdana"/>
        <family val="2"/>
      </rPr>
      <t>Magnum</t>
    </r>
  </si>
  <si>
    <r>
      <t>90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</si>
  <si>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Léoville Las Cases - </t>
    </r>
    <r>
      <rPr>
        <b/>
        <sz val="8"/>
        <color indexed="10"/>
        <rFont val="Verdana"/>
        <family val="2"/>
      </rPr>
      <t>Magnum</t>
    </r>
  </si>
  <si>
    <r>
      <t xml:space="preserve">Léoville Poyferré - </t>
    </r>
    <r>
      <rPr>
        <b/>
        <sz val="8"/>
        <color indexed="10"/>
        <rFont val="Verdana"/>
        <family val="2"/>
      </rPr>
      <t>Magnum</t>
    </r>
  </si>
  <si>
    <r>
      <t xml:space="preserve">Gruaud Larose - </t>
    </r>
    <r>
      <rPr>
        <b/>
        <sz val="8"/>
        <color indexed="10"/>
        <rFont val="Verdana"/>
        <family val="2"/>
      </rPr>
      <t>Magnum</t>
    </r>
  </si>
  <si>
    <r>
      <t xml:space="preserve">Ausone - </t>
    </r>
    <r>
      <rPr>
        <b/>
        <sz val="8"/>
        <color indexed="10"/>
        <rFont val="Verdana"/>
        <family val="2"/>
      </rPr>
      <t>Magnum</t>
    </r>
  </si>
  <si>
    <r>
      <t xml:space="preserve">Cheval Blanc - </t>
    </r>
    <r>
      <rPr>
        <b/>
        <sz val="8"/>
        <color indexed="10"/>
        <rFont val="Verdana"/>
        <family val="2"/>
      </rPr>
      <t>Magnum</t>
    </r>
  </si>
  <si>
    <r>
      <t xml:space="preserve">Clos Des Papes - </t>
    </r>
    <r>
      <rPr>
        <b/>
        <sz val="8"/>
        <color indexed="10"/>
        <rFont val="Verdana"/>
        <family val="2"/>
      </rPr>
      <t>Magnum</t>
    </r>
  </si>
  <si>
    <r>
      <t>89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</si>
  <si>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Andres Romeo - Contador - </t>
    </r>
    <r>
      <rPr>
        <b/>
        <sz val="8"/>
        <color indexed="10"/>
        <rFont val="Verdana"/>
        <family val="2"/>
      </rPr>
      <t>Magnum</t>
    </r>
  </si>
  <si>
    <r>
      <t xml:space="preserve">Roberto Voerzio - Sarmassa di Barolo  - </t>
    </r>
    <r>
      <rPr>
        <b/>
        <sz val="8"/>
        <color indexed="10"/>
        <rFont val="Verdana"/>
        <family val="2"/>
      </rPr>
      <t xml:space="preserve">Magnum  </t>
    </r>
  </si>
  <si>
    <r>
      <t xml:space="preserve">  97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</si>
  <si>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Flaccianello Della Pieve - Fontodi - </t>
    </r>
    <r>
      <rPr>
        <b/>
        <sz val="8"/>
        <color indexed="10"/>
        <rFont val="Verdana"/>
        <family val="2"/>
      </rPr>
      <t>Magnum</t>
    </r>
  </si>
  <si>
    <r>
      <t xml:space="preserve">Sassicaia - Tenuta San Guido - </t>
    </r>
    <r>
      <rPr>
        <b/>
        <sz val="8"/>
        <color indexed="10"/>
        <rFont val="Verdana"/>
        <family val="2"/>
      </rPr>
      <t>Magnum</t>
    </r>
  </si>
  <si>
    <r>
      <t xml:space="preserve">Araujo - Eisele Vineyard - C.S.  - </t>
    </r>
    <r>
      <rPr>
        <b/>
        <sz val="8"/>
        <color indexed="10"/>
        <rFont val="Verdana"/>
        <family val="2"/>
      </rPr>
      <t xml:space="preserve">Magnum </t>
    </r>
  </si>
  <si>
    <r>
      <t xml:space="preserve">Quilceda Creek - Washington - C.S. - </t>
    </r>
    <r>
      <rPr>
        <b/>
        <sz val="8"/>
        <color indexed="10"/>
        <rFont val="Verdana"/>
        <family val="2"/>
      </rPr>
      <t>Magnum</t>
    </r>
  </si>
  <si>
    <r>
      <t xml:space="preserve">Harlan Estate - Napa Valley - C. S. - </t>
    </r>
    <r>
      <rPr>
        <b/>
        <sz val="8"/>
        <color indexed="10"/>
        <rFont val="Verdana"/>
        <family val="2"/>
      </rPr>
      <t>Magnum</t>
    </r>
  </si>
  <si>
    <r>
      <t xml:space="preserve">  98</t>
    </r>
    <r>
      <rPr>
        <b/>
        <vertAlign val="superscript"/>
        <sz val="8"/>
        <color indexed="12"/>
        <rFont val="Verdana"/>
        <family val="2"/>
      </rPr>
      <t>+</t>
    </r>
  </si>
  <si>
    <r>
      <t xml:space="preserve">Le Dôme - </t>
    </r>
    <r>
      <rPr>
        <b/>
        <sz val="8"/>
        <color indexed="10"/>
        <rFont val="Verdana"/>
        <family val="2"/>
      </rPr>
      <t>Magnum</t>
    </r>
  </si>
  <si>
    <t>93 - 94</t>
  </si>
  <si>
    <t xml:space="preserve">Castello Dei Rampolla Vigna D' Alceo  </t>
  </si>
  <si>
    <t>Louis Latour - Chevalier Montrachet - Les Demoiselles - G. C.</t>
  </si>
  <si>
    <t>Louis Jadot - Montrachet - G C</t>
  </si>
  <si>
    <t xml:space="preserve">Opus One - Rothschild / Mondavi - Napa Valley  - C.S./M. C.F.  </t>
  </si>
  <si>
    <t>Sine Qua Non - Just For The Love Of It - Sta Bárbara - Syrah</t>
  </si>
  <si>
    <t>Sine Qua Non - Heart Chorea - Sta Rita Hills - Ventura - Syrah</t>
  </si>
  <si>
    <t>Cayuse Impulsivo - W. Walla Valley - Oregon - Tempranillo</t>
  </si>
  <si>
    <t xml:space="preserve">Cayuse The Widowmaker W. Walla Valley - Washington - C. S. </t>
  </si>
  <si>
    <r>
      <t xml:space="preserve">Shafer - Stag's Leap District - Hillside Select - C. S. - </t>
    </r>
    <r>
      <rPr>
        <b/>
        <sz val="8"/>
        <color indexed="10"/>
        <rFont val="Verdana"/>
        <family val="2"/>
      </rPr>
      <t>Magnum</t>
    </r>
  </si>
  <si>
    <r>
      <t xml:space="preserve">Opus One - Rothschild / Mondavi - Napa Valley - C.S./M. C.F. - </t>
    </r>
    <r>
      <rPr>
        <b/>
        <sz val="8"/>
        <color indexed="10"/>
        <rFont val="Verdana"/>
        <family val="2"/>
      </rPr>
      <t xml:space="preserve">Magnum  </t>
    </r>
  </si>
  <si>
    <t>Jean Louis Chave - Cuvée Cathelin</t>
  </si>
  <si>
    <t>94 - 14</t>
  </si>
  <si>
    <t>96 - 11</t>
  </si>
  <si>
    <t>Vêneto - Vino da Tavola Alzero - G. Quintarelli</t>
  </si>
  <si>
    <t>Elio Altare - Vignetto Arborina</t>
  </si>
  <si>
    <r>
      <t xml:space="preserve">Poggio Antico - Riserva - </t>
    </r>
    <r>
      <rPr>
        <b/>
        <sz val="8"/>
        <color indexed="10"/>
        <rFont val="Verdana"/>
        <family val="2"/>
      </rPr>
      <t>Magnum</t>
    </r>
  </si>
  <si>
    <t>Volpaia - Il Puro - Casanova - Chianti Classico Riserva</t>
  </si>
  <si>
    <r>
      <t xml:space="preserve">Giorgio Primo - La Massa - </t>
    </r>
    <r>
      <rPr>
        <b/>
        <sz val="8"/>
        <color indexed="10"/>
        <rFont val="Verdana"/>
        <family val="2"/>
      </rPr>
      <t>Magnum</t>
    </r>
  </si>
  <si>
    <t xml:space="preserve">Excelsus - Castello Banfi </t>
  </si>
  <si>
    <t>98 - 23</t>
  </si>
  <si>
    <t>12 - 23</t>
  </si>
  <si>
    <t>14 - 39</t>
  </si>
  <si>
    <t>19 - 44</t>
  </si>
  <si>
    <t>06 - 18</t>
  </si>
  <si>
    <t>09 - 23</t>
  </si>
  <si>
    <t>90 - 92</t>
  </si>
  <si>
    <t xml:space="preserve">Leroy - Nuits-Saint-Georges </t>
  </si>
  <si>
    <r>
      <t xml:space="preserve">Domaine Du Vieux Télégraphe- </t>
    </r>
    <r>
      <rPr>
        <b/>
        <sz val="8"/>
        <color indexed="10"/>
        <rFont val="Verdana"/>
        <family val="2"/>
      </rPr>
      <t>Magnum</t>
    </r>
  </si>
  <si>
    <t xml:space="preserve"> POMEROL (continuação)</t>
  </si>
  <si>
    <t xml:space="preserve"> ST. EMILION</t>
  </si>
  <si>
    <t xml:space="preserve"> CÔTE ROTIE (continuação )</t>
  </si>
  <si>
    <t xml:space="preserve"> HERMITAGE ( continuação )</t>
  </si>
  <si>
    <t xml:space="preserve">Gaja - Sperss </t>
  </si>
  <si>
    <r>
      <t xml:space="preserve">Muga - Gran Reserva </t>
    </r>
    <r>
      <rPr>
        <b/>
        <sz val="8"/>
        <color indexed="10"/>
        <rFont val="Verdana"/>
        <family val="2"/>
      </rPr>
      <t>- Magnum</t>
    </r>
  </si>
  <si>
    <t>Marqués de Riscal - Gran Reserva</t>
  </si>
  <si>
    <t>Simon Bize &amp; Fils - Corton Charlemagne - G. C.</t>
  </si>
  <si>
    <t>Estoque de Vinhos</t>
  </si>
  <si>
    <t>Domaine Vacheron Pouizyn - Le Clos du Caillou - Reserve</t>
  </si>
  <si>
    <t xml:space="preserve">Pape Clément - Pessac Leognan </t>
  </si>
  <si>
    <t>99 - 18</t>
  </si>
  <si>
    <t>98 - 13</t>
  </si>
  <si>
    <t>10 - 60</t>
  </si>
  <si>
    <r>
      <t>Sine Qua Non - Atlantis Fe</t>
    </r>
    <r>
      <rPr>
        <b/>
        <vertAlign val="subscript"/>
        <sz val="8"/>
        <rFont val="Verdana"/>
        <family val="2"/>
      </rPr>
      <t>2</t>
    </r>
    <r>
      <rPr>
        <b/>
        <sz val="8"/>
        <rFont val="Verdana"/>
        <family val="2"/>
      </rPr>
      <t>O</t>
    </r>
    <r>
      <rPr>
        <b/>
        <vertAlign val="subscript"/>
        <sz val="8"/>
        <rFont val="Verdana"/>
        <family val="2"/>
      </rPr>
      <t>3</t>
    </r>
    <r>
      <rPr>
        <b/>
        <sz val="8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1a - </t>
    </r>
    <r>
      <rPr>
        <b/>
        <sz val="8"/>
        <rFont val="Verdana"/>
        <family val="2"/>
      </rPr>
      <t xml:space="preserve">Syrah </t>
    </r>
  </si>
  <si>
    <t>Sine Qua Non - Raven Series - Syrah</t>
  </si>
  <si>
    <t>17 - 32</t>
  </si>
  <si>
    <t xml:space="preserve"> 13 - 25</t>
  </si>
  <si>
    <t xml:space="preserve"> 98 - 18</t>
  </si>
  <si>
    <t xml:space="preserve"> 13 - 24</t>
  </si>
  <si>
    <t>Casanova Di Neri  - Cerretalto</t>
  </si>
  <si>
    <r>
      <t xml:space="preserve">Gaja - Sperss - </t>
    </r>
    <r>
      <rPr>
        <b/>
        <sz val="8"/>
        <color indexed="10"/>
        <rFont val="Verdana"/>
        <family val="2"/>
      </rPr>
      <t>Magnum</t>
    </r>
  </si>
  <si>
    <r>
      <t xml:space="preserve">Paolo Scavino - Bric Del Fiasc - </t>
    </r>
    <r>
      <rPr>
        <b/>
        <sz val="8"/>
        <color indexed="10"/>
        <rFont val="Verdana"/>
        <family val="2"/>
      </rPr>
      <t>Magnum</t>
    </r>
    <r>
      <rPr>
        <b/>
        <sz val="8"/>
        <color indexed="60"/>
        <rFont val="Verdana"/>
        <family val="2"/>
      </rPr>
      <t xml:space="preserve">   </t>
    </r>
  </si>
  <si>
    <r>
      <t xml:space="preserve">Gaja - Sorì San Lorenzo - </t>
    </r>
    <r>
      <rPr>
        <b/>
        <sz val="8"/>
        <color indexed="10"/>
        <rFont val="Verdana"/>
        <family val="2"/>
      </rPr>
      <t>Magnum</t>
    </r>
  </si>
  <si>
    <t>17 - 39</t>
  </si>
  <si>
    <t>97 - 22</t>
  </si>
  <si>
    <t>01 - 16</t>
  </si>
  <si>
    <t>17 - 37</t>
  </si>
  <si>
    <r>
      <t xml:space="preserve">Lokoya - Mount Veeder - Napa Valley - C.S. - </t>
    </r>
    <r>
      <rPr>
        <b/>
        <sz val="8"/>
        <color indexed="10"/>
        <rFont val="Verdana"/>
        <family val="2"/>
      </rPr>
      <t>Magnum</t>
    </r>
    <r>
      <rPr>
        <b/>
        <sz val="8"/>
        <color indexed="60"/>
        <rFont val="Verdana"/>
        <family val="2"/>
      </rPr>
      <t xml:space="preserve"> </t>
    </r>
  </si>
  <si>
    <r>
      <t xml:space="preserve">Caymus - Special Selection - C.S. - </t>
    </r>
    <r>
      <rPr>
        <b/>
        <sz val="8"/>
        <color indexed="10"/>
        <rFont val="Verdana"/>
        <family val="2"/>
      </rPr>
      <t>Magnum</t>
    </r>
  </si>
  <si>
    <t>99 - 100</t>
  </si>
  <si>
    <t>08 - 48</t>
  </si>
  <si>
    <t>07 - 15</t>
  </si>
  <si>
    <t>14 - 45</t>
  </si>
  <si>
    <t>03 - 10</t>
  </si>
  <si>
    <t xml:space="preserve"> 10 - 25</t>
  </si>
  <si>
    <r>
      <t xml:space="preserve">Lynch Bages - </t>
    </r>
    <r>
      <rPr>
        <b/>
        <sz val="8"/>
        <color indexed="10"/>
        <rFont val="Verdana"/>
        <family val="2"/>
      </rPr>
      <t>Magnum</t>
    </r>
  </si>
  <si>
    <t>M. Chapoutier - Croix de Bois</t>
  </si>
  <si>
    <t>Gianfranco Soldera - Case Basse</t>
  </si>
  <si>
    <t>Poggio Antico - Riserva</t>
  </si>
  <si>
    <t>Fuligni - Riserva</t>
  </si>
  <si>
    <t>Kaesler Barossa Valley - Old Bastard - Shiraz</t>
  </si>
  <si>
    <t>Wild Duck Creek - Heathcote - Shiraz</t>
  </si>
  <si>
    <t>Michel Niellon - Batard -Montrachet  G. C.</t>
  </si>
  <si>
    <t>Louis Latour - Corton Charlemagne - G C</t>
  </si>
  <si>
    <t>Domaine Des Comtes Lafon - Meursault - Perrières - P. C.</t>
  </si>
  <si>
    <t xml:space="preserve">Giacomo Conterno </t>
  </si>
  <si>
    <r>
      <t>Giacomo Conterno - Riserva Monfortino</t>
    </r>
    <r>
      <rPr>
        <b/>
        <sz val="8"/>
        <color indexed="60"/>
        <rFont val="Verdana"/>
        <family val="2"/>
      </rPr>
      <t/>
    </r>
  </si>
  <si>
    <t>Domaine de La Mordorée - La Plume Du Peintre</t>
  </si>
  <si>
    <t>Tertre Roteboeuf</t>
  </si>
  <si>
    <t>Antonio Mendonça (Herdeiros) - Montes Claros</t>
  </si>
  <si>
    <t>Sine Qua Non -  In Flagrante  - Syrah</t>
  </si>
  <si>
    <t>Sine Qua Non - In The Crosshairs - Grenache</t>
  </si>
  <si>
    <r>
      <t>Sine Qua Non - The 17</t>
    </r>
    <r>
      <rPr>
        <b/>
        <vertAlign val="superscript"/>
        <sz val="8"/>
        <rFont val="Verdana"/>
        <family val="2"/>
      </rPr>
      <t>th</t>
    </r>
    <r>
      <rPr>
        <b/>
        <sz val="8"/>
        <rFont val="Verdana"/>
        <family val="2"/>
      </rPr>
      <t xml:space="preserve"> Nail in my Cranium - Syrah </t>
    </r>
  </si>
  <si>
    <t>94 - 24</t>
  </si>
  <si>
    <r>
      <t xml:space="preserve">La Mondotte - </t>
    </r>
    <r>
      <rPr>
        <b/>
        <sz val="8"/>
        <color indexed="10"/>
        <rFont val="Verdana"/>
        <family val="2"/>
      </rPr>
      <t>Magnum</t>
    </r>
  </si>
  <si>
    <t>Le Bon Pasteur</t>
  </si>
  <si>
    <t xml:space="preserve">Talbot </t>
  </si>
  <si>
    <t>Branson Coach House - Shiraz</t>
  </si>
  <si>
    <t>Christian Moreau - Chablis Les Clos - G. C.</t>
  </si>
  <si>
    <t>Zind-Humbrecht - Clos Saint Urbain - Rangen de Thann Turckheim - Riesling - G. C. 750ML</t>
  </si>
  <si>
    <t xml:space="preserve">Léoville Las Cases </t>
  </si>
  <si>
    <t>Figeac</t>
  </si>
  <si>
    <t>Branson Coach House - C. S.</t>
  </si>
  <si>
    <t>Domaine De La Janasse - Vielles Vignes</t>
  </si>
  <si>
    <t xml:space="preserve">Greenock Creek - Roennfeldt Road - C. S. </t>
  </si>
  <si>
    <t>Bonneau Du Martray - Corton- Charlemagne - G. C.</t>
  </si>
  <si>
    <t>Verget - Batard-Montrachet - G. C.</t>
  </si>
  <si>
    <t>Henri Boillot - Batard -Montrachet - G C</t>
  </si>
  <si>
    <t>Marqués de Riscal - Reserva</t>
  </si>
  <si>
    <t>Domaine Des Comtes Lafon - Meursault - Genevrières - P. C.</t>
  </si>
  <si>
    <t>Domaine Des Comtes Lafon - Meursault - Charmes - P. C.</t>
  </si>
  <si>
    <t>Etienne Sauzet - Chevalier - Montrachet - G C</t>
  </si>
  <si>
    <t>Etienne Sauzet - Montrachet - G C</t>
  </si>
  <si>
    <t>Heitz Cellar - Napa Valley-C. S.</t>
  </si>
  <si>
    <t>Beychevelle</t>
  </si>
  <si>
    <t>90 - 05</t>
  </si>
  <si>
    <t>98 - 20</t>
  </si>
  <si>
    <t xml:space="preserve"> 11 - 20</t>
  </si>
  <si>
    <t>05 - 18</t>
  </si>
  <si>
    <t>Jasper Hill - Heathcote - Emily's Paddock - Shiraz</t>
  </si>
  <si>
    <t>Veritas Winery - Barossa Valley - Hanisch - Shiraz</t>
  </si>
  <si>
    <t xml:space="preserve">Muga - Gran Reserva </t>
  </si>
  <si>
    <t>Coche-Dury - Meursault - Les Rougeots</t>
  </si>
  <si>
    <t>Faiveley - Corton Charlemgne - G. C.</t>
  </si>
  <si>
    <t>Bouchard Père &amp; Fils - Montrachet - G C</t>
  </si>
  <si>
    <t xml:space="preserve">Coche-Dury - Corton - Charlemagne - G. C. </t>
  </si>
  <si>
    <t>Langoa Barton</t>
  </si>
  <si>
    <t>Terralsole - Riserva</t>
  </si>
  <si>
    <t>11 - 17</t>
  </si>
  <si>
    <t>Langhe - Gaia &amp; Rey - Gaja</t>
  </si>
  <si>
    <t xml:space="preserve">Philip Togni - Napa Valley - C.S. </t>
  </si>
  <si>
    <t>Domaine Des Comtes Lafon - Montrachet - G. C.</t>
  </si>
  <si>
    <t>Leflaive - Batard -Montrachet  G. C.</t>
  </si>
  <si>
    <t>POMEROL   ( total )</t>
  </si>
  <si>
    <t>ST. EMILION    ( total )</t>
  </si>
  <si>
    <t>BOURGOGNE    ( total )</t>
  </si>
  <si>
    <t>BORDEAUX    ( total )</t>
  </si>
  <si>
    <t>HERMITAGE   ( total )</t>
  </si>
  <si>
    <t>CHÂTEAUNEUF DU PAPE   ( total )</t>
  </si>
  <si>
    <t>CORNAS   ( total )</t>
  </si>
  <si>
    <t>ç</t>
  </si>
  <si>
    <t>BORDEAUX  ( total )</t>
  </si>
  <si>
    <t>RHÔNE  ( total )</t>
  </si>
  <si>
    <t>VAL DU LOIRE  ( total )</t>
  </si>
  <si>
    <t>ALSACE  ( total )</t>
  </si>
  <si>
    <t>OUTRAS REGIÕES  ( total )</t>
  </si>
  <si>
    <t xml:space="preserve"> ITÁLIA  ( total )</t>
  </si>
  <si>
    <t>RIBERA DEL DUERO  ( total )</t>
  </si>
  <si>
    <t>TORO  ( total )</t>
  </si>
  <si>
    <t>RIOJA  ( total )</t>
  </si>
  <si>
    <t>PRIORAT  ( total )</t>
  </si>
  <si>
    <t>ESPANHA ( total )</t>
  </si>
  <si>
    <t>DOURO  ( total )</t>
  </si>
  <si>
    <t>ALENTEJO  ( total )</t>
  </si>
  <si>
    <t>PORTUGAL  ( total )</t>
  </si>
  <si>
    <t>ESTADOS UNIDOS  ( total )</t>
  </si>
  <si>
    <t>AUSTRÁLIA ( total )</t>
  </si>
  <si>
    <t>PORTUGAL ( total )</t>
  </si>
  <si>
    <t xml:space="preserve"> CÔTE ROTIE    ( total )</t>
  </si>
  <si>
    <t>RHÔNE   ( total )</t>
  </si>
  <si>
    <t>PIEMONTE</t>
  </si>
  <si>
    <t>BAROLO</t>
  </si>
  <si>
    <t>BAROLO (continuação)</t>
  </si>
  <si>
    <t>BAROLO  ( total )</t>
  </si>
  <si>
    <t>BARBARESCO</t>
  </si>
  <si>
    <t>BARBARESCO (continuação)</t>
  </si>
  <si>
    <t>BARBARESCO  ( total )</t>
  </si>
  <si>
    <t>PIEMONTE  ( total )</t>
  </si>
  <si>
    <t xml:space="preserve">TOSCANA </t>
  </si>
  <si>
    <t>BRUNELLO DI MONTALCINO</t>
  </si>
  <si>
    <t>BRUNELLO DI MONTALCINO (continuação)</t>
  </si>
  <si>
    <t>BRUNELLO DI MONTALCINO  ( total )</t>
  </si>
  <si>
    <t>SUPER TOSCANO</t>
  </si>
  <si>
    <t>SUPER TOSCANO ( continuação )</t>
  </si>
  <si>
    <t>SUPER TOSCANO  ( total )</t>
  </si>
  <si>
    <t>TOSCANO  ( total )</t>
  </si>
  <si>
    <t>Screaming - Eagle - Napa Valley - C.S.</t>
  </si>
  <si>
    <t>Robert Mondavi - Reserve - Napa Valley - C. S</t>
  </si>
  <si>
    <t xml:space="preserve">Faustino I - Gran Reserva </t>
  </si>
  <si>
    <t>Beiras - Vinha Barrosa</t>
  </si>
  <si>
    <t>Dão - Ladeiras Tinto</t>
  </si>
  <si>
    <t>Dão - Quinta dos Carvalhais - Único</t>
  </si>
  <si>
    <r>
      <t>Philip Togni - Napa Valley - C.S.  -</t>
    </r>
    <r>
      <rPr>
        <b/>
        <sz val="8"/>
        <color indexed="60"/>
        <rFont val="Verdana"/>
        <family val="2"/>
      </rPr>
      <t xml:space="preserve"> </t>
    </r>
    <r>
      <rPr>
        <b/>
        <sz val="8"/>
        <color indexed="10"/>
        <rFont val="Verdana"/>
        <family val="2"/>
      </rPr>
      <t>Magnum</t>
    </r>
  </si>
  <si>
    <t xml:space="preserve">Saddleback - Napa Valley - Oakville - C.S. </t>
  </si>
  <si>
    <t>Lewis - Reserve - Napa Valley - C.S.</t>
  </si>
  <si>
    <r>
      <t xml:space="preserve">Ducru Beaucaillou - </t>
    </r>
    <r>
      <rPr>
        <b/>
        <sz val="8"/>
        <color indexed="10"/>
        <rFont val="Verdana"/>
        <family val="2"/>
      </rPr>
      <t>Magnum</t>
    </r>
  </si>
  <si>
    <t>14 - 54</t>
  </si>
  <si>
    <t>04 - 20</t>
  </si>
  <si>
    <r>
      <t xml:space="preserve">Henschke Hill Of Grace - Henschke - Shiraz - </t>
    </r>
    <r>
      <rPr>
        <b/>
        <sz val="8"/>
        <color indexed="10"/>
        <rFont val="Verdana"/>
        <family val="2"/>
      </rPr>
      <t xml:space="preserve">Magnum </t>
    </r>
  </si>
  <si>
    <t>?</t>
  </si>
  <si>
    <t>Castello Di Monsanto Chianti Classico Riserva - Il Poggio</t>
  </si>
  <si>
    <r>
      <t xml:space="preserve">Ramonet - Montrachet  - </t>
    </r>
    <r>
      <rPr>
        <b/>
        <sz val="8"/>
        <color indexed="10"/>
        <rFont val="Verdana"/>
        <family val="2"/>
      </rPr>
      <t>Magnum</t>
    </r>
  </si>
  <si>
    <r>
      <t xml:space="preserve">La Gomerie - </t>
    </r>
    <r>
      <rPr>
        <b/>
        <sz val="8"/>
        <color indexed="10"/>
        <rFont val="Verdana"/>
        <family val="2"/>
      </rPr>
      <t>Magnum</t>
    </r>
  </si>
  <si>
    <t xml:space="preserve">Philip Togni - Napa Valley - C.S.  </t>
  </si>
  <si>
    <t xml:space="preserve">Méo Camuzet - Vosne-Romanee - Au Cros Parantoux </t>
  </si>
  <si>
    <t xml:space="preserve">Grange Hermitage - Penfolds - Barossa Valley - Shiraz </t>
  </si>
  <si>
    <t>/</t>
  </si>
  <si>
    <t>00 - 10</t>
  </si>
  <si>
    <t>Baudot-Hospices de Beaune-Meursault Genevrières-P.C.</t>
  </si>
  <si>
    <t>02 - 14</t>
  </si>
  <si>
    <t>Wolf Blass - Black Label - C. S. - Shiraz</t>
  </si>
  <si>
    <t>Kalleske Barossa Valley - Johann Georg - Shiraz</t>
  </si>
  <si>
    <t>91 - 95</t>
  </si>
  <si>
    <t>14 - 26</t>
  </si>
  <si>
    <t>11 - 18</t>
  </si>
  <si>
    <t>11 - 23</t>
  </si>
  <si>
    <t>13 - 33</t>
  </si>
  <si>
    <t>12 - 34</t>
  </si>
  <si>
    <t>02 - 12</t>
  </si>
  <si>
    <t>13 - 28</t>
  </si>
  <si>
    <t>94 - 00</t>
  </si>
  <si>
    <t xml:space="preserve">     - 10</t>
  </si>
  <si>
    <t>16 - 34</t>
  </si>
  <si>
    <t>90 - 91</t>
  </si>
  <si>
    <t>02 - 09</t>
  </si>
  <si>
    <t>92 - 93</t>
  </si>
  <si>
    <t>Marcassin - Hudson Ranch - Carneros E Block</t>
  </si>
  <si>
    <t>Pierre Usseglio - Cuvée de Mon Aieul</t>
  </si>
  <si>
    <t>Domaine de La Mordorée - Cuvée De La Reine Des Bois</t>
  </si>
  <si>
    <t>Domaine Du  Pegau - Cuvée da Capo</t>
  </si>
  <si>
    <t>Nicolas Potel - Batard-Montrachet - G C</t>
  </si>
  <si>
    <t>Joseph Drouhin - Batard-Montrachet - G C</t>
  </si>
  <si>
    <t>Verget - Corton Charlemagne - G C</t>
  </si>
  <si>
    <t>Henri Boillot - Montrachet - G C</t>
  </si>
  <si>
    <r>
      <t xml:space="preserve">La Conseillante - </t>
    </r>
    <r>
      <rPr>
        <b/>
        <sz val="8"/>
        <color indexed="10"/>
        <rFont val="Verdana"/>
        <family val="2"/>
      </rPr>
      <t>Magnum</t>
    </r>
  </si>
  <si>
    <t xml:space="preserve">Domaine Anne-Francois Gros - Chambolle - Musigny </t>
  </si>
  <si>
    <t xml:space="preserve">Domaine Des Comtes Lafon - Meursault </t>
  </si>
  <si>
    <t xml:space="preserve">Remoissent Père &amp; Fils - Batard - Montrachet - G.C. </t>
  </si>
  <si>
    <t xml:space="preserve">Vincent Girardin - Bienvenues  - Batard - Montrachet - G.C. </t>
  </si>
  <si>
    <t>Domaine Amiot Bug et Fils - Montrachet - G. C.</t>
  </si>
  <si>
    <t>Finca Villa Creces - Nebro</t>
  </si>
  <si>
    <t>Artadi - Grandes Añadas</t>
  </si>
  <si>
    <t xml:space="preserve">Kongsgaard - Wines Napa - The Judge - Chardonnay </t>
  </si>
  <si>
    <t>Giuseppe Mascarello  - Monprivato Cà d`Morissio</t>
  </si>
  <si>
    <t>Alban Vineyards - Lorraine - Edna Valley - Syrah</t>
  </si>
  <si>
    <t>Podversic Damijan - Ribolla Gialla</t>
  </si>
  <si>
    <t xml:space="preserve">Domaine De Marcoux - Vieilles Vignes  </t>
  </si>
  <si>
    <t xml:space="preserve">Domaine De La Janasse - Vieilles Vignes  </t>
  </si>
  <si>
    <t>Kistler - Sonoma Chardonnay</t>
  </si>
  <si>
    <t>Peter Michael Ma Belle - Fille</t>
  </si>
  <si>
    <t>Pahlmeyer - Napa Valley - Merlot</t>
  </si>
  <si>
    <t xml:space="preserve">Gaja - Sorì Tildìn </t>
  </si>
  <si>
    <t>Silver Oak - Napa Valley - C.S.</t>
  </si>
  <si>
    <t xml:space="preserve">Miani - Calvari </t>
  </si>
  <si>
    <r>
      <t xml:space="preserve">Clinet- </t>
    </r>
    <r>
      <rPr>
        <b/>
        <sz val="8"/>
        <color indexed="10"/>
        <rFont val="Verdana"/>
        <family val="2"/>
      </rPr>
      <t>Magnum</t>
    </r>
  </si>
  <si>
    <r>
      <t xml:space="preserve">Gaja - Sorì Tildìn - </t>
    </r>
    <r>
      <rPr>
        <b/>
        <sz val="8"/>
        <color indexed="10"/>
        <rFont val="Verdana"/>
        <family val="2"/>
      </rPr>
      <t>Magnum</t>
    </r>
  </si>
  <si>
    <t xml:space="preserve">Trimbach -Reserve Personnelle - Pinot Gris  </t>
  </si>
  <si>
    <r>
      <t>Trimbach -</t>
    </r>
    <r>
      <rPr>
        <b/>
        <sz val="8"/>
        <rFont val="Verdana"/>
        <family val="2"/>
      </rPr>
      <t xml:space="preserve"> Riesling </t>
    </r>
  </si>
  <si>
    <t>Coche-Dury - Meursault</t>
  </si>
  <si>
    <t>Etienne Sauzet - Batard - Montrachet - G C</t>
  </si>
  <si>
    <t>Du Mol - Chloe - Russian River Valley - Chardonnay</t>
  </si>
  <si>
    <t>Pierre Morey - Chevalier - Montrachet - G. C.</t>
  </si>
  <si>
    <t>Pierre Morey - Batard - Montrachet - G. C.</t>
  </si>
  <si>
    <r>
      <t xml:space="preserve">Dunn Vineyards - C. S. </t>
    </r>
    <r>
      <rPr>
        <b/>
        <sz val="8"/>
        <color indexed="10"/>
        <rFont val="Verdana"/>
        <family val="2"/>
      </rPr>
      <t xml:space="preserve">Magnum   </t>
    </r>
  </si>
  <si>
    <t xml:space="preserve">Mouchão </t>
  </si>
  <si>
    <t>Kistler - Sonoma Coast - Dutton Ranch - Chardonnay</t>
  </si>
  <si>
    <t>Kistler - Carneros - Hudson Vineyard - Chardonnay</t>
  </si>
  <si>
    <t>Kistler - Stone Flat  - Sonoma Coast - Chardonnay</t>
  </si>
  <si>
    <t>Kistler - Trenton Road House  - Sonoma Coast - Chardonnay</t>
  </si>
  <si>
    <t xml:space="preserve">Marcassin - Gauer Vineyard - Alexander Valley - Chardonnay </t>
  </si>
  <si>
    <t>Leroy - Corton Charlemagne - G. C.</t>
  </si>
  <si>
    <t>Domaine Des Comtes Lafon - Meursault - Clos de La Barre</t>
  </si>
  <si>
    <r>
      <t xml:space="preserve">Pape Clement - </t>
    </r>
    <r>
      <rPr>
        <b/>
        <sz val="8"/>
        <color indexed="10"/>
        <rFont val="Verdana"/>
        <family val="2"/>
      </rPr>
      <t>Magnum</t>
    </r>
  </si>
  <si>
    <t>La Jota Vineyard - 12Th Anniversary Release - C.S.</t>
  </si>
  <si>
    <t>Giacomo Borgogno e Figli - Riserva</t>
  </si>
  <si>
    <t xml:space="preserve">Muga - Aro </t>
  </si>
  <si>
    <t>Leroy -Vosne Romanée - Les Beaux Monts</t>
  </si>
  <si>
    <t>94 - 19</t>
  </si>
  <si>
    <t>93 - 10</t>
  </si>
  <si>
    <t>97 - 17</t>
  </si>
  <si>
    <t>94 - 06</t>
  </si>
  <si>
    <t>95 - 20</t>
  </si>
  <si>
    <t xml:space="preserve">     - 12</t>
  </si>
  <si>
    <t xml:space="preserve">     - 02</t>
  </si>
  <si>
    <t xml:space="preserve"> 12 - 20</t>
  </si>
  <si>
    <t>97 - 100</t>
  </si>
  <si>
    <t>02 - 10</t>
  </si>
  <si>
    <r>
      <t xml:space="preserve">Leflaive - Puligny -Montrachet - Les Pucelles </t>
    </r>
    <r>
      <rPr>
        <b/>
        <sz val="8"/>
        <color indexed="60"/>
        <rFont val="Verdana"/>
        <family val="2"/>
      </rPr>
      <t/>
    </r>
  </si>
  <si>
    <t>Leflaive - Puligny -Montrachet - Les Pucelles - P. C.</t>
  </si>
  <si>
    <t>Leflaive - Puligny -Montrachet - Les Combettes - P. C.</t>
  </si>
  <si>
    <t>Leflaive - Puligny -Montrachet - Clavoillon - P. C.</t>
  </si>
  <si>
    <t xml:space="preserve">Peter Michael - Cuvée Indigène </t>
  </si>
  <si>
    <t>Peter Michael - Mon Plaisir</t>
  </si>
  <si>
    <t>Peter Michael Belle Côte</t>
  </si>
  <si>
    <t>Kistler - Sonoma Coast - Durell Vineyard - Chardonnay</t>
  </si>
  <si>
    <r>
      <t xml:space="preserve">Peter Michael - Clos Dú Ciel  - </t>
    </r>
    <r>
      <rPr>
        <b/>
        <sz val="8"/>
        <color indexed="10"/>
        <rFont val="Verdana"/>
        <family val="2"/>
      </rPr>
      <t>Magnum</t>
    </r>
  </si>
  <si>
    <t>Peter Michael - La Carrière</t>
  </si>
  <si>
    <t xml:space="preserve">Kistler - Russian River Valley  - Vine Hill Vineyard </t>
  </si>
  <si>
    <t xml:space="preserve">Marcassin - Alexander Mountain Upper Barn - Alexander Valley - Chardonnay </t>
  </si>
  <si>
    <t>HAUT MÉDOC</t>
  </si>
  <si>
    <t>MÉDOC - PAUILLAC</t>
  </si>
  <si>
    <t>MÉDOC - PAUILLAC (continuação)</t>
  </si>
  <si>
    <t>MÉDOC - PAUILLAC ( total )</t>
  </si>
  <si>
    <t>MÉDOC - MARGAUX</t>
  </si>
  <si>
    <t>MÉDOC - MARGAUX  (continuação)</t>
  </si>
  <si>
    <t>MÉDOC - MARGAUX ( total )</t>
  </si>
  <si>
    <t>MÉDOC - ST. ESTÈPHE</t>
  </si>
  <si>
    <t xml:space="preserve">     MÉDOC - ST. ESTÈPHE  (continuação)</t>
  </si>
  <si>
    <t>MÉDOC - ST. ESTÈPHE  ( total )</t>
  </si>
  <si>
    <t>MÉDOC - ST. JULIEN</t>
  </si>
  <si>
    <t>MÉDOC - ST. JULIEN (continuação)</t>
  </si>
  <si>
    <t>MÉDOC - ST. JULIEN  ( total )</t>
  </si>
  <si>
    <t>HAUT MÉDOC ( total )</t>
  </si>
  <si>
    <t>GRAVES - PESSAC-LÉOGNAN</t>
  </si>
  <si>
    <t>GRAVES - PESSAC-LÉOGNAN (continuação)</t>
  </si>
  <si>
    <t>GRAVES - PESSAC-LÉOGNAN ( total )</t>
  </si>
  <si>
    <r>
      <t xml:space="preserve">Leflaive - Puligny -Montrachet </t>
    </r>
    <r>
      <rPr>
        <b/>
        <sz val="8"/>
        <color indexed="60"/>
        <rFont val="Verdana"/>
        <family val="2"/>
      </rPr>
      <t/>
    </r>
  </si>
  <si>
    <t>Monte Bello - Ridge California  - Chardonnay</t>
  </si>
  <si>
    <t>Joseph Drouhin - Corton-Charlemagne - G C</t>
  </si>
  <si>
    <t xml:space="preserve">Olivier Bernstein - Corton -Charlemagne - G. C. </t>
  </si>
  <si>
    <t xml:space="preserve">Peter Michael - Point Rouge </t>
  </si>
  <si>
    <t xml:space="preserve">Domaine François Raveneau - Chablis - Blanchot - G. C. </t>
  </si>
  <si>
    <t>00 - 90</t>
  </si>
  <si>
    <t>12 - 31</t>
  </si>
  <si>
    <t>Hermanos Péres Pascuas. S.L. - Pérez Pascuas</t>
  </si>
  <si>
    <t>Leroy - Montrachet - G. C.</t>
  </si>
  <si>
    <t xml:space="preserve">Lynch Bages </t>
  </si>
  <si>
    <t>Larcis Ducasse</t>
  </si>
  <si>
    <r>
      <t xml:space="preserve">Leflaive - Chevalier -Montrachet  G. C. - </t>
    </r>
    <r>
      <rPr>
        <b/>
        <sz val="8"/>
        <color rgb="FFFF0000"/>
        <rFont val="Verdana"/>
        <family val="2"/>
      </rPr>
      <t>Magnum</t>
    </r>
  </si>
  <si>
    <t>Protos - Reserva</t>
  </si>
  <si>
    <r>
      <t>Bruno Giacosa - Asili Di Barbaresco  -</t>
    </r>
    <r>
      <rPr>
        <b/>
        <sz val="8"/>
        <color rgb="FFFF0000"/>
        <rFont val="Verdana"/>
        <family val="2"/>
      </rPr>
      <t xml:space="preserve"> Magnum</t>
    </r>
  </si>
  <si>
    <r>
      <t xml:space="preserve">Silver Oak - Napa Valley - C.S.  - </t>
    </r>
    <r>
      <rPr>
        <b/>
        <sz val="8"/>
        <color rgb="FFFF0000"/>
        <rFont val="Verdana"/>
        <family val="2"/>
      </rPr>
      <t>Magnum</t>
    </r>
  </si>
  <si>
    <r>
      <t xml:space="preserve">Beringer - Napa Valley  - C. S. </t>
    </r>
    <r>
      <rPr>
        <b/>
        <sz val="8"/>
        <color indexed="10"/>
        <rFont val="Verdana"/>
        <family val="2"/>
      </rPr>
      <t xml:space="preserve">Magnum   </t>
    </r>
  </si>
  <si>
    <t xml:space="preserve">Jacques Frederic Mugnier - Chambolle - Musigny </t>
  </si>
  <si>
    <t>Monte Cascas - Colares</t>
  </si>
  <si>
    <t xml:space="preserve">Diamond Creek - Volcanic Hill  - C.S. </t>
  </si>
  <si>
    <t>Christian Moreau - Chablis Vaudésir  - G. C.</t>
  </si>
  <si>
    <t>Dão - Casa da Passarella - Villa Oliveira - D.O.C.Único</t>
  </si>
  <si>
    <t>Oboé - Grande Escolha</t>
  </si>
  <si>
    <t xml:space="preserve">Prieuré Roch - Vosne Romanée - Les Clous  </t>
  </si>
  <si>
    <t>Bruno Giacosa - Asili Di Barbaresco</t>
  </si>
  <si>
    <t>Biondi Santi - Tenuta - Greppo</t>
  </si>
  <si>
    <t>87 - 89</t>
  </si>
  <si>
    <t>97 - 99</t>
  </si>
  <si>
    <t>C.C.</t>
  </si>
  <si>
    <t>C.C</t>
  </si>
  <si>
    <t>Quinta do Fojo - Vinha do Fojo</t>
  </si>
  <si>
    <r>
      <t>BOURGOGNE</t>
    </r>
    <r>
      <rPr>
        <b/>
        <sz val="8"/>
        <color indexed="10"/>
        <rFont val="Verdana"/>
        <family val="2"/>
      </rPr>
      <t xml:space="preserve">   ( total )</t>
    </r>
  </si>
  <si>
    <t>95 - 08</t>
  </si>
  <si>
    <t>96 - 12</t>
  </si>
  <si>
    <t>99 - 15</t>
  </si>
  <si>
    <t>97 - 18</t>
  </si>
  <si>
    <t>01 - 13</t>
  </si>
  <si>
    <t>04 - 42</t>
  </si>
  <si>
    <t>98 - 16</t>
  </si>
  <si>
    <t>05 - 22</t>
  </si>
  <si>
    <t>13 - 35</t>
  </si>
  <si>
    <t>17 - 28</t>
  </si>
  <si>
    <t>09 - 52</t>
  </si>
  <si>
    <t>06 - 46</t>
  </si>
  <si>
    <t>21 - 71</t>
  </si>
  <si>
    <t>05 - 50</t>
  </si>
  <si>
    <t>02 - 35</t>
  </si>
  <si>
    <t>01 - 35</t>
  </si>
  <si>
    <t>07 - 40</t>
  </si>
  <si>
    <t>06 - 56</t>
  </si>
  <si>
    <t>17 - 92</t>
  </si>
  <si>
    <t>19 - 99</t>
  </si>
  <si>
    <t>15 - 60</t>
  </si>
  <si>
    <t>20 - 80</t>
  </si>
  <si>
    <t>19 - 54</t>
  </si>
  <si>
    <t>11 - 51</t>
  </si>
  <si>
    <t>96 - 20</t>
  </si>
  <si>
    <t>07 - 82</t>
  </si>
  <si>
    <t>16 - 66</t>
  </si>
  <si>
    <t>03 - 13</t>
  </si>
  <si>
    <t>01 - 12</t>
  </si>
  <si>
    <t xml:space="preserve">    - 28</t>
  </si>
  <si>
    <t>03 - 33</t>
  </si>
  <si>
    <t xml:space="preserve">    - 25</t>
  </si>
  <si>
    <r>
      <t>12 - 32</t>
    </r>
    <r>
      <rPr>
        <b/>
        <vertAlign val="superscript"/>
        <sz val="8"/>
        <color indexed="12"/>
        <rFont val="Verdana"/>
        <family val="2"/>
      </rPr>
      <t>+</t>
    </r>
  </si>
  <si>
    <r>
      <t>11 - 27</t>
    </r>
    <r>
      <rPr>
        <b/>
        <vertAlign val="superscript"/>
        <sz val="8"/>
        <color indexed="12"/>
        <rFont val="Verdana"/>
        <family val="2"/>
      </rPr>
      <t>+</t>
    </r>
  </si>
  <si>
    <t>03 - 19</t>
  </si>
  <si>
    <t>14 - 18</t>
  </si>
  <si>
    <t>04 - 31</t>
  </si>
  <si>
    <t>95 - 45</t>
  </si>
  <si>
    <t>03 - 53</t>
  </si>
  <si>
    <t>04 - 54</t>
  </si>
  <si>
    <t>11 - 61</t>
  </si>
  <si>
    <r>
      <t>RHÔNE</t>
    </r>
    <r>
      <rPr>
        <b/>
        <sz val="8"/>
        <color indexed="10"/>
        <rFont val="Verdana"/>
        <family val="2"/>
      </rPr>
      <t xml:space="preserve"> + VAL DU LOIRE + ALSACE  ( total )</t>
    </r>
  </si>
  <si>
    <t xml:space="preserve">Romanée Conti - Montrachet. </t>
  </si>
  <si>
    <t>Muga - Selección Especial</t>
  </si>
  <si>
    <t xml:space="preserve">Vincent Girardin - Batard - Montrachet - G.C. </t>
  </si>
  <si>
    <t xml:space="preserve">Marc Colin et ses Fils - Batard - Montrachet - G. C. </t>
  </si>
  <si>
    <t>19 - 50</t>
  </si>
  <si>
    <t xml:space="preserve">Caparzo - La Casa </t>
  </si>
  <si>
    <t>Caselli Anna Maria - La Colombina - Castelnuovo Dell'Abate</t>
  </si>
  <si>
    <r>
      <t xml:space="preserve">Il Caberlot -Podere Il Carnasciale - </t>
    </r>
    <r>
      <rPr>
        <b/>
        <sz val="8"/>
        <color rgb="FFFF0000"/>
        <rFont val="Verdana"/>
        <family val="2"/>
      </rPr>
      <t>Magnum</t>
    </r>
  </si>
  <si>
    <t>Leflaive - Puligny -Montrachet.</t>
  </si>
  <si>
    <r>
      <t xml:space="preserve">Leflaive - Puligny -Montrachet. </t>
    </r>
    <r>
      <rPr>
        <b/>
        <sz val="8"/>
        <color indexed="60"/>
        <rFont val="Verdana"/>
        <family val="2"/>
      </rPr>
      <t/>
    </r>
  </si>
  <si>
    <t>Louis Latour - Montrachet - G C</t>
  </si>
  <si>
    <t>Louis Latour - Batard Montrachet - G C</t>
  </si>
  <si>
    <t>Christian Moreau - Chablis - Clos des Hospices - Dans Les Clos - G C</t>
  </si>
  <si>
    <t>M. Chapoutier - De L`Orée</t>
  </si>
  <si>
    <r>
      <t xml:space="preserve">M. Chapoutier - De L`Orée - </t>
    </r>
    <r>
      <rPr>
        <b/>
        <sz val="8"/>
        <color indexed="10"/>
        <rFont val="Verdana"/>
        <family val="2"/>
      </rPr>
      <t>Magnum</t>
    </r>
  </si>
  <si>
    <t>M. Chapoutier - L`Ermite</t>
  </si>
  <si>
    <r>
      <t xml:space="preserve">Palmer - </t>
    </r>
    <r>
      <rPr>
        <b/>
        <sz val="8"/>
        <color indexed="10"/>
        <rFont val="Verdana"/>
        <family val="2"/>
      </rPr>
      <t>Magnum</t>
    </r>
  </si>
  <si>
    <t>Lisboa - Colares Manoel José Colares</t>
  </si>
  <si>
    <t>Lisboa - Colares Visconde de Salreu Colheita 1947</t>
  </si>
  <si>
    <t>Lisboa - Colares Visconde de Salreu Colheita 1962</t>
  </si>
  <si>
    <t xml:space="preserve">Lisboa - Colares Adega Regional </t>
  </si>
  <si>
    <t>Lisboa - Colares Chitas - Reserva Branco</t>
  </si>
  <si>
    <t>Leroy -Vosne Romanée - Aux Genaivrières</t>
  </si>
  <si>
    <t>Henri Boillot - Criots - Batard -Montrachet - G C .</t>
  </si>
  <si>
    <t>Château Pesquié - Terrasses - Ventoux</t>
  </si>
  <si>
    <t xml:space="preserve">Indomito - Aglianico Del Beneventano </t>
  </si>
  <si>
    <t>GERAL</t>
  </si>
  <si>
    <t>GERAL   ( total )</t>
  </si>
  <si>
    <t>Produttori del Barbaresco - Barbaresco</t>
  </si>
  <si>
    <t xml:space="preserve">Marcel Deiss - Schoenenbourg - Grand Cru    </t>
  </si>
  <si>
    <t xml:space="preserve">Marcel Deiss - Altenberg de Begcheim  - Grand Cru    </t>
  </si>
  <si>
    <t>Tenuta Guado Al Tasso - Antinori</t>
  </si>
  <si>
    <t>Aldo Conterno</t>
  </si>
  <si>
    <t>Gaja</t>
  </si>
  <si>
    <t xml:space="preserve">Vincent Girardin - Meursault - Les Narvaux </t>
  </si>
  <si>
    <t>Zind-Humbrecht - Clos Saint Urbain - Rangen de Thann Turckheim - Pinot Gris - G. C. 750ML</t>
  </si>
  <si>
    <t>Zind-Humbrecht - Herrenweg de Turckheim - Riesling - 750ML</t>
  </si>
  <si>
    <t xml:space="preserve">Zusslin - Valentín - Grand Cru Pfingstberg - Riesling </t>
  </si>
  <si>
    <t>06 - 35</t>
  </si>
  <si>
    <t>08 - 19</t>
  </si>
  <si>
    <t xml:space="preserve">Bond Melbury Oakville - Napa Valley - C.S. </t>
  </si>
  <si>
    <t xml:space="preserve">Bond St. Eden - Napa Valley - C.S. </t>
  </si>
  <si>
    <t xml:space="preserve">Bond Oakville Vecina - Napa Valley - C.S. </t>
  </si>
  <si>
    <t xml:space="preserve">Schrader - Beckstoffer - To Kalon - C.S. </t>
  </si>
  <si>
    <t xml:space="preserve">Schrader  - Beckstoffer - To Kalon - C.S. </t>
  </si>
  <si>
    <r>
      <t xml:space="preserve">Schrader - Beckstoffer - To Kalon - Old Sparky - C.S.  </t>
    </r>
    <r>
      <rPr>
        <b/>
        <sz val="8"/>
        <color indexed="10"/>
        <rFont val="Verdana"/>
        <family val="2"/>
      </rPr>
      <t>Magnum</t>
    </r>
  </si>
  <si>
    <t xml:space="preserve">Schrader - Beckstoffer - To Kalon - T6 - C.S. </t>
  </si>
  <si>
    <t xml:space="preserve">Schrader - Beckstoffer - To Kalon - RBS - C.S. </t>
  </si>
  <si>
    <t>Casa Cisca - Bodegas Castaño - Monastrell</t>
  </si>
  <si>
    <t xml:space="preserve">Lisboa - Colares - Monte Cascas - Malvasia </t>
  </si>
  <si>
    <t>Dão - Casa da Passarella - Villa Oliveira - Encruzado</t>
  </si>
  <si>
    <t>Bin 95 - Penfolds - Barossa Valley - C. S.</t>
  </si>
  <si>
    <t xml:space="preserve">Galatrona - Petrolo </t>
  </si>
  <si>
    <t>Domaine Comte Georges de Vogué  - Musigny Blanc</t>
  </si>
  <si>
    <t xml:space="preserve">Badia di Morrona - Vigna Alta - Sangiovese </t>
  </si>
  <si>
    <t>Giordano - Valle talloria Di Piano D`Alba</t>
  </si>
  <si>
    <t xml:space="preserve">Rocca Albino - Vigneto Briche Ronchi </t>
  </si>
  <si>
    <t xml:space="preserve">Paul Jaboulet Ainé - La Chapelle </t>
  </si>
  <si>
    <r>
      <t>Etienne Sauzet - Montrachet - G C</t>
    </r>
    <r>
      <rPr>
        <b/>
        <sz val="8"/>
        <color indexed="60"/>
        <rFont val="Verdana"/>
        <family val="2"/>
      </rPr>
      <t xml:space="preserve"> </t>
    </r>
  </si>
  <si>
    <r>
      <t xml:space="preserve">Peter Michael - Cuvée Indigène - </t>
    </r>
    <r>
      <rPr>
        <b/>
        <sz val="8"/>
        <color rgb="FFFF0000"/>
        <rFont val="Verdana"/>
        <family val="2"/>
      </rPr>
      <t>Magnum</t>
    </r>
  </si>
  <si>
    <t xml:space="preserve">Bairrada - Colinas De Ançã  - Baga - Reserva </t>
  </si>
  <si>
    <t>Poggio di Sotto - P. Palmucci</t>
  </si>
  <si>
    <t>Vega - Sicilia "Único" Gran Reserva</t>
  </si>
  <si>
    <t xml:space="preserve">Vega - Sicilia "Único" Gran Reserva </t>
  </si>
  <si>
    <t xml:space="preserve">Vega - Sicilia "Único" Reserva Especial ( --  /  --  / -- ) </t>
  </si>
  <si>
    <t xml:space="preserve">Vega - Sicilia "Único" Reserva Especial 1988 ( 60 / 65 / 72 ) </t>
  </si>
  <si>
    <t xml:space="preserve">Vega - Sicilia "Único" Reserva Especial ( 85 / 90 / 91 ) </t>
  </si>
  <si>
    <t xml:space="preserve">Vega - Sicilia "Único" Reserva Especial ( 85 / 91 / 96 ) </t>
  </si>
  <si>
    <t xml:space="preserve">Vega - Sicilia "Único" Reserva Especial ( 89 / 90 / 94 ) </t>
  </si>
  <si>
    <t xml:space="preserve">Vega - Sicilia "Único" Reserva Especial ( 90 / 91 / 94 ) </t>
  </si>
  <si>
    <t xml:space="preserve">Vega - Sicilia "Único" Reserva Especial ( 90 / 91 / 96 ) </t>
  </si>
  <si>
    <t xml:space="preserve">Vega - Sicilia "Único" Reserva Especial ( 91 / 94 / 95 ) </t>
  </si>
  <si>
    <t xml:space="preserve">Vega - Sicilia "Único" Reserva Especial ( 91 / 94 / 99 ) </t>
  </si>
  <si>
    <r>
      <t xml:space="preserve">La Mission - Haut-Brion - </t>
    </r>
    <r>
      <rPr>
        <b/>
        <sz val="8"/>
        <color rgb="FFFF0000"/>
        <rFont val="Verdana"/>
        <family val="2"/>
      </rPr>
      <t>Magnum</t>
    </r>
  </si>
  <si>
    <r>
      <t xml:space="preserve">Bond Oakville Vecina - Napa Valley - C.S. - </t>
    </r>
    <r>
      <rPr>
        <b/>
        <sz val="8"/>
        <color rgb="FFFF0000"/>
        <rFont val="Verdana"/>
        <family val="2"/>
      </rPr>
      <t>Magnum</t>
    </r>
  </si>
  <si>
    <t>Domaine François Raveneau - Chablis - Valmur-  G. C.</t>
  </si>
  <si>
    <t>Domaine François Raveneau - Chablis - Clos -  G. C.</t>
  </si>
  <si>
    <r>
      <t xml:space="preserve">Pichon Longueville Baron - </t>
    </r>
    <r>
      <rPr>
        <b/>
        <sz val="8"/>
        <color rgb="FFFF0000"/>
        <rFont val="Verdana"/>
        <family val="2"/>
      </rPr>
      <t>Magnum</t>
    </r>
  </si>
  <si>
    <r>
      <t xml:space="preserve">Vega - Sicilia "Único" Gran Reserva - </t>
    </r>
    <r>
      <rPr>
        <b/>
        <sz val="8"/>
        <color rgb="FFFF0000"/>
        <rFont val="Verdana"/>
        <family val="2"/>
      </rPr>
      <t>Magnum</t>
    </r>
  </si>
  <si>
    <r>
      <t xml:space="preserve">Diamond Creek - Volcanic Hill  - C.S. - </t>
    </r>
    <r>
      <rPr>
        <b/>
        <sz val="8"/>
        <color rgb="FFFF0000"/>
        <rFont val="Verdana"/>
        <family val="2"/>
      </rPr>
      <t>Magnum</t>
    </r>
  </si>
  <si>
    <t xml:space="preserve">Dão - Quinta da Falorca </t>
  </si>
  <si>
    <t>Viñedos de Páganos S. L. - La Nieta</t>
  </si>
  <si>
    <t xml:space="preserve">Sassicaia - Tenuta San Guido </t>
  </si>
  <si>
    <t>Alban Vineyards - Reva -  Edna Valley - Syrah</t>
  </si>
  <si>
    <t>Blog '09</t>
  </si>
  <si>
    <t>Lisboa - Collares Viuva José Gomes da Silva &amp; Filhos</t>
  </si>
  <si>
    <t>Lisboa - Collares Viuva José Gomes da Silva &amp; Filhos - Reserva Tinto</t>
  </si>
  <si>
    <t xml:space="preserve">Ornellaia - Tenuta Dell'Ornellaia </t>
  </si>
  <si>
    <r>
      <t>Messorio - Le Macchiole  -</t>
    </r>
    <r>
      <rPr>
        <b/>
        <sz val="8"/>
        <color rgb="FFFF0000"/>
        <rFont val="Verdana"/>
        <family val="2"/>
      </rPr>
      <t xml:space="preserve"> Magnum</t>
    </r>
  </si>
  <si>
    <t>Herdade do Peso - Reserva</t>
  </si>
  <si>
    <t>Finca Espolla - Perelada</t>
  </si>
  <si>
    <t>Alvarinho -Quinta de Soalheiro - Soalheiro</t>
  </si>
  <si>
    <t>Roquette &amp; Cazes Touriga Nacional. Tinta Roriz e Touriga Franca</t>
  </si>
  <si>
    <t>Sine Qua Non - Five Shooter - Syrah</t>
  </si>
  <si>
    <r>
      <t xml:space="preserve">Pavie Decesse - </t>
    </r>
    <r>
      <rPr>
        <b/>
        <sz val="8"/>
        <color rgb="FFFF0000"/>
        <rFont val="Verdana"/>
        <family val="2"/>
      </rPr>
      <t>Magnum</t>
    </r>
  </si>
  <si>
    <t>Sine Qua Non - Poker Face - Syrah</t>
  </si>
  <si>
    <t>Sine Qua Non - Labels - Syrah</t>
  </si>
  <si>
    <t>Sine Qua Non - Dark Blosson - Syrah</t>
  </si>
  <si>
    <t>14 - 31</t>
  </si>
  <si>
    <t>98 - 15</t>
  </si>
  <si>
    <t>Lodovico Antinori - Tenuta de Biserno</t>
  </si>
  <si>
    <t xml:space="preserve">Flaccianello Della Pieve - Fontodi </t>
  </si>
  <si>
    <t>Castello di Ama - L'Apparita</t>
  </si>
  <si>
    <t xml:space="preserve">Gruaud Larose </t>
  </si>
  <si>
    <t xml:space="preserve">Dão - Quinta da Garrida </t>
  </si>
  <si>
    <t>Sicilia - Nero D`Avola - Nerello Mascalese</t>
  </si>
  <si>
    <t xml:space="preserve">Sine Qua Non - Stock - Syrah </t>
  </si>
  <si>
    <t>Sine Qua Non - Elaine &amp; Manfred Krankl of - Syrah</t>
  </si>
  <si>
    <t>Sine Qua Non - Piranha Waterdance - Syrah</t>
  </si>
  <si>
    <t>Flor de Pingus</t>
  </si>
  <si>
    <t>96 - 26</t>
  </si>
  <si>
    <t>19 - 39</t>
  </si>
  <si>
    <t>12 - 17</t>
  </si>
  <si>
    <t>19 - 37</t>
  </si>
  <si>
    <r>
      <t xml:space="preserve">  93</t>
    </r>
    <r>
      <rPr>
        <b/>
        <vertAlign val="superscript"/>
        <sz val="8"/>
        <color indexed="12"/>
        <rFont val="Verdana"/>
        <family val="2"/>
      </rPr>
      <t>+</t>
    </r>
  </si>
  <si>
    <t>15 - 28</t>
  </si>
  <si>
    <t>01 - 09</t>
  </si>
  <si>
    <t xml:space="preserve">Kistler - couvée Elisabeth - Sonoma Coast  - Pinot Noir </t>
  </si>
  <si>
    <t xml:space="preserve">Kistler - Sonoma Coast - Pinot Noir </t>
  </si>
  <si>
    <t xml:space="preserve">Cortes de Cima - Incógnito </t>
  </si>
  <si>
    <r>
      <t xml:space="preserve">Clos Mogador - </t>
    </r>
    <r>
      <rPr>
        <b/>
        <sz val="8"/>
        <color rgb="FFFF0000"/>
        <rFont val="Verdana"/>
        <family val="2"/>
      </rPr>
      <t>Magnum</t>
    </r>
  </si>
  <si>
    <t>Marqués de Riscal - Reserva - Elciego (Alava)</t>
  </si>
  <si>
    <t>Leroy - Bourgogne</t>
  </si>
  <si>
    <t xml:space="preserve">Trimbach - Clos Ste Hune - Riesling </t>
  </si>
  <si>
    <t>Jim Barry - The Armagh - Shiraz</t>
  </si>
  <si>
    <r>
      <t xml:space="preserve">Lisboa - Quinta do Monte d`Oiro - </t>
    </r>
    <r>
      <rPr>
        <b/>
        <sz val="8"/>
        <color rgb="FFFF0000"/>
        <rFont val="Verdana"/>
        <family val="2"/>
      </rPr>
      <t>Magnum</t>
    </r>
  </si>
  <si>
    <t xml:space="preserve">Gaja </t>
  </si>
  <si>
    <t>Leroy - Chassagne Montrachet - Les Chenevottes -  P. C.</t>
  </si>
  <si>
    <t xml:space="preserve">Redigaffi - Tua Rita </t>
  </si>
  <si>
    <t>98 - 18</t>
  </si>
  <si>
    <t xml:space="preserve">Paul Hobbs -Chardonnay </t>
  </si>
  <si>
    <r>
      <t>RHÔNE</t>
    </r>
    <r>
      <rPr>
        <b/>
        <sz val="8"/>
        <color indexed="10"/>
        <rFont val="Verdana"/>
        <family val="2"/>
      </rPr>
      <t xml:space="preserve"> + VAL DU LOIRE +CORNAS + GERAL ( total )</t>
    </r>
  </si>
  <si>
    <t xml:space="preserve">DRC - La Tâche - GC </t>
  </si>
  <si>
    <t>DRC - Richebourg - GC</t>
  </si>
  <si>
    <t>DRC - Grands Échézeaux - GC</t>
  </si>
  <si>
    <t>DRC - Échézeaux - GC</t>
  </si>
  <si>
    <t>Leroy - Romanee Saint Vivant GC</t>
  </si>
  <si>
    <t>Domaine G. Roumier - Bonnes - Mares - GC</t>
  </si>
  <si>
    <t>Domaine G. Roumier - Ruchottes -Chambertin - GC</t>
  </si>
  <si>
    <t xml:space="preserve">Domaine Ponsot - Chambertin - GC </t>
  </si>
  <si>
    <t xml:space="preserve">Domaine Ponsot - Chapelle -Chambertin - GC </t>
  </si>
  <si>
    <t xml:space="preserve">Domaine Ponsot - Griotte Chambertin - GC </t>
  </si>
  <si>
    <t>Jacques Frederic Mugnier - Musigny - GC</t>
  </si>
  <si>
    <t>Jacques Frederic Mugnier - Bonnes - Mares - GC</t>
  </si>
  <si>
    <t>Mommessin - Charmes Chambertin -  GC</t>
  </si>
  <si>
    <t>Mommessin - Clos de Tart GC</t>
  </si>
  <si>
    <t>Domaine Des Lambrays - Clos des Lambrays GC</t>
  </si>
  <si>
    <t>Domaine Anne-Francois Gros - Richebourg - GC</t>
  </si>
  <si>
    <t>Simon Bize &amp; Fils - Latricières Chanbertin GC</t>
  </si>
  <si>
    <t>Bouchard Père &amp; Fils - La Romanée GC</t>
  </si>
  <si>
    <t>Joseph et Philippe Roty - Mazy Chambertin - GC</t>
  </si>
  <si>
    <t>Joseph et Philippe Roty - Griottes - Chambertin - GC</t>
  </si>
  <si>
    <t>Joseph et Philippe Roty - Charmes Chambertin - GC</t>
  </si>
  <si>
    <t>Dominique Laurent - Mazis Chambertin - GC</t>
  </si>
  <si>
    <t>Dominique Laurent - Bonnes Mares - GC</t>
  </si>
  <si>
    <t>Dominique Laurent - Clos de la Roche - GC</t>
  </si>
  <si>
    <t>Denis Mortet - Chambertin - GC</t>
  </si>
  <si>
    <t>Maison Roche de Bellene - Latricières-Chambertin -  GC</t>
  </si>
  <si>
    <t>Maison Roche de Bellene - Bonnes Mares -  GC</t>
  </si>
  <si>
    <t>Maison Roche de Bellene - Clos de Vougeot -  GC</t>
  </si>
  <si>
    <t>Prieuré Roch - Clos de Vougeot - GC</t>
  </si>
  <si>
    <t>Faiveley - Chambertin - Clos de Bèze - GC</t>
  </si>
  <si>
    <t>Domaine Dujac - Charmes Chamberttin - GC</t>
  </si>
  <si>
    <t>Domaine Dujac - Bonnes Mares - GC</t>
  </si>
  <si>
    <t>Domaine Dujac - Clos de La Roche - GC</t>
  </si>
  <si>
    <t>Domaine Dujac - Echezeaux - GC</t>
  </si>
  <si>
    <t>Domaine Dujac - Clos de Saint -Denis - GC</t>
  </si>
  <si>
    <t>Hubert Lignier - Clos de La Roche - GC</t>
  </si>
  <si>
    <t>Robert Groffier Père &amp; Fils - Chambertin Clos de Bèze - GC</t>
  </si>
  <si>
    <t>Robert Groffier Père &amp; Fils - Bonnes Mares - GC</t>
  </si>
  <si>
    <t>Remoissenet - Clos Vougeot - GC</t>
  </si>
  <si>
    <t>Lucien Le Moine - Grands Echezeaux - GC</t>
  </si>
  <si>
    <t>Lucien Le Moine - Romanée-St-Vivant - GC</t>
  </si>
  <si>
    <t>Lucien Le Moine - Chambertin - Clos de Bèze  - GC</t>
  </si>
  <si>
    <t xml:space="preserve">Lucien Le Moine - Mazis - Chambertin - GC </t>
  </si>
  <si>
    <t xml:space="preserve">Olivier Bernstein - Clos de la Roche - GC </t>
  </si>
  <si>
    <t>Camille Giroud - Echezeaux - GC</t>
  </si>
  <si>
    <t>Camille Giroud - Chambertin - GC</t>
  </si>
  <si>
    <t>Camille Giroud - Charmes Chambertin - GC</t>
  </si>
  <si>
    <t>Camille Giroud - Chapelle - Chambertin - GC</t>
  </si>
  <si>
    <t>Camille Giroud - Clos de Vougeot - GC</t>
  </si>
  <si>
    <t>Camille Giroud - Latricières - Chambertin - GC</t>
  </si>
  <si>
    <t xml:space="preserve">Camille Giroud - Latricières - Chambertin - GC </t>
  </si>
  <si>
    <t xml:space="preserve">Domaine Bruno Clair - Chambertin Clos de Bèze GC </t>
  </si>
  <si>
    <t xml:space="preserve">Domaine de Montille - Clos Vougeot  GC </t>
  </si>
  <si>
    <t>Leroy - Clos de Vougeot - GC</t>
  </si>
  <si>
    <t>Leroy - Clos de La Roche - GC</t>
  </si>
  <si>
    <t>Leroy - Corton - Renardes - GC</t>
  </si>
  <si>
    <t>Armand Rousseau - Chambertin - GC</t>
  </si>
  <si>
    <t>Armand Rousseau - Chambertin Clos de Bèze - GC</t>
  </si>
  <si>
    <t>Armand Rousseau - Mazy Chambertin - GC</t>
  </si>
  <si>
    <t>Armand Rousseau - Ruchottes Chambertin - Clos des Ruchottes - GC</t>
  </si>
  <si>
    <t>Armand Rousseau - Ruchottes Chambertin - Clos des Ruchottes - Monopole - GC</t>
  </si>
  <si>
    <t>Armand Rousseau - Charmes Chambertin - GC</t>
  </si>
  <si>
    <t>Armand Rousseau - Clos de la Roche - GC</t>
  </si>
  <si>
    <t xml:space="preserve">Georges de Vogué  - Bonnes - Mares - GC </t>
  </si>
  <si>
    <t>Dugat - Py B. - Mazis Chambertin GC</t>
  </si>
  <si>
    <t>Dugat - Py B. - Charmes - Chambertin - GC</t>
  </si>
  <si>
    <t>Claude Dugat - Griotte - Chambertin  GC</t>
  </si>
  <si>
    <t>Claude Dugat - Charmes Chambertin  GC</t>
  </si>
  <si>
    <t>Joseph Drouhin - Musigny - GC</t>
  </si>
  <si>
    <t>Jacques Prieur - Musigny - GC</t>
  </si>
  <si>
    <t>Jacques Prieur - Corton Les Bressandes - GC</t>
  </si>
  <si>
    <t>Louis Jadot - Echezeaux - GC</t>
  </si>
  <si>
    <t xml:space="preserve">Louis Jadot -  Chambertin - Clos de Bèze - GC </t>
  </si>
  <si>
    <t>Louis Jadot - Clos De La Roche - GC</t>
  </si>
  <si>
    <t xml:space="preserve">Nicolas Potel - Chambertin - GC </t>
  </si>
  <si>
    <t xml:space="preserve">Nicolas Potel - Chambertin - Clos de Bèze - GC </t>
  </si>
  <si>
    <t xml:space="preserve">Nicolas Potel - Romanée Saint-Vivant - GC </t>
  </si>
  <si>
    <t xml:space="preserve">Nicolas Potel - Bonnes Mares - GC </t>
  </si>
  <si>
    <t xml:space="preserve">Nicolas Potel - Clos de Vougeot - GC </t>
  </si>
  <si>
    <t xml:space="preserve">Méo Camuzet - Richebourg - GC </t>
  </si>
  <si>
    <t xml:space="preserve">Méo Camuzet - Clos de Vougeot GC </t>
  </si>
  <si>
    <t>Philippe Pacalet - Charmes Chamberttin - GC</t>
  </si>
  <si>
    <t>Pierre Damoy - Chambertin - GC</t>
  </si>
  <si>
    <t>Pierre Damoy - Chambertin Clos de Bèze - GC</t>
  </si>
  <si>
    <t>Pierre Damoy - Chapelle Chambertin - GC</t>
  </si>
  <si>
    <t>Faiveley - Latricières - Chambertin - GC</t>
  </si>
  <si>
    <t>Christian Confuron &amp; Fils - Musigny - GC</t>
  </si>
  <si>
    <t>Drouhin - Laroze - Chambertin Clos de Bèze - GC</t>
  </si>
  <si>
    <t>Drouhin - Laroze - Bonnes Mares - GC</t>
  </si>
  <si>
    <t>Armand Rousseau - Gevrey Chambertin - Clos S. Jacques P C</t>
  </si>
  <si>
    <t xml:space="preserve">Domaine Ponsot - Clos de la Roche - V V - GC </t>
  </si>
  <si>
    <t>Georges de Vogué  - Musigny - V V - GC</t>
  </si>
  <si>
    <t xml:space="preserve">Perrot Minot - Chapelle Chambertin  - V V - GC </t>
  </si>
  <si>
    <t>Jacques Frederic Mugnier - Chambolle - Musigny - Les Amoureuses - P C</t>
  </si>
  <si>
    <t>Georges de Vogué  - Chambolle - Musigny - P C</t>
  </si>
  <si>
    <t>Dugat - Py B. - Gevrey Chambertin - P C</t>
  </si>
  <si>
    <t>Dugat - Py B. -  Gevrey Chambertin - Coeur de Roy - P C</t>
  </si>
  <si>
    <t>Dugat - Py B. - Gevrey Chambertin - Petite Chapelle - P C</t>
  </si>
  <si>
    <t>Méo Camuzet - Vosne-Romanee - Aux Brulées - P C</t>
  </si>
  <si>
    <t>Méo Camuzet - Nuits Saint Georges L. Perrières - P C</t>
  </si>
  <si>
    <t>Maison Roche de Bellene - Gevrey Chambertin - Champeaux - P C</t>
  </si>
  <si>
    <t>Maison Roche de Bellene - Nuits Saint Georges - P C</t>
  </si>
  <si>
    <t>Henri Gouges - Nuits Saint Georges - Les Pruliers - P C</t>
  </si>
  <si>
    <t>Domaine Dujac - Vosne-Romanée - Aux Malconsorts - P C</t>
  </si>
  <si>
    <t>Lucien Le Moine-Les Saint-Geoges- Nuits Saint Georges - P C</t>
  </si>
  <si>
    <t xml:space="preserve">Lucien Le Moine - Chambolle - Musigny - Les Charmes - P C </t>
  </si>
  <si>
    <t>Domaine G. Roumier - Chambolle-Musigny  - P C - Les Amoureuses</t>
  </si>
  <si>
    <r>
      <t xml:space="preserve">Domaine Ponsot - Clos de la Roche - V V - GC - </t>
    </r>
    <r>
      <rPr>
        <b/>
        <sz val="8"/>
        <color rgb="FFFF0000"/>
        <rFont val="Verdana"/>
        <family val="2"/>
      </rPr>
      <t>Magnum</t>
    </r>
  </si>
  <si>
    <r>
      <t xml:space="preserve">DRC - Grands Échézeaux - GC - </t>
    </r>
    <r>
      <rPr>
        <b/>
        <sz val="8"/>
        <color rgb="FFFF0000"/>
        <rFont val="Verdana"/>
        <family val="2"/>
      </rPr>
      <t>Magnum</t>
    </r>
  </si>
  <si>
    <t xml:space="preserve">Domaine Anne-Francois Gros - Clos Vougeot - Le Grand Maupertui - GC </t>
  </si>
  <si>
    <t xml:space="preserve">Domaine Anne-Francois Gros - Clos Vougeot - GC </t>
  </si>
  <si>
    <t>Dugat - Py B. - Gevrey Chambertin  - Champeaux - P C</t>
  </si>
  <si>
    <t>Dominique Laurent - Clos de la Roche -"Intra-Muros"  Cuvée VV</t>
  </si>
  <si>
    <t>Dominique Laurent - Grands Echezeaux - GC</t>
  </si>
  <si>
    <t xml:space="preserve">Dominique Laurent - Echezeaux - GC </t>
  </si>
  <si>
    <t>Dominique Laurent - Clos Vougeot - GC V V "sui generis"</t>
  </si>
  <si>
    <t xml:space="preserve">Perrot Minot - Mazoyères -Chambertin - GC </t>
  </si>
  <si>
    <t xml:space="preserve">Lucien Le Moine - Bonnes Mares - GC </t>
  </si>
  <si>
    <t xml:space="preserve">Perrot Minot - Chambertin - Clos De Bèze - V V  - GC </t>
  </si>
  <si>
    <t xml:space="preserve">Perrot Minot - Chambertin - Clos De Bèze - GC </t>
  </si>
  <si>
    <r>
      <t xml:space="preserve">Perrot Minot - Chambolle Musigny- Les Fuées - P C - </t>
    </r>
    <r>
      <rPr>
        <b/>
        <sz val="8"/>
        <color rgb="FFFF0000"/>
        <rFont val="Verdana"/>
        <family val="2"/>
      </rPr>
      <t>Magnum</t>
    </r>
  </si>
  <si>
    <t>Perrot Minot - Charmes Chambertin - V V - GC</t>
  </si>
  <si>
    <r>
      <t xml:space="preserve">Maison Roche de Bellene - Chambertin -  GC  - </t>
    </r>
    <r>
      <rPr>
        <b/>
        <sz val="8"/>
        <color rgb="FFFF0000"/>
        <rFont val="Verdana"/>
        <family val="2"/>
      </rPr>
      <t>Magnum</t>
    </r>
  </si>
  <si>
    <r>
      <t xml:space="preserve">Domaine Dujac - Clos de La Roche - GC - </t>
    </r>
    <r>
      <rPr>
        <b/>
        <sz val="8"/>
        <color rgb="FFFF0000"/>
        <rFont val="Verdana"/>
        <family val="2"/>
      </rPr>
      <t>Magnum</t>
    </r>
  </si>
  <si>
    <t>Robert Groffier Père &amp; Fils - Chambolle Musigny - Amoureuses - P C</t>
  </si>
  <si>
    <t>Emmanuel Rouget - Cros Parantoux - Vosne Romanée - P C</t>
  </si>
  <si>
    <t xml:space="preserve">Domaine Bruno Clair - Gevrey Chambertin Clos St. Jacques P C </t>
  </si>
  <si>
    <t>Domaine Rossignol -Trapet - Chambertin - GC</t>
  </si>
  <si>
    <t>Jean &amp; Jean-Louis Trapet - Latricières - Chambertin - GC</t>
  </si>
  <si>
    <r>
      <t xml:space="preserve">Roberto Voerzio - Vecchie viti dei Capalot e delle Brunate - </t>
    </r>
    <r>
      <rPr>
        <b/>
        <sz val="8"/>
        <color rgb="FFFF0000"/>
        <rFont val="Verdana"/>
        <family val="2"/>
      </rPr>
      <t>Magnum</t>
    </r>
  </si>
  <si>
    <t xml:space="preserve">Produttori del Barbaresco - Vigneti In Asili </t>
  </si>
  <si>
    <t xml:space="preserve">Produttori del Barbaresco - Vigneti In Pora </t>
  </si>
  <si>
    <t>Produttori del Barbaresco - Vigneti In Ovello</t>
  </si>
  <si>
    <t xml:space="preserve">Valdicava - Madonna Del Piano </t>
  </si>
  <si>
    <t>Valdicava - Madonna Del Piano</t>
  </si>
  <si>
    <t>Le Pergole Torte - Montevertine - Riserva</t>
  </si>
  <si>
    <r>
      <t xml:space="preserve">Le Pergole Torte - Montevertine - Riserva - </t>
    </r>
    <r>
      <rPr>
        <b/>
        <sz val="8"/>
        <color indexed="10"/>
        <rFont val="Verdana"/>
        <family val="2"/>
      </rPr>
      <t>Magnum</t>
    </r>
  </si>
  <si>
    <t>Vêneto - Amarone - Classico Superiore - G. Quintarelli</t>
  </si>
  <si>
    <t>Vêneto - Amarone - Dal Forno Romano - Monte Lodoletta</t>
  </si>
  <si>
    <t>Vêneto - Amarone - Dal Forno Romano</t>
  </si>
  <si>
    <t>Vêneto - Amarone - Acinatico</t>
  </si>
  <si>
    <t>Vêneto - Amarone - Sangue de Miura</t>
  </si>
  <si>
    <r>
      <t xml:space="preserve">Vêneto - Amarone Classico - Tedeschi - </t>
    </r>
    <r>
      <rPr>
        <b/>
        <sz val="8"/>
        <color rgb="FFFF0000"/>
        <rFont val="Verdana"/>
        <family val="2"/>
      </rPr>
      <t>Magnum</t>
    </r>
  </si>
  <si>
    <t>Didier Dagueneau - Blanc Fumé De Pouilly</t>
  </si>
  <si>
    <t xml:space="preserve">Paulo Laureano - Vinhas Velhas </t>
  </si>
  <si>
    <t>16 - 40</t>
  </si>
  <si>
    <t>22 - 42</t>
  </si>
  <si>
    <t xml:space="preserve">Gianfranco Soldera - Case Basse </t>
  </si>
  <si>
    <t>19 - 35</t>
  </si>
  <si>
    <t>20 - 29</t>
  </si>
  <si>
    <t>16 - 19</t>
  </si>
  <si>
    <t>13 - 24</t>
  </si>
  <si>
    <t>R. Lopes De Heredia - Vina Tondonia - Reserva</t>
  </si>
  <si>
    <t>Hippolyte Thevenot - Antonin Guyon - Corton Charlemagne</t>
  </si>
  <si>
    <t>CVNE - Imperial - Gran Reserva</t>
  </si>
  <si>
    <t xml:space="preserve">Jacques Frédéric Mugnier-Nuits Saint Georges - Clos de la Maréchale </t>
  </si>
  <si>
    <t xml:space="preserve">Dunn Vineyards - Howell Mountain - C. S. </t>
  </si>
  <si>
    <t>Bodegas Forjas Del Salnés - Rias Baixas - Leirana - Albariño</t>
  </si>
  <si>
    <r>
      <t>92</t>
    </r>
    <r>
      <rPr>
        <b/>
        <vertAlign val="superscript"/>
        <sz val="8"/>
        <color rgb="FF0000FF"/>
        <rFont val="Verdana"/>
        <family val="2"/>
      </rPr>
      <t>+</t>
    </r>
  </si>
  <si>
    <t>Saumur Champigny - Clos Rougeard - Les Poyeux</t>
  </si>
  <si>
    <t xml:space="preserve">Saumur Champigny - Clos Rougeard  </t>
  </si>
  <si>
    <t>Saumur Champigny - Clos Rougeardt - Le Bourg</t>
  </si>
  <si>
    <t xml:space="preserve">Lisboa - Quinta do Monte d'Oiro - José Bento Dos Santos - Syrah </t>
  </si>
  <si>
    <t xml:space="preserve">Coche-Dury - Meursault - Genevrieres </t>
  </si>
  <si>
    <r>
      <t>Etienne Sauzet - Montrachet - G C</t>
    </r>
    <r>
      <rPr>
        <b/>
        <sz val="8"/>
        <color indexed="60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Magnum </t>
    </r>
  </si>
  <si>
    <t xml:space="preserve">Douro - Jorge Nobre Moreira - Poeira </t>
  </si>
  <si>
    <t>Alentejo - Esporão - Private Selection</t>
  </si>
  <si>
    <t xml:space="preserve">Alentejo - Paulo Laureano Vinus - Bacalhau - Escolha </t>
  </si>
  <si>
    <t xml:space="preserve">Douro - Wine &amp; Soul - Guru </t>
  </si>
  <si>
    <t xml:space="preserve">Douro - Jorge Nobre Moreira - Pó de Poeira </t>
  </si>
  <si>
    <t xml:space="preserve">Vinho Verde - Quinta Ameal - Solo Único </t>
  </si>
  <si>
    <t xml:space="preserve">Alentejo - Susana Esteban Unipessoal - Procura  </t>
  </si>
  <si>
    <t>Alentejo - Pêra-Manca</t>
  </si>
  <si>
    <t xml:space="preserve">Alentejo - Paulo Laureano Vinus - Vinhas Velhas </t>
  </si>
  <si>
    <t>Douro - Wine &amp; Soul - Manoella</t>
  </si>
  <si>
    <t>Douro - Jorge Nobre Moreira - La Rosa - Reserva</t>
  </si>
  <si>
    <t>Castilla y León - Raul Perez - El Castro de Valtuille - Godello</t>
  </si>
  <si>
    <t>Ornellaia - Marchese Lodovico A. - Superiore</t>
  </si>
  <si>
    <t>Sine Qua Non Body &amp; Soul Roussanne</t>
  </si>
  <si>
    <r>
      <t xml:space="preserve">Heitz Cellar - Napa Valley-C. S. - </t>
    </r>
    <r>
      <rPr>
        <b/>
        <sz val="8"/>
        <color rgb="FFFF0000"/>
        <rFont val="Verdana"/>
        <family val="2"/>
      </rPr>
      <t>Magnum</t>
    </r>
  </si>
  <si>
    <t>OUTRAS REGIÕES  (continuação)</t>
  </si>
  <si>
    <t>Michel Niellon - Chassagne -Montrachet  G. C.</t>
  </si>
  <si>
    <t>Tejo - Quinta da Alorna - Reserva - Arinto Chardonnay</t>
  </si>
  <si>
    <t xml:space="preserve">Liger - Belair  - Nuits Saint Georrges - Aux Crás - P C </t>
  </si>
  <si>
    <r>
      <t xml:space="preserve">Gianfranco Soldera - Case Basse - </t>
    </r>
    <r>
      <rPr>
        <b/>
        <sz val="8"/>
        <color rgb="FFFF0000"/>
        <rFont val="Verdana"/>
        <family val="2"/>
      </rPr>
      <t>Magnum</t>
    </r>
  </si>
  <si>
    <t>Umbria - Marchesi Antinori - Bramito Della Sala - Chardonnay</t>
  </si>
  <si>
    <t>Priorat - Pedra de Guix - Terroir Al Límit Soc. Lda</t>
  </si>
  <si>
    <t xml:space="preserve">Bibi Graetz - Testamatta  </t>
  </si>
  <si>
    <t xml:space="preserve">Harlan Estate - Napa Valley - C. S.  </t>
  </si>
  <si>
    <t xml:space="preserve">Quinta do Vale Meão  </t>
  </si>
  <si>
    <t xml:space="preserve">Ridge Vineyards  -Monte Bello - C. S. </t>
  </si>
  <si>
    <r>
      <t xml:space="preserve">Robert Mondavi - Reserve - Napa Valley - C. S - </t>
    </r>
    <r>
      <rPr>
        <b/>
        <sz val="8"/>
        <color rgb="FFFF0000"/>
        <rFont val="Verdana"/>
        <family val="2"/>
      </rPr>
      <t>Magnum</t>
    </r>
  </si>
  <si>
    <t>Kapcsándy Family Winery- Napa Valley - C.S.</t>
  </si>
  <si>
    <r>
      <t xml:space="preserve">Sine Qua Non - Cumulus Vineyard Next of Kyn N 5 - </t>
    </r>
    <r>
      <rPr>
        <b/>
        <sz val="8"/>
        <color rgb="FFFF0000"/>
        <rFont val="Verdana"/>
        <family val="2"/>
      </rPr>
      <t>Magnum</t>
    </r>
  </si>
  <si>
    <t>Latour</t>
  </si>
  <si>
    <t xml:space="preserve">Leroy - Meursault- P. C. - Blagny </t>
  </si>
  <si>
    <t>Biondi Santi - Riserva</t>
  </si>
  <si>
    <t>Sine Qua Non - Red Handed 43% G/40% S/17% Mov</t>
  </si>
  <si>
    <t>Sine Qua Non - Left Field - Pinot Noir</t>
  </si>
  <si>
    <t>Haut-Bages Libéral</t>
  </si>
  <si>
    <t>Rauzan - Ségla</t>
  </si>
  <si>
    <t>Calon Ségur</t>
  </si>
  <si>
    <t>Leroy - Richebourg - GC</t>
  </si>
  <si>
    <t>Leroy - Latricières Chambertin - GC</t>
  </si>
  <si>
    <t>Liger-Belair/Bouchard Père &amp; Fils - La Romanée - Monopole - GC</t>
  </si>
  <si>
    <t>Dugat - Py B. -  Mazoyères Chambertin - GC</t>
  </si>
  <si>
    <t>Dominique Laurent - Charmes Chambertin - GC</t>
  </si>
  <si>
    <t>Prieuré Roch - Chambertin - Clos de Bèze - GC</t>
  </si>
  <si>
    <t>Prieuré Roch - Vosne Romanée - Les Suchots - P C</t>
  </si>
  <si>
    <t>Rene Rostaing - Côte Blonde</t>
  </si>
  <si>
    <t xml:space="preserve">Michel &amp; Stephane Ogier - Cuvée Belle Helene - Côte Rozier </t>
  </si>
  <si>
    <t xml:space="preserve">Michel &amp; Stephane Ogier - Cuvée Belle Helene - Côte Blonde </t>
  </si>
  <si>
    <t>Delas Frères - Domaine Des Tourettes</t>
  </si>
  <si>
    <t>Henri Bonneau - Réserve Des Célestins</t>
  </si>
  <si>
    <t>Pierre Usseglio - Réserve Des Deux Frères</t>
  </si>
  <si>
    <t>Roger Sabon - Le Secret de Sabon</t>
  </si>
  <si>
    <t>Domaine De La Vieille Julienne  Réserve</t>
  </si>
  <si>
    <t>Simian -Grandes Grenachières d'Hippolyte</t>
  </si>
  <si>
    <t>Château Caraguilhes - les Gourgoules - Corbières</t>
  </si>
  <si>
    <t>Giacomo Conterno - Vini Pregiati -Monforte D'Alba</t>
  </si>
  <si>
    <t>Bruno Giacosa - Falletto Di Serralunga D`Alba - Falletto</t>
  </si>
  <si>
    <r>
      <t xml:space="preserve">Bruno Giacosa - Falletto Di Serralunga D'Alba - Falletto - </t>
    </r>
    <r>
      <rPr>
        <b/>
        <sz val="8"/>
        <color indexed="10"/>
        <rFont val="Verdana"/>
        <family val="2"/>
      </rPr>
      <t>Magnum</t>
    </r>
  </si>
  <si>
    <t xml:space="preserve">Produttori del Barbaresco - Vigneti In Rabajá </t>
  </si>
  <si>
    <t>La Rioja Alta - Reserva 890</t>
  </si>
  <si>
    <r>
      <t xml:space="preserve">Cortes do Tua - Soulmate - Touriga Franca - </t>
    </r>
    <r>
      <rPr>
        <b/>
        <sz val="8"/>
        <color rgb="FFFF0000"/>
        <rFont val="Verdana"/>
        <family val="2"/>
      </rPr>
      <t>Magnum</t>
    </r>
  </si>
  <si>
    <r>
      <t xml:space="preserve">Louis Latour - Cuvée Héritiers Latour - Chambertin - GC - </t>
    </r>
    <r>
      <rPr>
        <b/>
        <sz val="8"/>
        <color rgb="FFFF0000"/>
        <rFont val="Verdana"/>
        <family val="2"/>
      </rPr>
      <t>Magnum</t>
    </r>
  </si>
  <si>
    <t>Dugat - Py B. - Pommard "La Levrière"</t>
  </si>
  <si>
    <t>Cerbaiona - Diego Molinari</t>
  </si>
  <si>
    <t xml:space="preserve">Miani Rosso </t>
  </si>
  <si>
    <t>Il Carbonaione - Podere Poggio Scalette</t>
  </si>
  <si>
    <t>La Rioja Alta - Reserva 904</t>
  </si>
  <si>
    <t xml:space="preserve">Álvaro Palácios - L' Ermita </t>
  </si>
  <si>
    <t xml:space="preserve">Álvaro Palácios - Finca Dofi </t>
  </si>
  <si>
    <t xml:space="preserve">Erasmus - Clos Terrasses </t>
  </si>
  <si>
    <r>
      <t xml:space="preserve">Erasmus  - Clos Terrasses - </t>
    </r>
    <r>
      <rPr>
        <b/>
        <sz val="8"/>
        <color indexed="10"/>
        <rFont val="Verdana"/>
        <family val="2"/>
      </rPr>
      <t>Magnum</t>
    </r>
  </si>
  <si>
    <t>Abadia Retuerta - Cuvée Palomar - Sardon de Duero - Castilla y León</t>
  </si>
  <si>
    <t xml:space="preserve">Ramiro's - Castilla y León </t>
  </si>
  <si>
    <t>Raul Perez - Castilla y León - El Pecado - Finca El Barreado</t>
  </si>
  <si>
    <t>Raul Perez - Castilla y León - La Clave - Bierzo</t>
  </si>
  <si>
    <t>Raul Perez - Castilla y León - Ultreia - Saint Jacques</t>
  </si>
  <si>
    <t>Raul Perez - Castilla y León - Castro Ventosa - Valtuille - Bierzo</t>
  </si>
  <si>
    <t>Raul Perez - Castilla y León - El Castro de Valtuille - Mencia Joven</t>
  </si>
  <si>
    <t xml:space="preserve">Mas Donis - Montsant  </t>
  </si>
  <si>
    <t xml:space="preserve">Aquilon - Bodegas Alto Moncayo - Campo de Borja  - Garnacha  </t>
  </si>
  <si>
    <t xml:space="preserve">Mauro - Castilla y León </t>
  </si>
  <si>
    <t>Viña Cantarera - Garnacha</t>
  </si>
  <si>
    <t>Abandonado - Alves de Sousa</t>
  </si>
  <si>
    <t xml:space="preserve">Legado - Sogrape  </t>
  </si>
  <si>
    <t xml:space="preserve">Essência do Peso - Herdade do Peso </t>
  </si>
  <si>
    <r>
      <t xml:space="preserve">Chateau Montelena - Napa Valley - C. S.  - </t>
    </r>
    <r>
      <rPr>
        <b/>
        <sz val="8"/>
        <color indexed="10"/>
        <rFont val="Verdana"/>
        <family val="2"/>
      </rPr>
      <t>Magnum</t>
    </r>
  </si>
  <si>
    <t xml:space="preserve">Chateau Montelena - Napa Valley - C. S.  </t>
  </si>
  <si>
    <t>Vasse Felix -Margaret River- C. S.</t>
  </si>
  <si>
    <t>Vasse Felix -Margaret River- Shiraz</t>
  </si>
  <si>
    <t>Menin - Douro`s New Legacy</t>
  </si>
  <si>
    <t>Alentejo - Susana Esteban - Aventura</t>
  </si>
  <si>
    <t>Alentejo - Susana Esteban - Procura  - Na Ânfora</t>
  </si>
  <si>
    <t>ALENTEJO (continuação)</t>
  </si>
  <si>
    <t>OUTRAS REGIÕES (continuação)</t>
  </si>
  <si>
    <t>Charles Giraud - Domaine Saint Préfert</t>
  </si>
  <si>
    <t>Méo Camuzet - Nuits Saint Georges - P C</t>
  </si>
  <si>
    <t>Domaine Dujac - Gevrey-Chambertin - Aux Combottes - P.C.</t>
  </si>
  <si>
    <t>La Rioja Alta - Gran Reserva 904</t>
  </si>
  <si>
    <t>Aldo Conterno - Romirasco - Bussia</t>
  </si>
  <si>
    <t xml:space="preserve">Camille Giroud - Monthelie - Les Barbieres </t>
  </si>
  <si>
    <t xml:space="preserve">Camus Père &amp; Fils - Chambertin </t>
  </si>
  <si>
    <t>Giscours</t>
  </si>
  <si>
    <t>Antonin Guyon - Corton Bressandes</t>
  </si>
  <si>
    <t>Sylvie Esmonin - Gevrey - Chambertin - Clos Saint-Jacques</t>
  </si>
  <si>
    <t>Gérard Seguin - Gevrey - Chambertin - Lavaux Saint-Jacques</t>
  </si>
  <si>
    <t>Frédéric Magnien - Gevrey Chambertin - Lavaux Saint-Jacques</t>
  </si>
  <si>
    <t>Lucien Le Moine - Gevrey Chambertin - Lavaut Nuits St Jacques</t>
  </si>
  <si>
    <t>Mongeard Mugneret - Nuits St Georges - Les Boudots</t>
  </si>
  <si>
    <t xml:space="preserve">Joseph Drouhin - Puligny Montrachet - Folatières </t>
  </si>
  <si>
    <t>Joseph Drouhin - Puligny Montrachet - Pucelles</t>
  </si>
  <si>
    <t>Domaine Gerard Chavy - Puligny Montrachet - Les Charmes</t>
  </si>
  <si>
    <t>Domaine Gerard Chavy - Puligny Montrachet - Les Perriéres</t>
  </si>
  <si>
    <t>Olivier Leflaive - Puligny Montrachet</t>
  </si>
  <si>
    <t>Olivier Leflaive - Chassagne Montrachet - Abbaye de Morgeot</t>
  </si>
  <si>
    <t>Etienne Sauzet - Puligny  Montrachet - Les Referts</t>
  </si>
  <si>
    <t>Etienne Sauzet - Puligny  Montrachet - La Garenne</t>
  </si>
  <si>
    <t>Hubert Lamy - Puligny Montrachet - Les Tremblots</t>
  </si>
  <si>
    <t xml:space="preserve">J. Moreau &amp; Fils  - Chablis - Les Clos -  G. C. </t>
  </si>
  <si>
    <t xml:space="preserve">Mongeard - Mugneret - Puligny Montrachet </t>
  </si>
  <si>
    <t xml:space="preserve">Chateau de Puligny Montrachet - Chevalier Montrachet </t>
  </si>
  <si>
    <t>Henri Maire 1632 - Vin Jaune D'Arbois</t>
  </si>
  <si>
    <r>
      <t>88</t>
    </r>
    <r>
      <rPr>
        <b/>
        <vertAlign val="superscript"/>
        <sz val="8"/>
        <color indexed="12"/>
        <rFont val="Verdana"/>
        <family val="2"/>
      </rPr>
      <t>+</t>
    </r>
  </si>
  <si>
    <t>Cloudline - Pinot Gris</t>
  </si>
  <si>
    <t xml:space="preserve">Dão - Quinta da Pellada - Primus </t>
  </si>
  <si>
    <t>Castello di Ama - Al Poggio</t>
  </si>
  <si>
    <t>Marc Brédif - Vouvray -Classic</t>
  </si>
  <si>
    <t>Dão - Quinta da Pellada - Quinta de Saes - Reserva Encruzado</t>
  </si>
  <si>
    <t xml:space="preserve">Domanie Coche-Dury - Monthelie  </t>
  </si>
  <si>
    <t>Domaine Lafarge Vial - Côte de Brouilly</t>
  </si>
  <si>
    <t>Viticoltore Oddero - Bussia - Vigna Mondoca</t>
  </si>
  <si>
    <t>Paolo Scavino - Rocche dell' Annunziata - Riserva</t>
  </si>
  <si>
    <t xml:space="preserve">Siro Pacenti - Vecchie vigne. </t>
  </si>
  <si>
    <t>Barone Ricasoli - Casalferro</t>
  </si>
  <si>
    <t>Vêneto - Amarone - Classico - Riserva - G. Quintarelli</t>
  </si>
  <si>
    <t>Kistler - Sonoma Coast - Les Noisetiers - Chardonnay</t>
  </si>
  <si>
    <r>
      <t xml:space="preserve">Petrus - </t>
    </r>
    <r>
      <rPr>
        <b/>
        <sz val="8"/>
        <color rgb="FFFF0000"/>
        <rFont val="Verdana"/>
        <family val="2"/>
      </rPr>
      <t>Magnum</t>
    </r>
  </si>
  <si>
    <t xml:space="preserve">Marius Gentaz - Dervieux - Cote Brune </t>
  </si>
  <si>
    <t xml:space="preserve">Aldo Conterno - Cicala </t>
  </si>
  <si>
    <t>Riccardo Fenocchio - Pianpolver Soprano</t>
  </si>
  <si>
    <t>Vietti - Vietti</t>
  </si>
  <si>
    <t>Pio Cesare - Ornato</t>
  </si>
  <si>
    <t xml:space="preserve">Michele Chiarlo - Cerequio </t>
  </si>
  <si>
    <t>Domingos Alves de Sousa - Reserva Pessoal</t>
  </si>
  <si>
    <t>Guiseppe Rinaldi - Brunate Le Coste</t>
  </si>
  <si>
    <t>Massolino - Vigna Rionda Riserva</t>
  </si>
  <si>
    <t xml:space="preserve">Quinta do Crasto  - Vinha Maria Teresa </t>
  </si>
  <si>
    <t>Bairrada - Frei João Reserva</t>
  </si>
  <si>
    <r>
      <t>Nicolas Potel - Chambolle Musigny -1</t>
    </r>
    <r>
      <rPr>
        <b/>
        <sz val="8"/>
        <rFont val="Calibri"/>
        <family val="2"/>
      </rPr>
      <t>º</t>
    </r>
    <r>
      <rPr>
        <b/>
        <sz val="8"/>
        <rFont val="Verdana"/>
        <family val="2"/>
      </rPr>
      <t xml:space="preserve"> Cru - Les Amoureuses </t>
    </r>
  </si>
  <si>
    <t xml:space="preserve">Dominique Laurent - Gevrey -Chambertin P. C. </t>
  </si>
  <si>
    <t>Dominique Laurent - Gevrey -Chambertin P. C. Petite Chapelle</t>
  </si>
  <si>
    <t>Bairrada - Aliança -Garrafeira</t>
  </si>
  <si>
    <r>
      <t xml:space="preserve">Bouchard Père &amp; Fils - Montrachet - G C - </t>
    </r>
    <r>
      <rPr>
        <b/>
        <sz val="8"/>
        <color rgb="FFFF0000"/>
        <rFont val="Verdana"/>
        <family val="2"/>
      </rPr>
      <t>Magnum</t>
    </r>
  </si>
  <si>
    <t>PORTUGAL (continuação)</t>
  </si>
  <si>
    <t xml:space="preserve">The Octavius - Yalumba Barossa Valley - Shiraz </t>
  </si>
  <si>
    <r>
      <t xml:space="preserve">  91</t>
    </r>
    <r>
      <rPr>
        <b/>
        <vertAlign val="superscript"/>
        <sz val="8"/>
        <color indexed="12"/>
        <rFont val="Verdana"/>
        <family val="2"/>
      </rPr>
      <t>+</t>
    </r>
  </si>
  <si>
    <t>Trebbiano d'Abruzzo</t>
  </si>
  <si>
    <t xml:space="preserve">Vouvray - Le Haut Lieu </t>
  </si>
  <si>
    <t>Vouvray - Le Mont</t>
  </si>
  <si>
    <t>Vouvray - Clos du Bourg</t>
  </si>
  <si>
    <t xml:space="preserve">Vega - Sicilia "Único" Reserva Especial ( 90 / 94 / 96 ) </t>
  </si>
  <si>
    <t xml:space="preserve">Vega - Sicilia "Único" Reserva Especial ( 91 / 94 / 98 ) </t>
  </si>
  <si>
    <t xml:space="preserve">ARPEPE- Sassella - Stella Retica - Reserva </t>
  </si>
  <si>
    <t xml:space="preserve">ARPEPE- Inferno - Fiamme Antiche - Reserva </t>
  </si>
  <si>
    <t>ARPEPE- Sassella - Stella Retica - Nebbiolo</t>
  </si>
  <si>
    <t>Philippe Pacalet - Gevrey - Chamberttin</t>
  </si>
  <si>
    <r>
      <t>92 - 94</t>
    </r>
    <r>
      <rPr>
        <b/>
        <vertAlign val="superscript"/>
        <sz val="8"/>
        <color rgb="FF0000FF"/>
        <rFont val="Verdana"/>
        <family val="2"/>
      </rPr>
      <t>+</t>
    </r>
  </si>
  <si>
    <t xml:space="preserve">Elvio Cogno - Brunate Marcarini - La Morra  </t>
  </si>
  <si>
    <t>Cerequio - Cantine Vinicola Piemontese - La Morra</t>
  </si>
  <si>
    <t>Palladino &amp; Cia - Serralunga D'Alba</t>
  </si>
  <si>
    <t>Giuseppe Mascarello  - Santo Stefano Di Perno - Dolcetto D'Alba</t>
  </si>
  <si>
    <t>Mauro Osvaldo &amp; Figli</t>
  </si>
  <si>
    <t>Villadoria - Serralunga D'Alba</t>
  </si>
  <si>
    <t>Poderi Marcarini - Brunate</t>
  </si>
  <si>
    <t xml:space="preserve">Andrea Franchetti -Tenuta di Trinoro (40%M, 35%C.F., 15% C.S., 6% P.V.) </t>
  </si>
  <si>
    <t>ARPEPE - Vigna Regina - Riserva - Valtelina Superìore - Neb.</t>
  </si>
  <si>
    <t xml:space="preserve">Espectacle - Montsant - Garnacha </t>
  </si>
  <si>
    <t>Raul Perez - Castilla y León - San Asensio</t>
  </si>
  <si>
    <t>Block 42 - Penfolds - Barossa Valley - Kalimna C. S.</t>
  </si>
  <si>
    <t>Maison Roche de Bellene - Chambolle Musigny - Aux Echanges - P C</t>
  </si>
  <si>
    <t>Leroy - Nuits-Saint-Georges - Les Vigneronds</t>
  </si>
  <si>
    <t xml:space="preserve">Brancaia Il Blu               </t>
  </si>
  <si>
    <t xml:space="preserve">Jayer Gilles - Echézeaux GC </t>
  </si>
  <si>
    <t xml:space="preserve">Seguin Manuel - Clos Vougeot GC </t>
  </si>
  <si>
    <t>Leroy - Leroy D'Auvenay Bourgogne</t>
  </si>
  <si>
    <t xml:space="preserve">Claude Dugat - Gevrey Chambertin </t>
  </si>
  <si>
    <t>ok</t>
  </si>
  <si>
    <t xml:space="preserve">Leflaive - Chevalier -Montrachet  G. C. </t>
  </si>
  <si>
    <t>Leroy - Meursault- P. C. - Les Charmes</t>
  </si>
  <si>
    <t xml:space="preserve">Dalla Valle  - Napa Valley - C.S. </t>
  </si>
  <si>
    <t>L' Interdit de Valandraud - J. L. Thunevin</t>
  </si>
  <si>
    <t>Vega - Sicilia - Valbuena 5º Año Reserva</t>
  </si>
  <si>
    <r>
      <t xml:space="preserve">Gruaud Larose - </t>
    </r>
    <r>
      <rPr>
        <b/>
        <sz val="8"/>
        <color rgb="FFFF0000"/>
        <rFont val="Verdana"/>
        <family val="2"/>
      </rPr>
      <t>Magnum</t>
    </r>
  </si>
  <si>
    <r>
      <t xml:space="preserve">Damilano - Brunate - </t>
    </r>
    <r>
      <rPr>
        <b/>
        <sz val="8"/>
        <color rgb="FFFF0000"/>
        <rFont val="Verdana"/>
        <family val="2"/>
      </rPr>
      <t>Magnum</t>
    </r>
  </si>
  <si>
    <r>
      <t xml:space="preserve">Damilano - Cerequio - </t>
    </r>
    <r>
      <rPr>
        <b/>
        <sz val="8"/>
        <color rgb="FFFF0000"/>
        <rFont val="Verdana"/>
        <family val="2"/>
      </rPr>
      <t>Magnum</t>
    </r>
  </si>
  <si>
    <t xml:space="preserve">Araujo - Eisele Vineyard - C.S.  </t>
  </si>
  <si>
    <t>Sine Qua Non - Into the Dark  - Grenache</t>
  </si>
  <si>
    <t>Etienne Sauzet - Puligny  Montrachet - Champ Canet</t>
  </si>
  <si>
    <t>Domanie Giraud - Grenaches de Pierre</t>
  </si>
  <si>
    <t>Leroy - Chorey-les Beaune</t>
  </si>
  <si>
    <t>La Chablisienne Grenouilles - Chablis G.C.</t>
  </si>
  <si>
    <t>Renato Ratti - Rocche</t>
  </si>
  <si>
    <r>
      <t>Sine Qua Non - Atlantis Fe</t>
    </r>
    <r>
      <rPr>
        <b/>
        <vertAlign val="subscript"/>
        <sz val="8"/>
        <rFont val="Verdana"/>
        <family val="2"/>
      </rPr>
      <t>2</t>
    </r>
    <r>
      <rPr>
        <b/>
        <sz val="8"/>
        <rFont val="Verdana"/>
        <family val="2"/>
      </rPr>
      <t>O</t>
    </r>
    <r>
      <rPr>
        <b/>
        <vertAlign val="subscript"/>
        <sz val="8"/>
        <rFont val="Verdana"/>
        <family val="2"/>
      </rPr>
      <t>3</t>
    </r>
    <r>
      <rPr>
        <b/>
        <sz val="8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1b - </t>
    </r>
    <r>
      <rPr>
        <b/>
        <sz val="8"/>
        <rFont val="Verdana"/>
        <family val="2"/>
      </rPr>
      <t xml:space="preserve">Syrah </t>
    </r>
  </si>
  <si>
    <t xml:space="preserve">Bin 95 - Penfolds - Barossa Valley - Shiraz </t>
  </si>
  <si>
    <t>Domaine G. Roumier - Morey Saint Denis - Clos de la Bussiere -P.C.</t>
  </si>
  <si>
    <t>VAL DU LOIRE (continuação)</t>
  </si>
  <si>
    <t>Jacques Frederic Mugnier - Chambolle - Musigny - Les Fuées  - P.C.</t>
  </si>
  <si>
    <t xml:space="preserve">Marius Gentaz - Dervieux </t>
  </si>
  <si>
    <t>Domanie Amiot Servelle - Chambolle - Musigny - Les Amoureuses P.C.</t>
  </si>
  <si>
    <t>Bouchard Père &amp; Fils - Le Corton GC</t>
  </si>
  <si>
    <t xml:space="preserve">Domaine Pattes Loup - Chablis - Vent d`Ange - Thomas Pico </t>
  </si>
  <si>
    <r>
      <t xml:space="preserve">Camille Giroud - Chambertin - GC - </t>
    </r>
    <r>
      <rPr>
        <b/>
        <sz val="8"/>
        <color rgb="FFFF0000"/>
        <rFont val="Verdana"/>
        <family val="2"/>
      </rPr>
      <t>Magnum</t>
    </r>
  </si>
  <si>
    <t>CHABLIS</t>
  </si>
  <si>
    <r>
      <t xml:space="preserve">Raoul Gautherin - Grenouilles - Chablis G.C. - </t>
    </r>
    <r>
      <rPr>
        <b/>
        <sz val="8"/>
        <color rgb="FFFF0000"/>
        <rFont val="Verdana"/>
        <family val="2"/>
      </rPr>
      <t>Magnum</t>
    </r>
  </si>
  <si>
    <t xml:space="preserve">Jean Collet &amp; Fils - Chablis P. C.  - Vaillons </t>
  </si>
  <si>
    <t>Jean Chartron - Chevalier -Montrachet - Clos des Chevaliers - G C</t>
  </si>
  <si>
    <t>Joseph Drouhin - Montrachet - Marquis de Laguiche - G C</t>
  </si>
  <si>
    <t>CHABLIS (continuação)</t>
  </si>
  <si>
    <t>19- 49</t>
  </si>
  <si>
    <t>23 - 40</t>
  </si>
  <si>
    <t>24 - 63</t>
  </si>
  <si>
    <t>25 - 60</t>
  </si>
  <si>
    <t>24 - 68</t>
  </si>
  <si>
    <t>19 - 29</t>
  </si>
  <si>
    <t>21 - 55</t>
  </si>
  <si>
    <t>22 - 58</t>
  </si>
  <si>
    <t>25 - 50</t>
  </si>
  <si>
    <t>15 - 15</t>
  </si>
  <si>
    <t>25 - 70</t>
  </si>
  <si>
    <t>19 - 59</t>
  </si>
  <si>
    <t>19 - 55</t>
  </si>
  <si>
    <t>22 - 45</t>
  </si>
  <si>
    <t>18 - 41</t>
  </si>
  <si>
    <t>20 - 27</t>
  </si>
  <si>
    <t>Maison Ventenac - Réserve de Jeanne</t>
  </si>
  <si>
    <t>13 - 18</t>
  </si>
  <si>
    <t>20 -28</t>
  </si>
  <si>
    <r>
      <rPr>
        <b/>
        <sz val="8"/>
        <color rgb="FF0000FF"/>
        <rFont val="Verdana"/>
        <family val="2"/>
      </rPr>
      <t>86</t>
    </r>
    <r>
      <rPr>
        <b/>
        <vertAlign val="superscript"/>
        <sz val="8"/>
        <color indexed="12"/>
        <rFont val="Verdana"/>
        <family val="2"/>
      </rPr>
      <t>+</t>
    </r>
    <r>
      <rPr>
        <b/>
        <sz val="8"/>
        <color rgb="FF0000FF"/>
        <rFont val="Verdana"/>
        <family val="2"/>
      </rPr>
      <t>?</t>
    </r>
  </si>
  <si>
    <r>
      <t>95</t>
    </r>
    <r>
      <rPr>
        <b/>
        <vertAlign val="superscript"/>
        <sz val="8"/>
        <color rgb="FF0000FF"/>
        <rFont val="Verdana"/>
        <family val="2"/>
      </rPr>
      <t>+</t>
    </r>
  </si>
  <si>
    <r>
      <t>94 - 96</t>
    </r>
    <r>
      <rPr>
        <b/>
        <vertAlign val="superscript"/>
        <sz val="8"/>
        <color rgb="FF0000FF"/>
        <rFont val="Verdana"/>
        <family val="2"/>
      </rPr>
      <t>+</t>
    </r>
  </si>
  <si>
    <r>
      <t>91</t>
    </r>
    <r>
      <rPr>
        <b/>
        <vertAlign val="superscript"/>
        <sz val="8"/>
        <color rgb="FF0000FF"/>
        <rFont val="Verdana"/>
        <family val="2"/>
      </rPr>
      <t>+</t>
    </r>
  </si>
  <si>
    <r>
      <t>91 - 92</t>
    </r>
    <r>
      <rPr>
        <b/>
        <vertAlign val="superscript"/>
        <sz val="8"/>
        <color rgb="FF0000FF"/>
        <rFont val="Verdana"/>
        <family val="2"/>
      </rPr>
      <t>+</t>
    </r>
  </si>
  <si>
    <t>Kistler - Russian River Valley - Dutton Ranch - Chardonnay</t>
  </si>
  <si>
    <t>Zusslin - Valentín - Clos Liebenberg  - Riesling - 750ML</t>
  </si>
  <si>
    <r>
      <t>96</t>
    </r>
    <r>
      <rPr>
        <b/>
        <vertAlign val="superscript"/>
        <sz val="8"/>
        <color rgb="FF0000FF"/>
        <rFont val="Verdana"/>
        <family val="2"/>
      </rPr>
      <t>+</t>
    </r>
  </si>
  <si>
    <t>92 - 96</t>
  </si>
  <si>
    <t>18 - 28</t>
  </si>
  <si>
    <t>13 - 21</t>
  </si>
  <si>
    <t>13 - 20</t>
  </si>
  <si>
    <t>00 - 18</t>
  </si>
  <si>
    <t>21 - 30</t>
  </si>
  <si>
    <t>19 - 30</t>
  </si>
  <si>
    <r>
      <t>93</t>
    </r>
    <r>
      <rPr>
        <b/>
        <vertAlign val="superscript"/>
        <sz val="8"/>
        <color rgb="FF0000FF"/>
        <rFont val="Verdana"/>
        <family val="2"/>
      </rPr>
      <t>+</t>
    </r>
  </si>
  <si>
    <t>24 - 35</t>
  </si>
  <si>
    <t>13 - 17</t>
  </si>
  <si>
    <t>70 - 30</t>
  </si>
  <si>
    <t>90 - 50</t>
  </si>
  <si>
    <t>90 - 25</t>
  </si>
  <si>
    <t>00 - 16</t>
  </si>
  <si>
    <t>13 - 16</t>
  </si>
  <si>
    <t>16 - 25</t>
  </si>
  <si>
    <t>22 - 37</t>
  </si>
  <si>
    <t>98 - 08</t>
  </si>
  <si>
    <t>16 - 18</t>
  </si>
  <si>
    <t>19 - 27</t>
  </si>
  <si>
    <t>15 - 22</t>
  </si>
  <si>
    <t>16 - 22</t>
  </si>
  <si>
    <r>
      <t>94</t>
    </r>
    <r>
      <rPr>
        <b/>
        <vertAlign val="superscript"/>
        <sz val="8"/>
        <color rgb="FF0000FF"/>
        <rFont val="Verdana"/>
        <family val="2"/>
      </rPr>
      <t>+</t>
    </r>
  </si>
  <si>
    <t>22 - 40</t>
  </si>
  <si>
    <t>17 - 19</t>
  </si>
  <si>
    <t>19 - 51</t>
  </si>
  <si>
    <t xml:space="preserve">Susana Esteban - Aventura </t>
  </si>
  <si>
    <t>17 - 25</t>
  </si>
  <si>
    <t>22 - 25</t>
  </si>
  <si>
    <t>13 - 14</t>
  </si>
  <si>
    <t xml:space="preserve">Bairrada - Luis Pato - Vinha Pan </t>
  </si>
  <si>
    <t>Bairrada - Luis Pato - Vinha Barrosa</t>
  </si>
  <si>
    <t>Bairrada - Luis Pato - Quinta do Ribeirinho - Pé Franco</t>
  </si>
  <si>
    <t>18 - 24</t>
  </si>
  <si>
    <t>18 - 32</t>
  </si>
  <si>
    <t>20 - 34</t>
  </si>
  <si>
    <t>20 - 26</t>
  </si>
  <si>
    <t>20 - 30</t>
  </si>
  <si>
    <t>22 - 27</t>
  </si>
  <si>
    <t>22 - 28</t>
  </si>
  <si>
    <r>
      <t>89</t>
    </r>
    <r>
      <rPr>
        <b/>
        <vertAlign val="superscript"/>
        <sz val="8"/>
        <color rgb="FF0000FF"/>
        <rFont val="Verdana"/>
        <family val="2"/>
      </rPr>
      <t>+</t>
    </r>
  </si>
  <si>
    <t>20 - 33</t>
  </si>
  <si>
    <t>93 - 18</t>
  </si>
  <si>
    <t>14 - 23</t>
  </si>
  <si>
    <t>13 - 40</t>
  </si>
  <si>
    <t>19 - 49</t>
  </si>
  <si>
    <t>21 - 47</t>
  </si>
  <si>
    <t>13 - 38</t>
  </si>
  <si>
    <t>17 - 42</t>
  </si>
  <si>
    <r>
      <t>98</t>
    </r>
    <r>
      <rPr>
        <b/>
        <vertAlign val="superscript"/>
        <sz val="8"/>
        <color rgb="FF0000FF"/>
        <rFont val="Verdana"/>
        <family val="2"/>
      </rPr>
      <t>+</t>
    </r>
  </si>
  <si>
    <t>16 - 24</t>
  </si>
  <si>
    <t>18 - 25</t>
  </si>
  <si>
    <t>00 - 17</t>
  </si>
  <si>
    <t>18 - 27</t>
  </si>
  <si>
    <t>21 - 50</t>
  </si>
  <si>
    <t>21 - 45</t>
  </si>
  <si>
    <t>22 - 60</t>
  </si>
  <si>
    <t>Mongeard-Mugneret Grands- Echezeaux - GC</t>
  </si>
  <si>
    <r>
      <t>92 - 94</t>
    </r>
    <r>
      <rPr>
        <b/>
        <vertAlign val="superscript"/>
        <sz val="8"/>
        <color indexed="12"/>
        <rFont val="Verdana"/>
        <family val="2"/>
      </rPr>
      <t>+</t>
    </r>
  </si>
  <si>
    <t>18 - 34</t>
  </si>
  <si>
    <t>16 - 27</t>
  </si>
  <si>
    <r>
      <t xml:space="preserve">Álvaro Palácios - L' Ermita - </t>
    </r>
    <r>
      <rPr>
        <b/>
        <sz val="8"/>
        <color rgb="FFFF0000"/>
        <rFont val="Verdana"/>
        <family val="2"/>
      </rPr>
      <t>Magnum</t>
    </r>
  </si>
  <si>
    <r>
      <t xml:space="preserve">La Jota Vineyard - 10Th Anniversary Release - Howell Mountain - C.S. - </t>
    </r>
    <r>
      <rPr>
        <b/>
        <sz val="8"/>
        <color rgb="FFFF0000"/>
        <rFont val="Verdana"/>
        <family val="2"/>
      </rPr>
      <t>Magnum</t>
    </r>
  </si>
  <si>
    <t xml:space="preserve">Domaine Dauvissat - Camus - Chablis -Les Preuses - G. C. </t>
  </si>
  <si>
    <t xml:space="preserve">Domaine Dauvissat - Camus - Chablis - Les Clos - G. C. </t>
  </si>
  <si>
    <t xml:space="preserve">Vincent Dauvissat - Chablis - Les Clos - G. C. </t>
  </si>
  <si>
    <t>Alban Vineyards - Edna Valley - Grenache</t>
  </si>
  <si>
    <t>Bouchard Père &amp; Fils - Morey Saint Denis - Clos Des Ormes</t>
  </si>
  <si>
    <t>Prieuré Roch - Nuits Saint George - Le Clos Des Corvées - P.C.</t>
  </si>
  <si>
    <t>Robert Groffier Père &amp; Fils - Chambolle Musigny - Les Amoureuses - P C</t>
  </si>
  <si>
    <t xml:space="preserve">Opus One - Rothschild / Mondavi - Napa Valley  - C.S./M./C.F.  </t>
  </si>
  <si>
    <t>Harlan Estate - Napa Valley - C. S.</t>
  </si>
  <si>
    <t>Colgin - IX - Estate - Napa Valley - C.S./M./C.F./P.V.</t>
  </si>
  <si>
    <t xml:space="preserve">Sine Qua Non - The Naked Truth - Sta Rita Hills - Grenache  </t>
  </si>
  <si>
    <r>
      <t xml:space="preserve">Sine Qua Non - The Naked Truth - Sta Rita Hills- Grenache   - </t>
    </r>
    <r>
      <rPr>
        <b/>
        <sz val="8"/>
        <color indexed="10"/>
        <rFont val="Verdana"/>
        <family val="2"/>
      </rPr>
      <t>Magnum</t>
    </r>
  </si>
  <si>
    <t>B. V. Georges de Latour - Beaulieu Vineyard - Private Reserva - C.S</t>
  </si>
  <si>
    <t xml:space="preserve">Kistler - Couvée Catherine - Russian River Valley - Pinot Noir </t>
  </si>
  <si>
    <t>Pride - Mountain Vineyards - Reserve Claret - C.S./Me/P.V.</t>
  </si>
  <si>
    <t>Law Estate Wines - Beyond - Hand Picked  - S./G./C.S./Mo/P.S.</t>
  </si>
  <si>
    <t>Verité La Muse - Sonoma - Me/C.F./Ma</t>
  </si>
  <si>
    <t>Verité La Muse - Sonoma - Me/C.F.</t>
  </si>
  <si>
    <t>Verité La Muse - Sonoma - Me/C.F./C.S./Ma</t>
  </si>
  <si>
    <t>Verité La Joie - Sonoma - C.S./Me/C.F.</t>
  </si>
  <si>
    <t>Verité La Joie - Sonoma - C.S./Me/C.F./P.V.</t>
  </si>
  <si>
    <t>Verité La Joie - Sonoma - C.S./Me/C.F./P.V./Ma</t>
  </si>
  <si>
    <t>Verité Le Desir - Sonoma - C.F./Me/C.S./Ma</t>
  </si>
  <si>
    <t>Verité Le Desir - Sonoma - Me/C.F./C.S./Ma</t>
  </si>
  <si>
    <t>Peter Michael - Les Pavots - Sonoma - C.S./Me/C.F./P.V.</t>
  </si>
  <si>
    <t>Peter Michael - Les Pavots - Sonoma - C.S./Me/C.F.</t>
  </si>
  <si>
    <t>Peter Michael - "Ma Danseuse" - Pinot Noir</t>
  </si>
  <si>
    <t>Marcassin - Sonoma Coast - Pinot Noir</t>
  </si>
  <si>
    <t>Abreu - Thorevilos - Napa Valley - C. S.</t>
  </si>
  <si>
    <t>Abreu - Cappella Propietary - Napa Valley - C. S.</t>
  </si>
  <si>
    <t>Abreu - Howell Mountain - Napa Valley - C. S.</t>
  </si>
  <si>
    <t>Sloan - Napa Valley - C.S./Me/C.F./P.V.</t>
  </si>
  <si>
    <t>Colgin - Cariad - Napa Valley - C. S./Me/C.F./P.V.</t>
  </si>
  <si>
    <t xml:space="preserve">Sine Qua Non - The Antagonists - Grenache  </t>
  </si>
  <si>
    <r>
      <t xml:space="preserve">Sine Qua Non - Midnight Oil - Syrah - </t>
    </r>
    <r>
      <rPr>
        <b/>
        <sz val="8"/>
        <color indexed="10"/>
        <rFont val="Verdana"/>
        <family val="2"/>
      </rPr>
      <t>Magnum</t>
    </r>
  </si>
  <si>
    <t>Sine Qua Non - Li`L E - Grenache</t>
  </si>
  <si>
    <t>Sine Qua Non - The Inaugural - Eleven Confessions - Grenache</t>
  </si>
  <si>
    <t>Sine Qua Non - Ode To E - Sta Rita Hills - Grenache</t>
  </si>
  <si>
    <r>
      <t>Sine Qua Non - Atlantis Fe</t>
    </r>
    <r>
      <rPr>
        <b/>
        <vertAlign val="subscript"/>
        <sz val="8"/>
        <rFont val="Verdana"/>
        <family val="2"/>
      </rPr>
      <t>2</t>
    </r>
    <r>
      <rPr>
        <b/>
        <sz val="8"/>
        <rFont val="Verdana"/>
        <family val="2"/>
      </rPr>
      <t>O</t>
    </r>
    <r>
      <rPr>
        <b/>
        <vertAlign val="subscript"/>
        <sz val="8"/>
        <rFont val="Verdana"/>
        <family val="2"/>
      </rPr>
      <t>3</t>
    </r>
    <r>
      <rPr>
        <b/>
        <sz val="8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2c - </t>
    </r>
    <r>
      <rPr>
        <b/>
        <sz val="8"/>
        <rFont val="Verdana"/>
        <family val="2"/>
      </rPr>
      <t>Grenache</t>
    </r>
  </si>
  <si>
    <r>
      <t>Sine Qua Non - Atlantis Fe</t>
    </r>
    <r>
      <rPr>
        <b/>
        <vertAlign val="subscript"/>
        <sz val="8"/>
        <rFont val="Verdana"/>
        <family val="2"/>
      </rPr>
      <t>2</t>
    </r>
    <r>
      <rPr>
        <b/>
        <sz val="8"/>
        <rFont val="Verdana"/>
        <family val="2"/>
      </rPr>
      <t>O</t>
    </r>
    <r>
      <rPr>
        <b/>
        <vertAlign val="subscript"/>
        <sz val="8"/>
        <rFont val="Verdana"/>
        <family val="2"/>
      </rPr>
      <t>3</t>
    </r>
    <r>
      <rPr>
        <b/>
        <sz val="8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2a - </t>
    </r>
    <r>
      <rPr>
        <b/>
        <sz val="8"/>
        <rFont val="Verdana"/>
        <family val="2"/>
      </rPr>
      <t>Grenache</t>
    </r>
  </si>
  <si>
    <t xml:space="preserve">Sine Qua Non - Next of Kyn </t>
  </si>
  <si>
    <t>Sine Qua Non - Stockholm Syndrome Eleven Confessions - Grenache</t>
  </si>
  <si>
    <t>J. Phelps - Insignia - Napa Valley - C.S./Me</t>
  </si>
  <si>
    <t>J. Phelps - Insignia - Napa Valley - C.S./Me/P.V.</t>
  </si>
  <si>
    <r>
      <t xml:space="preserve">J. Phelps - Insignia - Napa Valley - C.S./Me/P.V. - </t>
    </r>
    <r>
      <rPr>
        <b/>
        <sz val="8"/>
        <color indexed="10"/>
        <rFont val="Verdana"/>
        <family val="2"/>
      </rPr>
      <t>Magnum</t>
    </r>
  </si>
  <si>
    <r>
      <t xml:space="preserve">J. Phelps - Insignia - Napa Valley - C.S./P.V./Ma - </t>
    </r>
    <r>
      <rPr>
        <b/>
        <sz val="8"/>
        <color indexed="10"/>
        <rFont val="Verdana"/>
        <family val="2"/>
      </rPr>
      <t>Magnum</t>
    </r>
  </si>
  <si>
    <r>
      <t xml:space="preserve">J. Phelps - Insignia - Napa Valley - C.S./Me/P.V./Ma - </t>
    </r>
    <r>
      <rPr>
        <b/>
        <sz val="8"/>
        <color indexed="10"/>
        <rFont val="Verdana"/>
        <family val="2"/>
      </rPr>
      <t>Magnum</t>
    </r>
  </si>
  <si>
    <t>J. Phelps - Insignia - Napa Valley - C.S./P.V.</t>
  </si>
  <si>
    <r>
      <t xml:space="preserve">J. Phelps - Insignia - Napa Valley - C.S./P.V./Me - </t>
    </r>
    <r>
      <rPr>
        <b/>
        <sz val="8"/>
        <color indexed="10"/>
        <rFont val="Verdana"/>
        <family val="2"/>
      </rPr>
      <t>Magnum</t>
    </r>
  </si>
  <si>
    <t>Groth - Reserva - Napa Valley - C.S.</t>
  </si>
  <si>
    <t>Dominus Estate - Napa Valley -  C.S./Me/C.F./P.V</t>
  </si>
  <si>
    <t>Dominus Estate - Napa Valley -  C.S./Me/C.F.</t>
  </si>
  <si>
    <t>Ridge Vineyards Santa Cruz -Monte Bello - C.S./Me/P.V.</t>
  </si>
  <si>
    <t>Dominus Estate - Napa Valley -  C.S./C.F./P.V.</t>
  </si>
  <si>
    <r>
      <t xml:space="preserve">Dominus Estate - Napa Valley -  C.S./C.F.P.V. - </t>
    </r>
    <r>
      <rPr>
        <b/>
        <sz val="8"/>
        <color indexed="10"/>
        <rFont val="Verdana"/>
        <family val="2"/>
      </rPr>
      <t>Magnum</t>
    </r>
  </si>
  <si>
    <t>Spottswoode - Napa Valley - C.S.</t>
  </si>
  <si>
    <r>
      <t xml:space="preserve">Gemstone - Napa Valley - C.S./Me/C.F.  - </t>
    </r>
    <r>
      <rPr>
        <b/>
        <sz val="8"/>
        <color indexed="10"/>
        <rFont val="Verdana"/>
        <family val="2"/>
      </rPr>
      <t>Magnum</t>
    </r>
  </si>
  <si>
    <t>Chappellet - Napa Valley - C.S.</t>
  </si>
  <si>
    <t>Pahlmeyer - Napa Valley - C.S./P.V./Me /C.F./Ma</t>
  </si>
  <si>
    <t>Pahlmeyer - Napa Valley - C.S./Me/C.F./Ma/P.V.</t>
  </si>
  <si>
    <r>
      <t xml:space="preserve">Silver Oak - Napa Valley - C.S. - </t>
    </r>
    <r>
      <rPr>
        <b/>
        <sz val="8"/>
        <color rgb="FFFF0000"/>
        <rFont val="Verdana"/>
        <family val="2"/>
      </rPr>
      <t>Magnum</t>
    </r>
  </si>
  <si>
    <t>Beringer - C.S. - Private Reserve</t>
  </si>
  <si>
    <t>58 - 28</t>
  </si>
  <si>
    <t>Terroir Al Límit Soc. Lda. - Dits Del Terra - Priorat</t>
  </si>
  <si>
    <t>Danteramos Finca Zerberos - Castilla y León - Garnacha</t>
  </si>
  <si>
    <t>Maybach Materium - C. S.</t>
  </si>
  <si>
    <t>Hundred Acre - Dark Ark - Napa Valley  - C.S.</t>
  </si>
  <si>
    <t>Hundred Acre - Napa Valley - C.S.</t>
  </si>
  <si>
    <r>
      <t xml:space="preserve">Hundred Acre - Napa Valley - C.S. - </t>
    </r>
    <r>
      <rPr>
        <b/>
        <sz val="8"/>
        <color rgb="FFFF0000"/>
        <rFont val="Verdana"/>
        <family val="2"/>
      </rPr>
      <t>Magnum</t>
    </r>
  </si>
  <si>
    <t>Hundred Acre - Precious - Napa Valley  - C.S.</t>
  </si>
  <si>
    <t>Louis Jadot - Batard - Montrachet - G C</t>
  </si>
  <si>
    <t>Hundred Acre - Deep Time  - Shiraz</t>
  </si>
  <si>
    <t>Kongsgaard - Napa Valley - Syrah</t>
  </si>
  <si>
    <t>Cortes de Cima - Reserva</t>
  </si>
  <si>
    <t>19 - 36</t>
  </si>
  <si>
    <t>Herdade do Esporão - Private Selection</t>
  </si>
  <si>
    <t>Alentejo - Esporão - Reserva</t>
  </si>
  <si>
    <t>22 - 35</t>
  </si>
  <si>
    <t>Alentejo - Susana Esteban - Vinhas Velhas - Vinyle</t>
  </si>
  <si>
    <t>Alentejo - Susana Esteban - Vinhas Velhas - Tira o Véu</t>
  </si>
  <si>
    <t xml:space="preserve">Alentejo - Susana Esteban - Vinhas Velhas - Procura  </t>
  </si>
  <si>
    <t>Dão - M.O.B. - Senna</t>
  </si>
  <si>
    <t>Gazin</t>
  </si>
  <si>
    <r>
      <t>Albert Bichot - Chambolle - Musigny -</t>
    </r>
    <r>
      <rPr>
        <b/>
        <sz val="8"/>
        <color rgb="FFFF0000"/>
        <rFont val="Verdana"/>
        <family val="2"/>
      </rPr>
      <t xml:space="preserve"> Magnum</t>
    </r>
  </si>
  <si>
    <t>27 - 65</t>
  </si>
  <si>
    <t>22 - 33</t>
  </si>
  <si>
    <t>22 - 30</t>
  </si>
  <si>
    <t>JURA</t>
  </si>
  <si>
    <t>Jean Bourdy - Chateau - Chalon - 620ml</t>
  </si>
  <si>
    <t>Domaine Les Poete - Odyssée</t>
  </si>
  <si>
    <t>Francesco Gravner - Bianco Breg</t>
  </si>
  <si>
    <t>Francesco Gravner - Ribolla</t>
  </si>
  <si>
    <t>26 - 38</t>
  </si>
  <si>
    <t>Domaine Dujac - Morey - Saint - Denis  - P.C.</t>
  </si>
  <si>
    <t>Sine Qua Non - E Raised - Syrah</t>
  </si>
  <si>
    <t>Kapcsándy Family Winery - Napa Valley - Roberta's Reserve - Merlot</t>
  </si>
  <si>
    <r>
      <t>Sine Qua Non - Atlantis Fe</t>
    </r>
    <r>
      <rPr>
        <b/>
        <vertAlign val="subscript"/>
        <sz val="8"/>
        <rFont val="Verdana"/>
        <family val="2"/>
      </rPr>
      <t>2</t>
    </r>
    <r>
      <rPr>
        <b/>
        <sz val="8"/>
        <rFont val="Verdana"/>
        <family val="2"/>
      </rPr>
      <t>O</t>
    </r>
    <r>
      <rPr>
        <b/>
        <vertAlign val="subscript"/>
        <sz val="8"/>
        <rFont val="Verdana"/>
        <family val="2"/>
      </rPr>
      <t>3</t>
    </r>
    <r>
      <rPr>
        <b/>
        <sz val="8"/>
        <rFont val="Verdana"/>
        <family val="2"/>
      </rPr>
      <t xml:space="preserve"> - </t>
    </r>
    <r>
      <rPr>
        <b/>
        <sz val="8"/>
        <color indexed="10"/>
        <rFont val="Verdana"/>
        <family val="2"/>
      </rPr>
      <t xml:space="preserve">2b - </t>
    </r>
    <r>
      <rPr>
        <b/>
        <sz val="8"/>
        <rFont val="Verdana"/>
        <family val="2"/>
      </rPr>
      <t>Grenache</t>
    </r>
  </si>
  <si>
    <t>Hundred Acre - Ancient Way - Shiraz</t>
  </si>
  <si>
    <t>Mayacamas - C.S.</t>
  </si>
  <si>
    <t>Armand Rousseau - Gevrey Chambertin - Les Cazetiers - P C</t>
  </si>
  <si>
    <t>86 - 88</t>
  </si>
  <si>
    <t>JURA ( total )</t>
  </si>
  <si>
    <t>Quinta do Noval - Vinhas da Marka</t>
  </si>
  <si>
    <t>Quinta do Noval - Vinhas do Passadouro</t>
  </si>
  <si>
    <t>Susana Esteban - Procura - Vinhas Velhas</t>
  </si>
  <si>
    <t>Susana Esteban - Cabriolet - Tourga Nacional</t>
  </si>
  <si>
    <t>Susana Esteban - Sidecar</t>
  </si>
  <si>
    <t>Sandra Tavares e Susana Esteban - Crochet</t>
  </si>
  <si>
    <t>21 - 36</t>
  </si>
  <si>
    <t>Lisboa - Guarita da Chocapalha</t>
  </si>
  <si>
    <t>Quinta de La Rosa - Reserva</t>
  </si>
  <si>
    <t>24 - 40</t>
  </si>
  <si>
    <t>Susana Esteban - Special Edition</t>
  </si>
  <si>
    <t>Dão - Domínio do Açor - Encruzado</t>
  </si>
  <si>
    <t>Dão - Domínio do Açor - Bical - Vinha Celta</t>
  </si>
  <si>
    <t>Dão - Domínio do Açor - Branco</t>
  </si>
  <si>
    <t xml:space="preserve">Lisboa - Colares - Ramilo - Malvasia </t>
  </si>
  <si>
    <r>
      <t xml:space="preserve">Sine Qua Non - Le Chemin Vers L'Heresie Grenache - </t>
    </r>
    <r>
      <rPr>
        <b/>
        <sz val="8"/>
        <color rgb="FFFF0000"/>
        <rFont val="Verdana"/>
        <family val="2"/>
      </rPr>
      <t>Magnum</t>
    </r>
  </si>
  <si>
    <t>Vieux Chateau Gachet</t>
  </si>
  <si>
    <t>96+</t>
  </si>
  <si>
    <t>Yllera - Gran Selección</t>
  </si>
  <si>
    <t>Domaine Adrien Besson - Chablis G.C. - Vaudésir</t>
  </si>
  <si>
    <r>
      <t xml:space="preserve">Zusslin - Valentín - Grand Cru Pfingstberg - Riesling - </t>
    </r>
    <r>
      <rPr>
        <b/>
        <sz val="8"/>
        <color rgb="FFFF0000"/>
        <rFont val="Verdana"/>
        <family val="2"/>
      </rPr>
      <t>Magnum</t>
    </r>
  </si>
  <si>
    <t>27 - 45</t>
  </si>
  <si>
    <t>Guado al Tasso  - Bolgheri Superiore - Antinori</t>
  </si>
  <si>
    <t>Luciano Sandrone - Vite Talin</t>
  </si>
  <si>
    <t>24 - 50</t>
  </si>
  <si>
    <t>Sassicaia - Tenuta San Guido - Bolgheri</t>
  </si>
  <si>
    <t>23 - 35</t>
  </si>
  <si>
    <t>21 - 35</t>
  </si>
  <si>
    <t>17 - 29</t>
  </si>
  <si>
    <t>14 - 20</t>
  </si>
  <si>
    <t>Clos Mogador - COM TU</t>
  </si>
  <si>
    <t>Andrea Costante</t>
  </si>
  <si>
    <t>Leflaive - Bienvenues - Batard -Montrachet  G. C.</t>
  </si>
  <si>
    <t>14 - 17</t>
  </si>
  <si>
    <t>21 - 28</t>
  </si>
  <si>
    <t>Cordero Di Montezemolo - Monfalletto</t>
  </si>
  <si>
    <t>Cordero Di Montezemolo - Nebbiolo</t>
  </si>
  <si>
    <t>Bodegas Forjas Del Salnés - Rias Baixas - Goliardo - Loureiro</t>
  </si>
  <si>
    <t xml:space="preserve">Dujac Fils et Père - Morey - Saint - Denis  </t>
  </si>
  <si>
    <t>71 - 31</t>
  </si>
  <si>
    <r>
      <t xml:space="preserve">Chateau Laville Haut-Brion - Pessac Leognan -  </t>
    </r>
    <r>
      <rPr>
        <b/>
        <sz val="8"/>
        <color rgb="FFFF0000"/>
        <rFont val="Verdana"/>
        <family val="2"/>
      </rPr>
      <t>Magnum</t>
    </r>
  </si>
  <si>
    <t>23 - 45</t>
  </si>
  <si>
    <t>Château-Chalon</t>
  </si>
  <si>
    <t>Menin - D. Beatriz - Vinhas Velhas</t>
  </si>
  <si>
    <t>DRC - Romanée-St-Vivant - GC</t>
  </si>
  <si>
    <t>24 - 32</t>
  </si>
  <si>
    <t>Dão - Quinta da Pellada - Muleta</t>
  </si>
  <si>
    <t>21 - 24</t>
  </si>
  <si>
    <t>23 - 30</t>
  </si>
  <si>
    <t>4 Monos - Aguja del Fraile - Madrid</t>
  </si>
  <si>
    <t>23 - 28</t>
  </si>
  <si>
    <t>Ca' di Mat - Valautín - Madrid - Garnacha</t>
  </si>
  <si>
    <t>25 - 55</t>
  </si>
  <si>
    <t>Luciano Sandrone - Nebbiolo D'Alba - Valmaggiore</t>
  </si>
  <si>
    <t>Cavallotto - Barbera d'Alba Superiore - Vigna del Cuculo</t>
  </si>
  <si>
    <t>24 - 29</t>
  </si>
  <si>
    <t>23 - 27</t>
  </si>
  <si>
    <t>24 - 30</t>
  </si>
  <si>
    <t>Dão - Domínio do Açor - Vila Romana</t>
  </si>
  <si>
    <t>Dão - Domínio do Açor - Reserva</t>
  </si>
  <si>
    <r>
      <t xml:space="preserve">Fourrier Jean-Marie - Cote de Nuits-Villages - Clos de la Belle Marguerite - Monopole - </t>
    </r>
    <r>
      <rPr>
        <b/>
        <sz val="8"/>
        <color rgb="FFFF0000"/>
        <rFont val="Verdana"/>
        <family val="2"/>
      </rPr>
      <t>Magnum</t>
    </r>
  </si>
  <si>
    <r>
      <t xml:space="preserve">Dão - Domínio do Açor - Reserva - </t>
    </r>
    <r>
      <rPr>
        <b/>
        <sz val="8"/>
        <color rgb="FFFF0000"/>
        <rFont val="Verdana"/>
        <family val="2"/>
      </rPr>
      <t>Magnum</t>
    </r>
  </si>
  <si>
    <r>
      <t xml:space="preserve">Dão - Domínio do Açor - Bical - Vinha Celta - </t>
    </r>
    <r>
      <rPr>
        <b/>
        <sz val="8"/>
        <color rgb="FFFF0000"/>
        <rFont val="Verdana"/>
        <family val="2"/>
      </rPr>
      <t>Magnum</t>
    </r>
  </si>
  <si>
    <r>
      <t xml:space="preserve">Dão - Domínio do Açor - Encruzado - </t>
    </r>
    <r>
      <rPr>
        <b/>
        <sz val="8"/>
        <color rgb="FFFF0000"/>
        <rFont val="Verdana"/>
        <family val="2"/>
      </rPr>
      <t>Magnum</t>
    </r>
  </si>
  <si>
    <t>Comm. G.B. Burlotto - Castelletto</t>
  </si>
  <si>
    <t>24 - 45</t>
  </si>
  <si>
    <t>Domaine Vincent Pinard - Sancerre Charlouise</t>
  </si>
  <si>
    <t>JURA   ( total )</t>
  </si>
  <si>
    <t>Fumey Chatelain - No Sin Tout Tsefs</t>
  </si>
  <si>
    <t>Paul Prieur et Fils - Les Pichons - Sancerre</t>
  </si>
  <si>
    <t>Dão - Luís Seabra - Granito Cru</t>
  </si>
  <si>
    <t>Dominique Laurent - Gevrey -Chambertin P. C. Estournelles Saint Jacques - Vieilles Vignes</t>
  </si>
  <si>
    <t>Dominique Laurent - Vosne Romanée - P. C. Les Rouges - Vieilles Vignes</t>
  </si>
  <si>
    <r>
      <t xml:space="preserve">Joseph Drouhin - Corton-Charlemagne - GC - </t>
    </r>
    <r>
      <rPr>
        <b/>
        <sz val="8"/>
        <color rgb="FFFF0000"/>
        <rFont val="Verdana"/>
        <family val="2"/>
      </rPr>
      <t>3L</t>
    </r>
  </si>
  <si>
    <t>Quinta do Zimbro - Grau Braumé</t>
  </si>
  <si>
    <t xml:space="preserve">Blanc de Valandraud N 1 </t>
  </si>
  <si>
    <t>André Perret Condrieu Chéry</t>
  </si>
  <si>
    <t>Patterson - Sta. Rita Hills - Chardonnay</t>
  </si>
  <si>
    <r>
      <t xml:space="preserve">Dão - Domínio do Açor - Vinha Ruina - Cerceal Branco - </t>
    </r>
    <r>
      <rPr>
        <b/>
        <sz val="8"/>
        <color rgb="FFFF0000"/>
        <rFont val="Verdana"/>
        <family val="2"/>
      </rPr>
      <t>Magnum</t>
    </r>
  </si>
  <si>
    <t>Menin - Maria Fernanda - Vinhas Velhas</t>
  </si>
  <si>
    <t>Stella di Campalto - Podere S. Giuseppe - Aria</t>
  </si>
  <si>
    <t>Stella di Campalto - Podere S. Giuseppe - Bacia</t>
  </si>
  <si>
    <r>
      <t xml:space="preserve">Stella di Campalto - Podere S. Giuseppe - Bacia - </t>
    </r>
    <r>
      <rPr>
        <b/>
        <sz val="8"/>
        <color rgb="FFFF0000"/>
        <rFont val="Verdana"/>
        <family val="2"/>
      </rPr>
      <t>Magnum</t>
    </r>
  </si>
  <si>
    <t>VÊNETO</t>
  </si>
  <si>
    <t>VÊNETO  ( total )</t>
  </si>
  <si>
    <t>VÊNETO ( continuação )</t>
  </si>
  <si>
    <t>Sicilia - Tenuta Delle Terre Nere - Etna Rosso</t>
  </si>
  <si>
    <t>Gilbert Et Christine Felettig - Chambolle - Musigny - Les Lavrottes</t>
  </si>
  <si>
    <t>Gilbert Et Christine Felettig - Chambolle - Musigny - Les Fuées</t>
  </si>
  <si>
    <t xml:space="preserve">Maxime Cheurlin Noellat -Corton Les Hautes Mourottes </t>
  </si>
  <si>
    <r>
      <t xml:space="preserve">Luciano Sandrone - Aleste - </t>
    </r>
    <r>
      <rPr>
        <b/>
        <sz val="8"/>
        <color rgb="FFFF0000"/>
        <rFont val="Verdana"/>
        <family val="2"/>
      </rPr>
      <t>Magnum</t>
    </r>
  </si>
  <si>
    <t xml:space="preserve">Sine Qua Non - Rattrapante - Grenache </t>
  </si>
  <si>
    <t>Next of Kyn - Release N -6</t>
  </si>
  <si>
    <t>Bouchard Père &amp; Fils - Corton Charlemagne</t>
  </si>
  <si>
    <t>R. Lopes De Heredia - Vina Tondonia</t>
  </si>
  <si>
    <r>
      <t xml:space="preserve">R. Lopes De Heredia - Vina Tondonia - Reserva - </t>
    </r>
    <r>
      <rPr>
        <b/>
        <sz val="8"/>
        <color rgb="FFFF0000"/>
        <rFont val="Verdana"/>
        <family val="2"/>
      </rPr>
      <t>Magnum</t>
    </r>
  </si>
  <si>
    <r>
      <t xml:space="preserve">J. Phelps - Insignia - Napa Valley - C.S./Me - </t>
    </r>
    <r>
      <rPr>
        <b/>
        <sz val="8"/>
        <color indexed="10"/>
        <rFont val="Verdana"/>
        <family val="2"/>
      </rPr>
      <t>Magnum</t>
    </r>
  </si>
  <si>
    <t>Famille Barthelmé -Albert Mann - Clos de la Faille - Pinot Noir</t>
  </si>
  <si>
    <t>Famille Barthelmé -Albert Mann - Les Saintes Claires - Pinot Noir</t>
  </si>
  <si>
    <t>Castello di Ama - Vigneto Bellavista</t>
  </si>
  <si>
    <t>Bouchard Père &amp; Fils - Chevalier -Montrachet - La Cabotte</t>
  </si>
  <si>
    <t>Henri Boillot - Corton Charlemagne - G C</t>
  </si>
  <si>
    <r>
      <t xml:space="preserve">Menin - D. Beatriz - Vinhas Velhas - </t>
    </r>
    <r>
      <rPr>
        <b/>
        <sz val="8"/>
        <color rgb="FFFF0000"/>
        <rFont val="Verdana"/>
        <family val="2"/>
      </rPr>
      <t>Magnum</t>
    </r>
  </si>
  <si>
    <t>H.O. - Reserva</t>
  </si>
  <si>
    <t>Menin - Touriga Franca</t>
  </si>
  <si>
    <t xml:space="preserve">Menin - Reserva </t>
  </si>
  <si>
    <t>H.O. - Achado</t>
  </si>
  <si>
    <t>Hudelot-Noellat - Nuits St Georges - Les Murgers</t>
  </si>
  <si>
    <t xml:space="preserve">Hudelot-Noellat - Chambolle -Musigny </t>
  </si>
  <si>
    <t>98 - 28</t>
  </si>
  <si>
    <t xml:space="preserve">Louis Jadot -  Gevrey Chambertin - Clos Saint Jacques </t>
  </si>
  <si>
    <t>Domaine Dujac - Chambolle - Musigny.</t>
  </si>
  <si>
    <t>La Chablisienne Vaillons - Chablis P.C.</t>
  </si>
  <si>
    <t>Albert Mann - Cuvée Albert  - Riesling</t>
  </si>
  <si>
    <t xml:space="preserve">Albert Mann - Schlosseberg - Grand Cru    </t>
  </si>
  <si>
    <t xml:space="preserve">Luís Seabra - Xisto Ilimitado </t>
  </si>
  <si>
    <t>Puglia - Tenute Rubino - Torre Testa Coc Brindise Susumaniello</t>
  </si>
  <si>
    <t xml:space="preserve">Olivier Rivière - Pozo Alto </t>
  </si>
  <si>
    <t>JURA (continuação)</t>
  </si>
  <si>
    <r>
      <t xml:space="preserve">Renato Ratti - Marcenasco - </t>
    </r>
    <r>
      <rPr>
        <b/>
        <sz val="8"/>
        <color rgb="FFFF0000"/>
        <rFont val="Verdana"/>
        <family val="2"/>
      </rPr>
      <t>Magnum</t>
    </r>
  </si>
  <si>
    <t>Comm. G.B. Burlotto - Monvigliero</t>
  </si>
  <si>
    <t>Comm. G.B. Burlotto - Cannubi</t>
  </si>
  <si>
    <t>Comm. G.B. Burlotto - Acclivi</t>
  </si>
  <si>
    <t>Luciano Sandrone - Barbera D' Alba</t>
  </si>
  <si>
    <t xml:space="preserve">Luciano Sandrone - Aleste </t>
  </si>
  <si>
    <t>Muga - Prado Enea - Gran Reserva</t>
  </si>
  <si>
    <t xml:space="preserve">R. Lopes De Heredia - Vina Tondonia - Reserva </t>
  </si>
  <si>
    <t xml:space="preserve">Setubal - Quinta do Paraiso  - Doutor do Paraiso </t>
  </si>
  <si>
    <t>24 - 33</t>
  </si>
  <si>
    <t>23 - 37</t>
  </si>
  <si>
    <t>24 - 37</t>
  </si>
  <si>
    <t>22 - 26</t>
  </si>
  <si>
    <t>27 - 40</t>
  </si>
  <si>
    <t>25 - 48</t>
  </si>
  <si>
    <t>24 - 44</t>
  </si>
  <si>
    <t>25 - 30</t>
  </si>
  <si>
    <t>25 - 35</t>
  </si>
  <si>
    <t>15 - 24</t>
  </si>
  <si>
    <t>22 - 29</t>
  </si>
  <si>
    <t>26 - 32</t>
  </si>
  <si>
    <t>24 - 28</t>
  </si>
  <si>
    <t>22 - 32</t>
  </si>
  <si>
    <t>24 - 34</t>
  </si>
  <si>
    <t>87 - 30</t>
  </si>
  <si>
    <t>24 - 58</t>
  </si>
  <si>
    <t>18 - 39</t>
  </si>
  <si>
    <t>Douro -Redoma Reserva</t>
  </si>
  <si>
    <t>23 - 60</t>
  </si>
  <si>
    <r>
      <t xml:space="preserve">Trotanoy  - </t>
    </r>
    <r>
      <rPr>
        <b/>
        <sz val="8"/>
        <color rgb="FFFF0000"/>
        <rFont val="Verdana"/>
        <family val="2"/>
      </rPr>
      <t>Magnum</t>
    </r>
  </si>
  <si>
    <t>24 - 67</t>
  </si>
  <si>
    <t xml:space="preserve"> 07 - 25</t>
  </si>
  <si>
    <t xml:space="preserve"> 15 - 39</t>
  </si>
  <si>
    <t xml:space="preserve"> 09 - 30</t>
  </si>
  <si>
    <t>25 - 65</t>
  </si>
  <si>
    <t>75 - 35</t>
  </si>
  <si>
    <t>20 - 55</t>
  </si>
  <si>
    <t>19 - 56</t>
  </si>
  <si>
    <t>18 - 43</t>
  </si>
  <si>
    <t>23 - 55</t>
  </si>
  <si>
    <t>22 - 85</t>
  </si>
  <si>
    <t>95 - 30</t>
  </si>
  <si>
    <t>01 - 20</t>
  </si>
  <si>
    <t xml:space="preserve"> 16 - 56</t>
  </si>
  <si>
    <t xml:space="preserve"> 14 - 26</t>
  </si>
  <si>
    <t>20 - 53</t>
  </si>
  <si>
    <t>23 - 50</t>
  </si>
  <si>
    <t>19 - 45</t>
  </si>
  <si>
    <r>
      <t>88</t>
    </r>
    <r>
      <rPr>
        <b/>
        <sz val="8"/>
        <color indexed="12"/>
        <rFont val="Calibri"/>
        <family val="2"/>
      </rPr>
      <t>⁺</t>
    </r>
    <r>
      <rPr>
        <b/>
        <sz val="8"/>
        <color indexed="12"/>
        <rFont val="Verdana"/>
        <family val="2"/>
      </rPr>
      <t>?</t>
    </r>
  </si>
  <si>
    <t>82?</t>
  </si>
  <si>
    <t>16 - 17</t>
  </si>
  <si>
    <t>100?</t>
  </si>
  <si>
    <t>18 - 55</t>
  </si>
  <si>
    <t>87?</t>
  </si>
  <si>
    <t>30 - 00</t>
  </si>
  <si>
    <t>00 - 42</t>
  </si>
  <si>
    <t>20 - 65</t>
  </si>
  <si>
    <t>16 - 60</t>
  </si>
  <si>
    <t>21 - 38</t>
  </si>
  <si>
    <t>26 - 66</t>
  </si>
  <si>
    <t>20 - 38</t>
  </si>
  <si>
    <t>20 - 36</t>
  </si>
  <si>
    <t>20 - 48</t>
  </si>
  <si>
    <t>75 - 30</t>
  </si>
  <si>
    <t>00 - 32</t>
  </si>
  <si>
    <r>
      <t xml:space="preserve">Angelus - </t>
    </r>
    <r>
      <rPr>
        <b/>
        <sz val="8"/>
        <color rgb="FFFF0000"/>
        <rFont val="Verdana"/>
        <family val="2"/>
      </rPr>
      <t>Magnum</t>
    </r>
  </si>
  <si>
    <t>92 - 32</t>
  </si>
  <si>
    <t>98 - 12</t>
  </si>
  <si>
    <t>03 - 16</t>
  </si>
  <si>
    <t>18 - 44</t>
  </si>
  <si>
    <t>02 - 40</t>
  </si>
  <si>
    <t>09 - 59</t>
  </si>
  <si>
    <t>20 - 54</t>
  </si>
  <si>
    <t>00 - 45</t>
  </si>
  <si>
    <t>98 - 38</t>
  </si>
  <si>
    <t>12 - 52</t>
  </si>
  <si>
    <t>67 - 47</t>
  </si>
  <si>
    <t xml:space="preserve"> 15 - 40</t>
  </si>
  <si>
    <t>19 - 38</t>
  </si>
  <si>
    <t xml:space="preserve"> 20 - 45</t>
  </si>
  <si>
    <t xml:space="preserve"> 15 - 35</t>
  </si>
  <si>
    <t>92 - 35</t>
  </si>
  <si>
    <t>16 - 45</t>
  </si>
  <si>
    <t>97 - 05</t>
  </si>
  <si>
    <t>18 - 48</t>
  </si>
  <si>
    <t>09 - 14</t>
  </si>
  <si>
    <t>18 - 120</t>
  </si>
  <si>
    <t xml:space="preserve"> 15 - 50</t>
  </si>
  <si>
    <t>17 - 26</t>
  </si>
  <si>
    <t>17 -19</t>
  </si>
  <si>
    <t>17 - 40</t>
  </si>
  <si>
    <t xml:space="preserve"> 17 - 30</t>
  </si>
  <si>
    <t xml:space="preserve"> 06 - 25</t>
  </si>
  <si>
    <t xml:space="preserve"> 05 - 17</t>
  </si>
  <si>
    <t>02 - 32</t>
  </si>
  <si>
    <r>
      <t>95</t>
    </r>
    <r>
      <rPr>
        <b/>
        <vertAlign val="superscript"/>
        <sz val="8"/>
        <color indexed="12"/>
        <rFont val="Verdana"/>
        <family val="2"/>
      </rPr>
      <t>+?</t>
    </r>
  </si>
  <si>
    <t>(75 94)?</t>
  </si>
  <si>
    <t xml:space="preserve">Giulia Negri - Langhe - Nebbilo - Pian Delle Mole  </t>
  </si>
  <si>
    <t xml:space="preserve">Giulia Negri - Barbera d'Alba </t>
  </si>
  <si>
    <r>
      <t>Giulia Negri - Marassio -</t>
    </r>
    <r>
      <rPr>
        <b/>
        <sz val="8"/>
        <color rgb="FFFF0000"/>
        <rFont val="Verdana"/>
        <family val="2"/>
      </rPr>
      <t xml:space="preserve">Magnum </t>
    </r>
  </si>
  <si>
    <r>
      <t>90</t>
    </r>
    <r>
      <rPr>
        <b/>
        <vertAlign val="superscript"/>
        <sz val="8"/>
        <color indexed="12"/>
        <rFont val="Verdana"/>
        <family val="2"/>
      </rPr>
      <t>?</t>
    </r>
  </si>
  <si>
    <r>
      <t>Giulia Negri - Serradenari -</t>
    </r>
    <r>
      <rPr>
        <b/>
        <sz val="8"/>
        <color rgb="FFFF0000"/>
        <rFont val="Verdana"/>
        <family val="2"/>
      </rPr>
      <t xml:space="preserve">Magnum </t>
    </r>
  </si>
  <si>
    <t xml:space="preserve">Giulia Negri - Langhe - La Tartufaia  - Pinot Nero  </t>
  </si>
  <si>
    <r>
      <t xml:space="preserve">Giulia Negri - Langhe - La Tartufaia  - Pinot Nero  - </t>
    </r>
    <r>
      <rPr>
        <b/>
        <sz val="8"/>
        <color rgb="FFFF0000"/>
        <rFont val="Verdana"/>
        <family val="2"/>
      </rPr>
      <t>Magnum</t>
    </r>
  </si>
  <si>
    <r>
      <t>Giulia Negri - La Tartufaia -</t>
    </r>
    <r>
      <rPr>
        <b/>
        <sz val="8"/>
        <color rgb="FFFF0000"/>
        <rFont val="Verdana"/>
        <family val="2"/>
      </rPr>
      <t xml:space="preserve">Magnum </t>
    </r>
  </si>
  <si>
    <t xml:space="preserve">Giulia Negri - Marassio  </t>
  </si>
  <si>
    <t>Giulia Negri - Serradenari</t>
  </si>
  <si>
    <t xml:space="preserve">Giulia Negri - La Tartufaia </t>
  </si>
  <si>
    <t>Domaine Michel Lafarge - Volnay - Vendanges Sélectionnées.</t>
  </si>
  <si>
    <r>
      <t>91</t>
    </r>
    <r>
      <rPr>
        <b/>
        <vertAlign val="superscript"/>
        <sz val="8"/>
        <color indexed="12"/>
        <rFont val="Verdana"/>
        <family val="2"/>
      </rPr>
      <t>+</t>
    </r>
    <r>
      <rPr>
        <b/>
        <vertAlign val="superscript"/>
        <sz val="8"/>
        <color rgb="FF0000FF"/>
        <rFont val="Verdana"/>
        <family val="2"/>
      </rPr>
      <t>?</t>
    </r>
  </si>
  <si>
    <r>
      <t xml:space="preserve">Bouchard Père &amp; Fils - La Romanée GC - </t>
    </r>
    <r>
      <rPr>
        <b/>
        <sz val="8"/>
        <color rgb="FFFF0000"/>
        <rFont val="Verdana"/>
        <family val="2"/>
      </rPr>
      <t>Magnum</t>
    </r>
  </si>
  <si>
    <r>
      <t>93</t>
    </r>
    <r>
      <rPr>
        <b/>
        <vertAlign val="superscript"/>
        <sz val="8"/>
        <color rgb="FF0000FF"/>
        <rFont val="Verdana"/>
        <family val="2"/>
      </rPr>
      <t>?</t>
    </r>
  </si>
  <si>
    <t>99 -100</t>
  </si>
  <si>
    <r>
      <t>92 - 94</t>
    </r>
    <r>
      <rPr>
        <b/>
        <vertAlign val="superscript"/>
        <sz val="8"/>
        <color rgb="FF0000FF"/>
        <rFont val="Verdana"/>
        <family val="2"/>
      </rPr>
      <t>+?</t>
    </r>
  </si>
  <si>
    <t xml:space="preserve">La Chablisienne Petit Chablis - Chablis </t>
  </si>
  <si>
    <t>02 - 15</t>
  </si>
  <si>
    <t>19 - 46</t>
  </si>
  <si>
    <t>15 - 42</t>
  </si>
  <si>
    <t>25 - 45</t>
  </si>
  <si>
    <t>13 - 46</t>
  </si>
  <si>
    <t>Domaine Adrien Besson - Chablis P.C. - Vaillons</t>
  </si>
  <si>
    <t>Susana Esteban - Tricot - Tourga Nacional</t>
  </si>
  <si>
    <t>Susana Esteban - Crochet- Tourga Franca - Tourga Nacional</t>
  </si>
  <si>
    <t>Chiara Boschis - Cannubi</t>
  </si>
  <si>
    <t>Chiara Boschis - Mosconi</t>
  </si>
  <si>
    <t>Chiara Boschis - Via Nuova</t>
  </si>
  <si>
    <t xml:space="preserve">Chiara Boschis - Barbera D'Alba Superiore </t>
  </si>
  <si>
    <t>Chiara Boschis - Langhe - Nebbiolo</t>
  </si>
  <si>
    <t xml:space="preserve">Opus One - Rothschild / Mondavi - Napa Valley - C.S./M. C.F. </t>
  </si>
  <si>
    <t>Henri Boillot - Chevalier -Montrachet G C</t>
  </si>
  <si>
    <t>Louis Jadot - Chevalier -Montrachet - Les Demoiselles -G C</t>
  </si>
  <si>
    <t>TORO (continuação)</t>
  </si>
  <si>
    <t>PRIORAT  (continuação)</t>
  </si>
  <si>
    <t>Dão - Domínio do Açor - Jean Alterita 3 Sandy</t>
  </si>
  <si>
    <t>Dão - Domínio do Açor - Jean Alterita 5 Silty</t>
  </si>
  <si>
    <t>Dão - Domínio do Açor - Jean Vinha Celta</t>
  </si>
  <si>
    <t>Dão - Domínio do Açor - Tinta Pinheira</t>
  </si>
  <si>
    <t xml:space="preserve">Dão - Domínio do Açor - Vinha Ruina - Cerceal Branco </t>
  </si>
  <si>
    <r>
      <t xml:space="preserve">Dão - Domínio do Açor - Vila Romana - </t>
    </r>
    <r>
      <rPr>
        <b/>
        <sz val="8"/>
        <color rgb="FFFF0000"/>
        <rFont val="Verdana"/>
        <family val="2"/>
      </rPr>
      <t>Magnum</t>
    </r>
  </si>
  <si>
    <t>Jacques Prieur - Beaune Champs - Pimont -P C</t>
  </si>
  <si>
    <t xml:space="preserve">Domaine Dujac - Morey - Saint - Denis  </t>
  </si>
  <si>
    <r>
      <t xml:space="preserve">Dão - Domínio do Açor - Vila Romana - </t>
    </r>
    <r>
      <rPr>
        <b/>
        <sz val="8"/>
        <color rgb="FFFF0000"/>
        <rFont val="Verdana"/>
        <family val="2"/>
      </rPr>
      <t>Não tinha espaço na adega de branco</t>
    </r>
  </si>
  <si>
    <t>Chateau Montelena - Chardonnay</t>
  </si>
  <si>
    <r>
      <t xml:space="preserve">Saumur Champigny - Clos Rougeard  - Brézé - </t>
    </r>
    <r>
      <rPr>
        <b/>
        <sz val="8"/>
        <color rgb="FFFF0000"/>
        <rFont val="Verdana"/>
        <family val="2"/>
      </rPr>
      <t>Não tinha espaço na adega de branco</t>
    </r>
  </si>
  <si>
    <t>Cascina Delle Rose - Rio Sordo</t>
  </si>
  <si>
    <t>Cascina Delle Rose - Tre Stelle</t>
  </si>
  <si>
    <t>VAL DU LOIRE  (continuação)</t>
  </si>
  <si>
    <t xml:space="preserve">Saumur Champigny - Clos Rougeardt - Le Bourg </t>
  </si>
  <si>
    <t>Maison Roche de Bellene - Meursault - Charmes - P.C.</t>
  </si>
  <si>
    <t>96 - 05</t>
  </si>
  <si>
    <t>03 - 24</t>
  </si>
  <si>
    <t>Puglia - Cantine Paololeo - Passo del Cardinale Primitivo di Manduria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</si>
</sst>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_ ;[Red]\-#,##0\ "/>
    <numFmt numFmtId="166" formatCode="0.0"/>
  </numFmts>
  <fonts count="45" x14ac:knownFonts="1"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b/>
      <sz val="20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2"/>
      <color indexed="10"/>
      <name val="Verdana"/>
      <family val="2"/>
    </font>
    <font>
      <b/>
      <sz val="12"/>
      <color indexed="12"/>
      <name val="Verdana"/>
      <family val="2"/>
    </font>
    <font>
      <b/>
      <sz val="10"/>
      <color indexed="12"/>
      <name val="Verdana"/>
      <family val="2"/>
    </font>
    <font>
      <sz val="10"/>
      <color indexed="12"/>
      <name val="Verdana"/>
      <family val="2"/>
    </font>
    <font>
      <b/>
      <sz val="11"/>
      <color indexed="12"/>
      <name val="Verdana"/>
      <family val="2"/>
    </font>
    <font>
      <b/>
      <sz val="11"/>
      <color indexed="10"/>
      <name val="Verdana"/>
      <family val="2"/>
    </font>
    <font>
      <sz val="11"/>
      <name val="Verdana"/>
      <family val="2"/>
    </font>
    <font>
      <b/>
      <sz val="10"/>
      <color indexed="10"/>
      <name val="Verdana"/>
      <family val="2"/>
    </font>
    <font>
      <sz val="8"/>
      <name val="Arial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8"/>
      <color indexed="1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10"/>
      <name val="Verdana"/>
      <family val="2"/>
    </font>
    <font>
      <b/>
      <sz val="8"/>
      <color indexed="60"/>
      <name val="Verdana"/>
      <family val="2"/>
    </font>
    <font>
      <b/>
      <vertAlign val="superscript"/>
      <sz val="8"/>
      <color indexed="12"/>
      <name val="Verdana"/>
      <family val="2"/>
    </font>
    <font>
      <b/>
      <sz val="8"/>
      <color indexed="8"/>
      <name val="Verdana"/>
      <family val="2"/>
    </font>
    <font>
      <b/>
      <vertAlign val="superscript"/>
      <sz val="8"/>
      <name val="Verdana"/>
      <family val="2"/>
    </font>
    <font>
      <b/>
      <vertAlign val="subscript"/>
      <sz val="8"/>
      <name val="Verdana"/>
      <family val="2"/>
    </font>
    <font>
      <b/>
      <sz val="14"/>
      <color indexed="10"/>
      <name val="Verdana"/>
      <family val="2"/>
    </font>
    <font>
      <b/>
      <sz val="8"/>
      <color indexed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color rgb="FF002060"/>
      <name val="Arial"/>
      <family val="2"/>
    </font>
    <font>
      <b/>
      <sz val="14"/>
      <color rgb="FFFF0000"/>
      <name val="Verdana"/>
      <family val="2"/>
    </font>
    <font>
      <b/>
      <sz val="8"/>
      <color rgb="FFFF0000"/>
      <name val="Verdana"/>
      <family val="2"/>
    </font>
    <font>
      <b/>
      <sz val="14"/>
      <color rgb="FFFF0000"/>
      <name val="Arial"/>
      <family val="2"/>
    </font>
    <font>
      <b/>
      <sz val="13"/>
      <color rgb="FFFF0000"/>
      <name val="Verdana"/>
      <family val="2"/>
    </font>
    <font>
      <b/>
      <sz val="8"/>
      <color theme="1"/>
      <name val="Verdana"/>
      <family val="2"/>
    </font>
    <font>
      <b/>
      <sz val="8"/>
      <color rgb="FFFF0000"/>
      <name val="Arial"/>
      <family val="2"/>
    </font>
    <font>
      <b/>
      <sz val="10"/>
      <color rgb="FF0000FF"/>
      <name val="Verdana"/>
      <family val="2"/>
    </font>
    <font>
      <b/>
      <sz val="8"/>
      <color rgb="FF0000FF"/>
      <name val="Verdana"/>
      <family val="2"/>
    </font>
    <font>
      <b/>
      <sz val="14"/>
      <color rgb="FF0000FF"/>
      <name val="Verdana"/>
      <family val="2"/>
    </font>
    <font>
      <b/>
      <sz val="8"/>
      <name val="Calibri"/>
      <family val="2"/>
    </font>
    <font>
      <sz val="8"/>
      <name val="Arial"/>
      <family val="2"/>
    </font>
    <font>
      <b/>
      <vertAlign val="superscript"/>
      <sz val="8"/>
      <color rgb="FF0000FF"/>
      <name val="Verdana"/>
      <family val="2"/>
    </font>
    <font>
      <b/>
      <sz val="8"/>
      <color rgb="FF0033CC"/>
      <name val="Verdana"/>
      <family val="2"/>
    </font>
    <font>
      <b/>
      <sz val="8"/>
      <color indexed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64"/>
      </top>
      <bottom/>
      <diagonal/>
    </border>
    <border>
      <left style="hair">
        <color indexed="12"/>
      </left>
      <right style="hair">
        <color indexed="12"/>
      </right>
      <top/>
      <bottom style="hair">
        <color indexed="64"/>
      </bottom>
      <diagonal/>
    </border>
    <border>
      <left/>
      <right style="hair">
        <color indexed="12"/>
      </right>
      <top style="hair">
        <color indexed="64"/>
      </top>
      <bottom/>
      <diagonal/>
    </border>
    <border>
      <left/>
      <right style="hair">
        <color indexed="12"/>
      </right>
      <top/>
      <bottom style="hair">
        <color indexed="64"/>
      </bottom>
      <diagonal/>
    </border>
    <border>
      <left/>
      <right/>
      <top style="hair">
        <color indexed="12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/>
      <diagonal/>
    </border>
    <border>
      <left style="hair">
        <color indexed="12"/>
      </left>
      <right/>
      <top/>
      <bottom style="hair">
        <color indexed="64"/>
      </bottom>
      <diagonal/>
    </border>
    <border>
      <left style="hair">
        <color indexed="48"/>
      </left>
      <right/>
      <top style="hair">
        <color indexed="64"/>
      </top>
      <bottom/>
      <diagonal/>
    </border>
    <border>
      <left style="hair">
        <color indexed="48"/>
      </left>
      <right/>
      <top/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 style="hair">
        <color indexed="64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48"/>
      </left>
      <right style="hair">
        <color indexed="48"/>
      </right>
      <top style="hair">
        <color indexed="64"/>
      </top>
      <bottom/>
      <diagonal/>
    </border>
    <border>
      <left style="hair">
        <color indexed="48"/>
      </left>
      <right style="hair">
        <color indexed="48"/>
      </right>
      <top/>
      <bottom style="hair">
        <color indexed="64"/>
      </bottom>
      <diagonal/>
    </border>
    <border>
      <left style="hair">
        <color indexed="48"/>
      </left>
      <right style="hair">
        <color indexed="48"/>
      </right>
      <top style="hair">
        <color indexed="64"/>
      </top>
      <bottom style="hair">
        <color indexed="64"/>
      </bottom>
      <diagonal/>
    </border>
    <border>
      <left/>
      <right style="hair">
        <color indexed="48"/>
      </right>
      <top style="hair">
        <color indexed="64"/>
      </top>
      <bottom/>
      <diagonal/>
    </border>
    <border>
      <left/>
      <right style="hair">
        <color indexed="48"/>
      </right>
      <top/>
      <bottom style="hair">
        <color indexed="64"/>
      </bottom>
      <diagonal/>
    </border>
    <border>
      <left style="hair">
        <color indexed="12"/>
      </left>
      <right style="hair">
        <color indexed="48"/>
      </right>
      <top style="hair">
        <color indexed="64"/>
      </top>
      <bottom/>
      <diagonal/>
    </border>
    <border>
      <left style="hair">
        <color indexed="12"/>
      </left>
      <right style="hair">
        <color indexed="48"/>
      </right>
      <top/>
      <bottom style="hair">
        <color indexed="64"/>
      </bottom>
      <diagonal/>
    </border>
    <border>
      <left style="hair">
        <color indexed="48"/>
      </left>
      <right style="hair">
        <color indexed="12"/>
      </right>
      <top style="hair">
        <color indexed="64"/>
      </top>
      <bottom/>
      <diagonal/>
    </border>
    <border>
      <left style="hair">
        <color indexed="48"/>
      </left>
      <right style="hair">
        <color indexed="12"/>
      </right>
      <top/>
      <bottom style="hair">
        <color indexed="64"/>
      </bottom>
      <diagonal/>
    </border>
    <border>
      <left style="hair">
        <color indexed="12"/>
      </left>
      <right style="hair">
        <color indexed="1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12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indexed="12"/>
      </right>
      <top style="hair">
        <color auto="1"/>
      </top>
      <bottom/>
      <diagonal/>
    </border>
    <border>
      <left style="hair">
        <color indexed="48"/>
      </left>
      <right/>
      <top style="hair">
        <color auto="1"/>
      </top>
      <bottom/>
      <diagonal/>
    </border>
    <border>
      <left style="hair">
        <color indexed="12"/>
      </left>
      <right style="hair">
        <color indexed="12"/>
      </right>
      <top style="hair">
        <color indexed="64"/>
      </top>
      <bottom/>
      <diagonal/>
    </border>
    <border>
      <left style="hair">
        <color indexed="48"/>
      </left>
      <right style="hair">
        <color indexed="48"/>
      </right>
      <top/>
      <bottom/>
      <diagonal/>
    </border>
    <border>
      <left style="hair">
        <color indexed="48"/>
      </left>
      <right style="hair">
        <color indexed="12"/>
      </right>
      <top/>
      <bottom/>
      <diagonal/>
    </border>
  </borders>
  <cellStyleXfs count="1">
    <xf numFmtId="0" fontId="0" fillId="0" borderId="0"/>
  </cellStyleXfs>
  <cellXfs count="488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2" fillId="2" borderId="6" xfId="0" applyFont="1" applyFill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0" fontId="2" fillId="2" borderId="7" xfId="0" applyFont="1" applyFill="1" applyBorder="1" applyAlignment="1">
      <alignment horizontal="justify" vertical="center"/>
    </xf>
    <xf numFmtId="0" fontId="4" fillId="2" borderId="2" xfId="0" applyFont="1" applyFill="1" applyBorder="1" applyAlignment="1">
      <alignment horizontal="justify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4" fillId="0" borderId="9" xfId="0" applyFont="1" applyBorder="1" applyAlignment="1">
      <alignment horizontal="justify" vertical="center"/>
    </xf>
    <xf numFmtId="0" fontId="4" fillId="0" borderId="10" xfId="0" applyFont="1" applyBorder="1" applyAlignment="1">
      <alignment horizontal="justify" vertical="center"/>
    </xf>
    <xf numFmtId="0" fontId="4" fillId="0" borderId="11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justify" vertical="center"/>
    </xf>
    <xf numFmtId="0" fontId="18" fillId="0" borderId="3" xfId="0" applyFont="1" applyBorder="1" applyAlignment="1">
      <alignment horizontal="justify" vertical="center"/>
    </xf>
    <xf numFmtId="0" fontId="19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justify" vertical="center"/>
    </xf>
    <xf numFmtId="0" fontId="19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justify" vertical="center"/>
    </xf>
    <xf numFmtId="0" fontId="19" fillId="0" borderId="3" xfId="0" applyFont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18" fillId="0" borderId="4" xfId="0" applyFont="1" applyBorder="1" applyAlignment="1">
      <alignment horizontal="justify" vertical="center"/>
    </xf>
    <xf numFmtId="0" fontId="18" fillId="0" borderId="5" xfId="0" applyFont="1" applyBorder="1" applyAlignment="1">
      <alignment horizontal="justify" vertical="center"/>
    </xf>
    <xf numFmtId="0" fontId="18" fillId="2" borderId="6" xfId="0" applyFont="1" applyFill="1" applyBorder="1" applyAlignment="1">
      <alignment horizontal="justify" vertical="center"/>
    </xf>
    <xf numFmtId="0" fontId="18" fillId="2" borderId="7" xfId="0" applyFont="1" applyFill="1" applyBorder="1" applyAlignment="1">
      <alignment horizontal="justify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justify" vertical="center"/>
    </xf>
    <xf numFmtId="0" fontId="17" fillId="2" borderId="3" xfId="0" applyFont="1" applyFill="1" applyBorder="1" applyAlignment="1">
      <alignment horizontal="justify" vertical="center"/>
    </xf>
    <xf numFmtId="0" fontId="20" fillId="0" borderId="18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indent="3"/>
    </xf>
    <xf numFmtId="0" fontId="20" fillId="2" borderId="3" xfId="0" applyFont="1" applyFill="1" applyBorder="1" applyAlignment="1">
      <alignment horizontal="left" vertical="center" indent="3"/>
    </xf>
    <xf numFmtId="0" fontId="30" fillId="5" borderId="2" xfId="0" applyFont="1" applyFill="1" applyBorder="1" applyAlignment="1">
      <alignment horizontal="justify" vertical="center"/>
    </xf>
    <xf numFmtId="0" fontId="30" fillId="5" borderId="3" xfId="0" applyFont="1" applyFill="1" applyBorder="1" applyAlignment="1">
      <alignment horizontal="justify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0" fontId="31" fillId="2" borderId="3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164" fontId="18" fillId="0" borderId="2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2" fontId="0" fillId="0" borderId="0" xfId="0" applyNumberFormat="1"/>
    <xf numFmtId="2" fontId="2" fillId="0" borderId="0" xfId="0" applyNumberFormat="1" applyFont="1" applyAlignment="1">
      <alignment vertical="center"/>
    </xf>
    <xf numFmtId="2" fontId="14" fillId="0" borderId="0" xfId="0" applyNumberFormat="1" applyFont="1"/>
    <xf numFmtId="2" fontId="18" fillId="0" borderId="0" xfId="0" applyNumberFormat="1" applyFont="1" applyAlignment="1">
      <alignment vertical="center"/>
    </xf>
    <xf numFmtId="2" fontId="18" fillId="4" borderId="0" xfId="0" applyNumberFormat="1" applyFont="1" applyFill="1" applyAlignment="1">
      <alignment vertical="center"/>
    </xf>
    <xf numFmtId="0" fontId="32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18" fillId="0" borderId="33" xfId="0" applyFont="1" applyBorder="1" applyAlignment="1">
      <alignment horizontal="justify" vertical="center"/>
    </xf>
    <xf numFmtId="0" fontId="1" fillId="0" borderId="0" xfId="0" applyFont="1"/>
    <xf numFmtId="0" fontId="14" fillId="0" borderId="0" xfId="0" applyFont="1" applyAlignment="1">
      <alignment horizontal="center"/>
    </xf>
    <xf numFmtId="166" fontId="2" fillId="0" borderId="0" xfId="0" applyNumberFormat="1" applyFont="1" applyAlignment="1">
      <alignment vertical="center"/>
    </xf>
    <xf numFmtId="166" fontId="31" fillId="2" borderId="2" xfId="0" applyNumberFormat="1" applyFont="1" applyFill="1" applyBorder="1" applyAlignment="1">
      <alignment vertical="center"/>
    </xf>
    <xf numFmtId="166" fontId="31" fillId="2" borderId="3" xfId="0" applyNumberFormat="1" applyFont="1" applyFill="1" applyBorder="1" applyAlignment="1">
      <alignment vertical="center"/>
    </xf>
    <xf numFmtId="166" fontId="17" fillId="2" borderId="2" xfId="0" applyNumberFormat="1" applyFont="1" applyFill="1" applyBorder="1" applyAlignment="1">
      <alignment horizontal="justify" vertical="center"/>
    </xf>
    <xf numFmtId="166" fontId="17" fillId="2" borderId="3" xfId="0" applyNumberFormat="1" applyFont="1" applyFill="1" applyBorder="1" applyAlignment="1">
      <alignment horizontal="justify" vertical="center"/>
    </xf>
    <xf numFmtId="166" fontId="18" fillId="0" borderId="2" xfId="0" applyNumberFormat="1" applyFont="1" applyBorder="1" applyAlignment="1">
      <alignment horizontal="justify" vertical="center"/>
    </xf>
    <xf numFmtId="166" fontId="18" fillId="0" borderId="3" xfId="0" applyNumberFormat="1" applyFont="1" applyBorder="1" applyAlignment="1">
      <alignment horizontal="justify" vertical="center"/>
    </xf>
    <xf numFmtId="166" fontId="26" fillId="2" borderId="2" xfId="0" applyNumberFormat="1" applyFont="1" applyFill="1" applyBorder="1" applyAlignment="1">
      <alignment vertical="center"/>
    </xf>
    <xf numFmtId="166" fontId="26" fillId="2" borderId="3" xfId="0" applyNumberFormat="1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horizontal="left" vertical="center" indent="3"/>
    </xf>
    <xf numFmtId="166" fontId="20" fillId="2" borderId="3" xfId="0" applyNumberFormat="1" applyFont="1" applyFill="1" applyBorder="1" applyAlignment="1">
      <alignment horizontal="left" vertical="center" indent="3"/>
    </xf>
    <xf numFmtId="166" fontId="17" fillId="0" borderId="2" xfId="0" applyNumberFormat="1" applyFont="1" applyBorder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166" fontId="37" fillId="0" borderId="0" xfId="0" applyNumberFormat="1" applyFont="1" applyAlignment="1">
      <alignment vertical="center"/>
    </xf>
    <xf numFmtId="166" fontId="39" fillId="2" borderId="2" xfId="0" applyNumberFormat="1" applyFont="1" applyFill="1" applyBorder="1" applyAlignment="1">
      <alignment vertical="center"/>
    </xf>
    <xf numFmtId="166" fontId="39" fillId="2" borderId="3" xfId="0" applyNumberFormat="1" applyFont="1" applyFill="1" applyBorder="1" applyAlignment="1">
      <alignment vertical="center"/>
    </xf>
    <xf numFmtId="166" fontId="38" fillId="2" borderId="2" xfId="0" applyNumberFormat="1" applyFont="1" applyFill="1" applyBorder="1" applyAlignment="1">
      <alignment horizontal="justify" vertical="center"/>
    </xf>
    <xf numFmtId="166" fontId="38" fillId="2" borderId="3" xfId="0" applyNumberFormat="1" applyFont="1" applyFill="1" applyBorder="1" applyAlignment="1">
      <alignment horizontal="justify" vertical="center"/>
    </xf>
    <xf numFmtId="166" fontId="38" fillId="0" borderId="2" xfId="0" applyNumberFormat="1" applyFont="1" applyBorder="1" applyAlignment="1">
      <alignment horizontal="justify" vertical="center"/>
    </xf>
    <xf numFmtId="166" fontId="38" fillId="0" borderId="3" xfId="0" applyNumberFormat="1" applyFont="1" applyBorder="1" applyAlignment="1">
      <alignment horizontal="justify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17" fontId="17" fillId="0" borderId="19" xfId="0" quotePrefix="1" applyNumberFormat="1" applyFont="1" applyBorder="1" applyAlignment="1">
      <alignment vertical="center"/>
    </xf>
    <xf numFmtId="0" fontId="28" fillId="0" borderId="0" xfId="0" quotePrefix="1" applyFont="1" applyAlignment="1">
      <alignment horizontal="center"/>
    </xf>
    <xf numFmtId="0" fontId="32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justify" vertical="center"/>
    </xf>
    <xf numFmtId="0" fontId="18" fillId="5" borderId="5" xfId="0" applyFont="1" applyFill="1" applyBorder="1" applyAlignment="1">
      <alignment horizontal="justify" vertical="center"/>
    </xf>
    <xf numFmtId="0" fontId="14" fillId="5" borderId="0" xfId="0" applyFont="1" applyFill="1"/>
    <xf numFmtId="2" fontId="14" fillId="5" borderId="0" xfId="0" applyNumberFormat="1" applyFont="1" applyFill="1"/>
    <xf numFmtId="2" fontId="18" fillId="5" borderId="0" xfId="0" applyNumberFormat="1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4" fillId="0" borderId="38" xfId="0" applyFont="1" applyBorder="1"/>
    <xf numFmtId="0" fontId="18" fillId="0" borderId="18" xfId="0" applyFont="1" applyBorder="1" applyAlignment="1">
      <alignment horizontal="justify" vertical="center"/>
    </xf>
    <xf numFmtId="166" fontId="38" fillId="0" borderId="37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justify" vertical="center"/>
    </xf>
    <xf numFmtId="0" fontId="11" fillId="0" borderId="3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justify" vertical="center"/>
    </xf>
    <xf numFmtId="3" fontId="7" fillId="0" borderId="2" xfId="0" quotePrefix="1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7" fillId="0" borderId="2" xfId="0" quotePrefix="1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justify" vertical="center"/>
    </xf>
    <xf numFmtId="0" fontId="19" fillId="0" borderId="6" xfId="0" applyFont="1" applyBorder="1" applyAlignment="1">
      <alignment horizontal="justify" vertical="center"/>
    </xf>
    <xf numFmtId="0" fontId="19" fillId="0" borderId="3" xfId="0" applyFont="1" applyBorder="1" applyAlignment="1">
      <alignment horizontal="justify" vertical="center"/>
    </xf>
    <xf numFmtId="0" fontId="19" fillId="0" borderId="7" xfId="0" applyFont="1" applyBorder="1" applyAlignment="1">
      <alignment horizontal="justify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7" fillId="0" borderId="21" xfId="0" quotePrefix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64" fontId="18" fillId="0" borderId="3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7" fontId="17" fillId="0" borderId="19" xfId="0" quotePrefix="1" applyNumberFormat="1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justify" vertical="center"/>
    </xf>
    <xf numFmtId="0" fontId="19" fillId="5" borderId="6" xfId="0" applyFont="1" applyFill="1" applyBorder="1" applyAlignment="1">
      <alignment horizontal="justify" vertical="center"/>
    </xf>
    <xf numFmtId="0" fontId="19" fillId="5" borderId="3" xfId="0" applyFont="1" applyFill="1" applyBorder="1" applyAlignment="1">
      <alignment horizontal="justify" vertical="center"/>
    </xf>
    <xf numFmtId="0" fontId="19" fillId="5" borderId="7" xfId="0" applyFont="1" applyFill="1" applyBorder="1" applyAlignment="1">
      <alignment horizontal="justify" vertical="center"/>
    </xf>
    <xf numFmtId="0" fontId="32" fillId="5" borderId="2" xfId="0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justify" vertical="center"/>
    </xf>
    <xf numFmtId="0" fontId="20" fillId="0" borderId="6" xfId="0" applyFont="1" applyBorder="1" applyAlignment="1">
      <alignment horizontal="justify" vertical="center"/>
    </xf>
    <xf numFmtId="0" fontId="20" fillId="0" borderId="3" xfId="0" applyFont="1" applyBorder="1" applyAlignment="1">
      <alignment horizontal="justify" vertical="center"/>
    </xf>
    <xf numFmtId="0" fontId="20" fillId="0" borderId="7" xfId="0" applyFont="1" applyBorder="1" applyAlignment="1">
      <alignment horizontal="justify" vertical="center"/>
    </xf>
    <xf numFmtId="0" fontId="19" fillId="0" borderId="2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4" fillId="0" borderId="20" xfId="0" applyFont="1" applyBorder="1"/>
    <xf numFmtId="0" fontId="14" fillId="0" borderId="2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7" xfId="0" applyFont="1" applyBorder="1"/>
    <xf numFmtId="0" fontId="19" fillId="5" borderId="21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3" xfId="0" applyFont="1" applyBorder="1" applyAlignment="1">
      <alignment horizontal="justify" vertical="center"/>
    </xf>
    <xf numFmtId="0" fontId="19" fillId="0" borderId="34" xfId="0" applyFont="1" applyBorder="1" applyAlignment="1">
      <alignment horizontal="justify" vertical="center"/>
    </xf>
    <xf numFmtId="0" fontId="20" fillId="5" borderId="19" xfId="0" applyFont="1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19" fillId="5" borderId="33" xfId="0" applyFont="1" applyFill="1" applyBorder="1" applyAlignment="1">
      <alignment horizontal="justify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6" xfId="0" quotePrefix="1" applyFont="1" applyBorder="1" applyAlignment="1">
      <alignment horizontal="center" vertical="center"/>
    </xf>
    <xf numFmtId="0" fontId="17" fillId="0" borderId="27" xfId="0" quotePrefix="1" applyFont="1" applyBorder="1" applyAlignment="1">
      <alignment horizontal="center" vertical="center"/>
    </xf>
    <xf numFmtId="0" fontId="17" fillId="0" borderId="19" xfId="0" quotePrefix="1" applyFont="1" applyBorder="1" applyAlignment="1">
      <alignment horizontal="center" vertical="center"/>
    </xf>
    <xf numFmtId="0" fontId="17" fillId="0" borderId="20" xfId="0" quotePrefix="1" applyFont="1" applyBorder="1" applyAlignment="1">
      <alignment horizontal="center" vertical="center"/>
    </xf>
    <xf numFmtId="0" fontId="32" fillId="2" borderId="33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justify" vertical="center"/>
    </xf>
    <xf numFmtId="0" fontId="23" fillId="0" borderId="6" xfId="0" applyFont="1" applyBorder="1" applyAlignment="1">
      <alignment horizontal="justify" vertical="center"/>
    </xf>
    <xf numFmtId="0" fontId="23" fillId="0" borderId="3" xfId="0" applyFont="1" applyBorder="1" applyAlignment="1">
      <alignment horizontal="justify" vertical="center"/>
    </xf>
    <xf numFmtId="0" fontId="23" fillId="0" borderId="7" xfId="0" applyFont="1" applyBorder="1" applyAlignment="1">
      <alignment horizontal="justify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17" fillId="5" borderId="19" xfId="0" quotePrefix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8" fillId="5" borderId="33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164" fontId="18" fillId="0" borderId="16" xfId="0" applyNumberFormat="1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8" fillId="0" borderId="19" xfId="0" quotePrefix="1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6" fillId="0" borderId="0" xfId="0" applyFont="1" applyAlignment="1">
      <alignment horizontal="justify" vertical="center"/>
    </xf>
    <xf numFmtId="0" fontId="17" fillId="5" borderId="21" xfId="0" quotePrefix="1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17" fontId="17" fillId="0" borderId="21" xfId="0" quotePrefix="1" applyNumberFormat="1" applyFont="1" applyBorder="1" applyAlignment="1">
      <alignment horizontal="center" vertical="center"/>
    </xf>
    <xf numFmtId="166" fontId="38" fillId="0" borderId="21" xfId="0" quotePrefix="1" applyNumberFormat="1" applyFont="1" applyBorder="1" applyAlignment="1">
      <alignment horizontal="center" vertical="center"/>
    </xf>
    <xf numFmtId="166" fontId="38" fillId="0" borderId="21" xfId="0" applyNumberFormat="1" applyFont="1" applyBorder="1" applyAlignment="1">
      <alignment horizontal="center" vertical="center"/>
    </xf>
    <xf numFmtId="166" fontId="38" fillId="0" borderId="19" xfId="0" quotePrefix="1" applyNumberFormat="1" applyFont="1" applyBorder="1" applyAlignment="1">
      <alignment horizontal="center" vertical="center"/>
    </xf>
    <xf numFmtId="166" fontId="38" fillId="0" borderId="20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166" fontId="38" fillId="0" borderId="26" xfId="0" quotePrefix="1" applyNumberFormat="1" applyFont="1" applyBorder="1" applyAlignment="1">
      <alignment horizontal="center" vertical="center"/>
    </xf>
    <xf numFmtId="166" fontId="38" fillId="0" borderId="27" xfId="0" quotePrefix="1" applyNumberFormat="1" applyFont="1" applyBorder="1" applyAlignment="1">
      <alignment horizontal="center" vertical="center"/>
    </xf>
    <xf numFmtId="166" fontId="38" fillId="0" borderId="19" xfId="0" applyNumberFormat="1" applyFont="1" applyBorder="1" applyAlignment="1">
      <alignment horizontal="center" vertical="center"/>
    </xf>
    <xf numFmtId="166" fontId="38" fillId="0" borderId="2" xfId="0" applyNumberFormat="1" applyFont="1" applyBorder="1" applyAlignment="1">
      <alignment horizontal="center" vertical="center"/>
    </xf>
    <xf numFmtId="166" fontId="38" fillId="0" borderId="3" xfId="0" applyNumberFormat="1" applyFont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19" fillId="5" borderId="2" xfId="0" applyFont="1" applyFill="1" applyBorder="1" applyAlignment="1">
      <alignment horizontal="left" vertical="center"/>
    </xf>
    <xf numFmtId="0" fontId="19" fillId="5" borderId="6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0" fontId="19" fillId="5" borderId="7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166" fontId="38" fillId="2" borderId="21" xfId="0" quotePrefix="1" applyNumberFormat="1" applyFont="1" applyFill="1" applyBorder="1" applyAlignment="1">
      <alignment horizontal="center" vertical="center"/>
    </xf>
    <xf numFmtId="166" fontId="38" fillId="2" borderId="21" xfId="0" applyNumberFormat="1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14" fillId="5" borderId="2" xfId="0" applyFont="1" applyFill="1" applyBorder="1"/>
    <xf numFmtId="0" fontId="14" fillId="5" borderId="6" xfId="0" applyFont="1" applyFill="1" applyBorder="1"/>
    <xf numFmtId="0" fontId="14" fillId="5" borderId="3" xfId="0" applyFont="1" applyFill="1" applyBorder="1"/>
    <xf numFmtId="0" fontId="14" fillId="5" borderId="7" xfId="0" applyFont="1" applyFill="1" applyBorder="1"/>
    <xf numFmtId="166" fontId="38" fillId="0" borderId="4" xfId="0" quotePrefix="1" applyNumberFormat="1" applyFont="1" applyBorder="1" applyAlignment="1">
      <alignment horizontal="center" vertical="center"/>
    </xf>
    <xf numFmtId="166" fontId="38" fillId="0" borderId="5" xfId="0" quotePrefix="1" applyNumberFormat="1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center"/>
    </xf>
    <xf numFmtId="0" fontId="38" fillId="0" borderId="26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2" fontId="4" fillId="0" borderId="33" xfId="0" applyNumberFormat="1" applyFont="1" applyBorder="1" applyAlignment="1">
      <alignment horizontal="center" vertical="center"/>
    </xf>
    <xf numFmtId="0" fontId="31" fillId="2" borderId="33" xfId="0" applyFont="1" applyFill="1" applyBorder="1" applyAlignment="1">
      <alignment horizontal="center" vertical="center"/>
    </xf>
    <xf numFmtId="0" fontId="32" fillId="0" borderId="19" xfId="0" quotePrefix="1" applyFont="1" applyBorder="1" applyAlignment="1">
      <alignment horizontal="center" vertical="center"/>
    </xf>
    <xf numFmtId="0" fontId="32" fillId="0" borderId="20" xfId="0" quotePrefix="1" applyFont="1" applyBorder="1" applyAlignment="1">
      <alignment horizontal="center" vertical="center"/>
    </xf>
    <xf numFmtId="0" fontId="19" fillId="5" borderId="33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center" vertical="center"/>
    </xf>
    <xf numFmtId="0" fontId="17" fillId="0" borderId="25" xfId="0" quotePrefix="1" applyFont="1" applyBorder="1" applyAlignment="1">
      <alignment horizontal="center" vertical="center"/>
    </xf>
    <xf numFmtId="17" fontId="17" fillId="0" borderId="26" xfId="0" quotePrefix="1" applyNumberFormat="1" applyFont="1" applyBorder="1" applyAlignment="1">
      <alignment horizontal="center" vertical="center"/>
    </xf>
    <xf numFmtId="17" fontId="17" fillId="0" borderId="27" xfId="0" quotePrefix="1" applyNumberFormat="1" applyFont="1" applyBorder="1" applyAlignment="1">
      <alignment horizontal="center" vertical="center"/>
    </xf>
    <xf numFmtId="17" fontId="17" fillId="0" borderId="4" xfId="0" quotePrefix="1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14" fillId="5" borderId="27" xfId="0" applyFont="1" applyFill="1" applyBorder="1"/>
    <xf numFmtId="166" fontId="38" fillId="5" borderId="19" xfId="0" quotePrefix="1" applyNumberFormat="1" applyFont="1" applyFill="1" applyBorder="1" applyAlignment="1">
      <alignment horizontal="center" vertical="center"/>
    </xf>
    <xf numFmtId="166" fontId="38" fillId="5" borderId="20" xfId="0" applyNumberFormat="1" applyFont="1" applyFill="1" applyBorder="1" applyAlignment="1">
      <alignment horizontal="center" vertical="center"/>
    </xf>
    <xf numFmtId="0" fontId="14" fillId="0" borderId="27" xfId="0" applyFont="1" applyBorder="1"/>
    <xf numFmtId="166" fontId="38" fillId="0" borderId="5" xfId="0" applyNumberFormat="1" applyFont="1" applyBorder="1"/>
    <xf numFmtId="166" fontId="38" fillId="5" borderId="21" xfId="0" quotePrefix="1" applyNumberFormat="1" applyFont="1" applyFill="1" applyBorder="1" applyAlignment="1">
      <alignment horizontal="center" vertical="center"/>
    </xf>
    <xf numFmtId="166" fontId="38" fillId="5" borderId="21" xfId="0" applyNumberFormat="1" applyFont="1" applyFill="1" applyBorder="1" applyAlignment="1">
      <alignment horizontal="center" vertical="center"/>
    </xf>
    <xf numFmtId="17" fontId="38" fillId="0" borderId="4" xfId="0" quotePrefix="1" applyNumberFormat="1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166" fontId="38" fillId="0" borderId="26" xfId="0" applyNumberFormat="1" applyFont="1" applyBorder="1" applyAlignment="1">
      <alignment horizontal="center" vertical="center"/>
    </xf>
    <xf numFmtId="166" fontId="38" fillId="0" borderId="27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66" fontId="17" fillId="0" borderId="19" xfId="0" quotePrefix="1" applyNumberFormat="1" applyFont="1" applyBorder="1" applyAlignment="1">
      <alignment horizontal="center" vertical="center"/>
    </xf>
    <xf numFmtId="166" fontId="17" fillId="0" borderId="2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4" fillId="0" borderId="5" xfId="0" applyFont="1" applyBorder="1"/>
    <xf numFmtId="166" fontId="17" fillId="0" borderId="26" xfId="0" quotePrefix="1" applyNumberFormat="1" applyFont="1" applyBorder="1" applyAlignment="1">
      <alignment horizontal="center" vertical="center"/>
    </xf>
    <xf numFmtId="166" fontId="17" fillId="0" borderId="27" xfId="0" quotePrefix="1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17" fontId="17" fillId="0" borderId="5" xfId="0" quotePrefix="1" applyNumberFormat="1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" fontId="38" fillId="0" borderId="5" xfId="0" quotePrefix="1" applyNumberFormat="1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2" xfId="0" quotePrefix="1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34" fillId="0" borderId="3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2" fontId="2" fillId="0" borderId="13" xfId="0" quotePrefix="1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justify" vertical="center"/>
    </xf>
    <xf numFmtId="0" fontId="20" fillId="0" borderId="3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7" fontId="17" fillId="5" borderId="4" xfId="0" quotePrefix="1" applyNumberFormat="1" applyFont="1" applyFill="1" applyBorder="1" applyAlignment="1">
      <alignment horizontal="center" vertical="center"/>
    </xf>
    <xf numFmtId="17" fontId="17" fillId="5" borderId="5" xfId="0" quotePrefix="1" applyNumberFormat="1" applyFont="1" applyFill="1" applyBorder="1" applyAlignment="1">
      <alignment horizontal="center" vertical="center"/>
    </xf>
    <xf numFmtId="0" fontId="17" fillId="0" borderId="28" xfId="0" quotePrefix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justify" vertical="center"/>
    </xf>
    <xf numFmtId="0" fontId="4" fillId="0" borderId="7" xfId="0" applyFont="1" applyBorder="1" applyAlignment="1">
      <alignment horizontal="justify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" fontId="8" fillId="0" borderId="4" xfId="0" quotePrefix="1" applyNumberFormat="1" applyFont="1" applyBorder="1" applyAlignment="1">
      <alignment horizontal="center" vertical="center"/>
    </xf>
    <xf numFmtId="0" fontId="19" fillId="0" borderId="33" xfId="0" quotePrefix="1" applyFont="1" applyBorder="1" applyAlignment="1">
      <alignment horizontal="justify" vertical="center"/>
    </xf>
    <xf numFmtId="0" fontId="19" fillId="0" borderId="6" xfId="0" quotePrefix="1" applyFont="1" applyBorder="1" applyAlignment="1">
      <alignment horizontal="justify" vertical="center"/>
    </xf>
    <xf numFmtId="0" fontId="19" fillId="0" borderId="3" xfId="0" quotePrefix="1" applyFont="1" applyBorder="1" applyAlignment="1">
      <alignment horizontal="justify" vertical="center"/>
    </xf>
    <xf numFmtId="0" fontId="19" fillId="0" borderId="7" xfId="0" quotePrefix="1" applyFont="1" applyBorder="1" applyAlignment="1">
      <alignment horizontal="justify" vertical="center"/>
    </xf>
    <xf numFmtId="0" fontId="17" fillId="5" borderId="26" xfId="0" quotePrefix="1" applyFont="1" applyFill="1" applyBorder="1" applyAlignment="1">
      <alignment horizontal="center" vertical="center"/>
    </xf>
    <xf numFmtId="0" fontId="17" fillId="5" borderId="27" xfId="0" quotePrefix="1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164" fontId="18" fillId="5" borderId="13" xfId="0" applyNumberFormat="1" applyFont="1" applyFill="1" applyBorder="1" applyAlignment="1">
      <alignment horizontal="center" vertical="center"/>
    </xf>
    <xf numFmtId="164" fontId="18" fillId="5" borderId="14" xfId="0" applyNumberFormat="1" applyFont="1" applyFill="1" applyBorder="1" applyAlignment="1">
      <alignment horizontal="center" vertical="center"/>
    </xf>
    <xf numFmtId="0" fontId="20" fillId="0" borderId="26" xfId="0" quotePrefix="1" applyFont="1" applyBorder="1" applyAlignment="1">
      <alignment horizontal="justify" vertical="center"/>
    </xf>
    <xf numFmtId="0" fontId="20" fillId="0" borderId="27" xfId="0" quotePrefix="1" applyFont="1" applyBorder="1" applyAlignment="1">
      <alignment horizontal="justify" vertical="center"/>
    </xf>
    <xf numFmtId="0" fontId="20" fillId="0" borderId="4" xfId="0" quotePrefix="1" applyFont="1" applyBorder="1" applyAlignment="1">
      <alignment horizontal="justify" vertical="center"/>
    </xf>
    <xf numFmtId="0" fontId="20" fillId="0" borderId="5" xfId="0" quotePrefix="1" applyFont="1" applyBorder="1" applyAlignment="1">
      <alignment horizontal="justify" vertical="center"/>
    </xf>
    <xf numFmtId="0" fontId="19" fillId="0" borderId="22" xfId="0" quotePrefix="1" applyFont="1" applyBorder="1" applyAlignment="1">
      <alignment horizontal="justify" vertical="center"/>
    </xf>
    <xf numFmtId="0" fontId="19" fillId="0" borderId="23" xfId="0" quotePrefix="1" applyFont="1" applyBorder="1" applyAlignment="1">
      <alignment horizontal="justify" vertical="center"/>
    </xf>
    <xf numFmtId="0" fontId="19" fillId="5" borderId="33" xfId="0" quotePrefix="1" applyFont="1" applyFill="1" applyBorder="1" applyAlignment="1">
      <alignment horizontal="justify" vertical="center"/>
    </xf>
    <xf numFmtId="0" fontId="19" fillId="5" borderId="6" xfId="0" quotePrefix="1" applyFont="1" applyFill="1" applyBorder="1" applyAlignment="1">
      <alignment horizontal="justify" vertical="center"/>
    </xf>
    <xf numFmtId="0" fontId="19" fillId="5" borderId="3" xfId="0" quotePrefix="1" applyFont="1" applyFill="1" applyBorder="1" applyAlignment="1">
      <alignment horizontal="justify" vertical="center"/>
    </xf>
    <xf numFmtId="0" fontId="19" fillId="5" borderId="7" xfId="0" quotePrefix="1" applyFont="1" applyFill="1" applyBorder="1" applyAlignment="1">
      <alignment horizontal="justify" vertical="center"/>
    </xf>
    <xf numFmtId="0" fontId="38" fillId="0" borderId="26" xfId="0" quotePrefix="1" applyFont="1" applyBorder="1" applyAlignment="1">
      <alignment horizontal="center" vertical="center"/>
    </xf>
    <xf numFmtId="0" fontId="38" fillId="0" borderId="27" xfId="0" quotePrefix="1" applyFont="1" applyBorder="1" applyAlignment="1">
      <alignment horizontal="center" vertical="center"/>
    </xf>
    <xf numFmtId="0" fontId="19" fillId="0" borderId="34" xfId="0" quotePrefix="1" applyFont="1" applyBorder="1" applyAlignment="1">
      <alignment horizontal="justify" vertical="center"/>
    </xf>
    <xf numFmtId="0" fontId="19" fillId="0" borderId="2" xfId="0" quotePrefix="1" applyFont="1" applyBorder="1" applyAlignment="1">
      <alignment horizontal="justify" vertical="center"/>
    </xf>
    <xf numFmtId="0" fontId="17" fillId="0" borderId="29" xfId="0" quotePrefix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9" xfId="0" applyFont="1" applyBorder="1" applyAlignment="1">
      <alignment horizontal="justify" vertical="distributed"/>
    </xf>
    <xf numFmtId="0" fontId="19" fillId="0" borderId="10" xfId="0" applyFont="1" applyBorder="1" applyAlignment="1">
      <alignment horizontal="justify" vertical="distributed"/>
    </xf>
    <xf numFmtId="0" fontId="19" fillId="0" borderId="11" xfId="0" applyFont="1" applyBorder="1" applyAlignment="1">
      <alignment horizontal="justify" vertical="distributed"/>
    </xf>
    <xf numFmtId="0" fontId="19" fillId="0" borderId="12" xfId="0" applyFont="1" applyBorder="1" applyAlignment="1">
      <alignment horizontal="justify" vertical="distributed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9" xfId="0" applyFont="1" applyBorder="1" applyAlignment="1">
      <alignment horizontal="justify" vertical="center"/>
    </xf>
    <xf numFmtId="0" fontId="19" fillId="0" borderId="10" xfId="0" applyFont="1" applyBorder="1" applyAlignment="1">
      <alignment horizontal="justify" vertical="center"/>
    </xf>
    <xf numFmtId="0" fontId="19" fillId="0" borderId="11" xfId="0" applyFont="1" applyBorder="1" applyAlignment="1">
      <alignment horizontal="justify" vertical="center"/>
    </xf>
    <xf numFmtId="0" fontId="19" fillId="0" borderId="12" xfId="0" applyFont="1" applyBorder="1" applyAlignment="1">
      <alignment horizontal="justify" vertical="center"/>
    </xf>
    <xf numFmtId="0" fontId="31" fillId="0" borderId="2" xfId="0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center" vertical="center"/>
    </xf>
    <xf numFmtId="0" fontId="19" fillId="0" borderId="9" xfId="0" quotePrefix="1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11" xfId="0" quotePrefix="1" applyFont="1" applyBorder="1" applyAlignment="1">
      <alignment horizontal="left" vertical="center"/>
    </xf>
    <xf numFmtId="0" fontId="23" fillId="0" borderId="9" xfId="0" applyFont="1" applyBorder="1" applyAlignment="1">
      <alignment horizontal="justify" vertical="center"/>
    </xf>
    <xf numFmtId="0" fontId="23" fillId="0" borderId="10" xfId="0" applyFont="1" applyBorder="1" applyAlignment="1">
      <alignment horizontal="justify" vertical="center"/>
    </xf>
    <xf numFmtId="0" fontId="23" fillId="0" borderId="11" xfId="0" applyFont="1" applyBorder="1" applyAlignment="1">
      <alignment horizontal="justify" vertical="center"/>
    </xf>
    <xf numFmtId="0" fontId="23" fillId="0" borderId="12" xfId="0" applyFont="1" applyBorder="1" applyAlignment="1">
      <alignment horizontal="justify" vertical="center"/>
    </xf>
    <xf numFmtId="0" fontId="19" fillId="0" borderId="10" xfId="0" quotePrefix="1" applyFont="1" applyBorder="1" applyAlignment="1">
      <alignment horizontal="justify" vertical="center"/>
    </xf>
    <xf numFmtId="0" fontId="19" fillId="0" borderId="11" xfId="0" quotePrefix="1" applyFont="1" applyBorder="1" applyAlignment="1">
      <alignment horizontal="justify" vertical="center"/>
    </xf>
    <xf numFmtId="0" fontId="19" fillId="0" borderId="12" xfId="0" quotePrefix="1" applyFont="1" applyBorder="1" applyAlignment="1">
      <alignment horizontal="justify" vertical="center"/>
    </xf>
    <xf numFmtId="0" fontId="4" fillId="0" borderId="2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" fontId="17" fillId="0" borderId="29" xfId="0" quotePrefix="1" applyNumberFormat="1" applyFont="1" applyBorder="1" applyAlignment="1">
      <alignment horizontal="center" vertical="center"/>
    </xf>
    <xf numFmtId="0" fontId="17" fillId="0" borderId="12" xfId="0" quotePrefix="1" applyFont="1" applyBorder="1" applyAlignment="1">
      <alignment horizontal="center" vertical="center"/>
    </xf>
    <xf numFmtId="16" fontId="17" fillId="0" borderId="10" xfId="0" quotePrefix="1" applyNumberFormat="1" applyFont="1" applyBorder="1" applyAlignment="1">
      <alignment horizontal="center" vertical="center"/>
    </xf>
    <xf numFmtId="16" fontId="17" fillId="0" borderId="12" xfId="0" quotePrefix="1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29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4" fillId="0" borderId="31" xfId="0" applyNumberFormat="1" applyFont="1" applyBorder="1" applyAlignment="1">
      <alignment horizontal="center" vertical="center"/>
    </xf>
    <xf numFmtId="17" fontId="17" fillId="0" borderId="10" xfId="0" quotePrefix="1" applyNumberFormat="1" applyFont="1" applyBorder="1" applyAlignment="1">
      <alignment horizontal="center" vertical="center"/>
    </xf>
    <xf numFmtId="17" fontId="17" fillId="0" borderId="12" xfId="0" quotePrefix="1" applyNumberFormat="1" applyFont="1" applyBorder="1" applyAlignment="1">
      <alignment horizontal="center" vertical="center"/>
    </xf>
    <xf numFmtId="17" fontId="17" fillId="0" borderId="29" xfId="0" quotePrefix="1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13"/>
    </xf>
    <xf numFmtId="0" fontId="4" fillId="0" borderId="2" xfId="0" applyFont="1" applyBorder="1" applyAlignment="1">
      <alignment horizontal="left" vertical="center" indent="13"/>
    </xf>
    <xf numFmtId="0" fontId="4" fillId="0" borderId="6" xfId="0" applyFont="1" applyBorder="1" applyAlignment="1">
      <alignment horizontal="left" vertical="center" indent="13"/>
    </xf>
    <xf numFmtId="0" fontId="4" fillId="0" borderId="3" xfId="0" applyFont="1" applyBorder="1" applyAlignment="1">
      <alignment horizontal="left" vertical="center" indent="13"/>
    </xf>
    <xf numFmtId="0" fontId="4" fillId="0" borderId="7" xfId="0" applyFont="1" applyBorder="1" applyAlignment="1">
      <alignment horizontal="left" vertical="center" indent="13"/>
    </xf>
    <xf numFmtId="0" fontId="19" fillId="5" borderId="2" xfId="0" quotePrefix="1" applyFont="1" applyFill="1" applyBorder="1" applyAlignment="1">
      <alignment horizontal="justify" vertical="center"/>
    </xf>
    <xf numFmtId="0" fontId="19" fillId="0" borderId="33" xfId="0" applyFont="1" applyBorder="1" applyAlignment="1">
      <alignment horizontal="left" vertical="justify"/>
    </xf>
    <xf numFmtId="0" fontId="19" fillId="0" borderId="6" xfId="0" applyFont="1" applyBorder="1" applyAlignment="1">
      <alignment horizontal="left" vertical="justify"/>
    </xf>
    <xf numFmtId="0" fontId="19" fillId="0" borderId="3" xfId="0" applyFont="1" applyBorder="1" applyAlignment="1">
      <alignment horizontal="left" vertical="justify"/>
    </xf>
    <xf numFmtId="0" fontId="19" fillId="0" borderId="7" xfId="0" applyFont="1" applyBorder="1" applyAlignment="1">
      <alignment horizontal="left" vertical="justify"/>
    </xf>
    <xf numFmtId="0" fontId="20" fillId="0" borderId="28" xfId="0" applyFont="1" applyBorder="1" applyAlignment="1">
      <alignment horizontal="center" vertical="center"/>
    </xf>
    <xf numFmtId="0" fontId="19" fillId="0" borderId="32" xfId="0" applyFont="1" applyBorder="1" applyAlignment="1">
      <alignment horizontal="justify" vertical="center"/>
    </xf>
    <xf numFmtId="0" fontId="19" fillId="0" borderId="28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2" xfId="0" quotePrefix="1" applyFont="1" applyBorder="1" applyAlignment="1">
      <alignment horizontal="justify" vertical="center"/>
    </xf>
    <xf numFmtId="164" fontId="2" fillId="0" borderId="17" xfId="0" applyNumberFormat="1" applyFont="1" applyBorder="1" applyAlignment="1">
      <alignment horizontal="center" vertical="center"/>
    </xf>
    <xf numFmtId="17" fontId="8" fillId="0" borderId="28" xfId="0" quotePrefix="1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4" fillId="0" borderId="32" xfId="0" quotePrefix="1" applyFont="1" applyBorder="1" applyAlignment="1">
      <alignment horizontal="justify" vertical="center"/>
    </xf>
    <xf numFmtId="0" fontId="4" fillId="0" borderId="28" xfId="0" applyFont="1" applyBorder="1" applyAlignment="1">
      <alignment horizontal="justify" vertical="center"/>
    </xf>
    <xf numFmtId="0" fontId="4" fillId="0" borderId="32" xfId="0" applyFont="1" applyBorder="1" applyAlignment="1">
      <alignment horizontal="justify" vertical="center"/>
    </xf>
    <xf numFmtId="0" fontId="20" fillId="0" borderId="36" xfId="0" applyFont="1" applyBorder="1" applyAlignment="1">
      <alignment horizontal="center" vertical="center"/>
    </xf>
    <xf numFmtId="17" fontId="17" fillId="0" borderId="36" xfId="0" quotePrefix="1" applyNumberFormat="1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164" fontId="17" fillId="0" borderId="19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justify" vertical="center"/>
    </xf>
    <xf numFmtId="0" fontId="35" fillId="0" borderId="3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0033CC"/>
      <color rgb="FF0000FF"/>
      <color rgb="FF6600FF"/>
      <color rgb="FF33CCCC"/>
      <color rgb="FF008000"/>
      <color rgb="FFFEC0B4"/>
      <color rgb="FF336699"/>
      <color rgb="FF3366CC"/>
      <color rgb="FF3109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0</xdr:rowOff>
    </xdr:from>
    <xdr:to>
      <xdr:col>1</xdr:col>
      <xdr:colOff>723900</xdr:colOff>
      <xdr:row>5</xdr:row>
      <xdr:rowOff>15240</xdr:rowOff>
    </xdr:to>
    <xdr:pic>
      <xdr:nvPicPr>
        <xdr:cNvPr id="47217" name="Picture 3">
          <a:extLst>
            <a:ext uri="{FF2B5EF4-FFF2-40B4-BE49-F238E27FC236}">
              <a16:creationId xmlns:a16="http://schemas.microsoft.com/office/drawing/2014/main" id="{00000000-0008-0000-0100-000071B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60960</xdr:colOff>
      <xdr:row>5</xdr:row>
      <xdr:rowOff>15240</xdr:rowOff>
    </xdr:to>
    <xdr:pic>
      <xdr:nvPicPr>
        <xdr:cNvPr id="47218" name="Picture 4">
          <a:extLst>
            <a:ext uri="{FF2B5EF4-FFF2-40B4-BE49-F238E27FC236}">
              <a16:creationId xmlns:a16="http://schemas.microsoft.com/office/drawing/2014/main" id="{00000000-0008-0000-0100-000072B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190500</xdr:colOff>
      <xdr:row>1039</xdr:row>
      <xdr:rowOff>19050</xdr:rowOff>
    </xdr:from>
    <xdr:to>
      <xdr:col>8</xdr:col>
      <xdr:colOff>400050</xdr:colOff>
      <xdr:row>1039</xdr:row>
      <xdr:rowOff>28575</xdr:rowOff>
    </xdr:to>
    <xdr:sp macro="" textlink="">
      <xdr:nvSpPr>
        <xdr:cNvPr id="47281" name="Freeform 6">
          <a:extLst>
            <a:ext uri="{FF2B5EF4-FFF2-40B4-BE49-F238E27FC236}">
              <a16:creationId xmlns:a16="http://schemas.microsoft.com/office/drawing/2014/main" id="{00000000-0008-0000-0100-0000B1B80000}"/>
            </a:ext>
          </a:extLst>
        </xdr:cNvPr>
        <xdr:cNvSpPr>
          <a:spLocks/>
        </xdr:cNvSpPr>
      </xdr:nvSpPr>
      <xdr:spPr bwMode="auto">
        <a:xfrm>
          <a:off x="5895975" y="103698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613</xdr:row>
      <xdr:rowOff>19050</xdr:rowOff>
    </xdr:from>
    <xdr:to>
      <xdr:col>9</xdr:col>
      <xdr:colOff>400050</xdr:colOff>
      <xdr:row>613</xdr:row>
      <xdr:rowOff>28575</xdr:rowOff>
    </xdr:to>
    <xdr:sp macro="" textlink="">
      <xdr:nvSpPr>
        <xdr:cNvPr id="47288" name="Freeform 6">
          <a:extLst>
            <a:ext uri="{FF2B5EF4-FFF2-40B4-BE49-F238E27FC236}">
              <a16:creationId xmlns:a16="http://schemas.microsoft.com/office/drawing/2014/main" id="{00000000-0008-0000-0100-0000B8B80000}"/>
            </a:ext>
          </a:extLst>
        </xdr:cNvPr>
        <xdr:cNvSpPr>
          <a:spLocks/>
        </xdr:cNvSpPr>
      </xdr:nvSpPr>
      <xdr:spPr bwMode="auto">
        <a:xfrm>
          <a:off x="6505575" y="61598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200025</xdr:colOff>
      <xdr:row>761</xdr:row>
      <xdr:rowOff>9525</xdr:rowOff>
    </xdr:from>
    <xdr:to>
      <xdr:col>9</xdr:col>
      <xdr:colOff>409575</xdr:colOff>
      <xdr:row>761</xdr:row>
      <xdr:rowOff>19050</xdr:rowOff>
    </xdr:to>
    <xdr:sp macro="" textlink="">
      <xdr:nvSpPr>
        <xdr:cNvPr id="47302" name="Freeform 6">
          <a:extLst>
            <a:ext uri="{FF2B5EF4-FFF2-40B4-BE49-F238E27FC236}">
              <a16:creationId xmlns:a16="http://schemas.microsoft.com/office/drawing/2014/main" id="{00000000-0008-0000-0100-0000C6B80000}"/>
            </a:ext>
          </a:extLst>
        </xdr:cNvPr>
        <xdr:cNvSpPr>
          <a:spLocks/>
        </xdr:cNvSpPr>
      </xdr:nvSpPr>
      <xdr:spPr bwMode="auto">
        <a:xfrm>
          <a:off x="6515100" y="7818120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613</xdr:row>
      <xdr:rowOff>19050</xdr:rowOff>
    </xdr:from>
    <xdr:to>
      <xdr:col>8</xdr:col>
      <xdr:colOff>400050</xdr:colOff>
      <xdr:row>613</xdr:row>
      <xdr:rowOff>28575</xdr:rowOff>
    </xdr:to>
    <xdr:sp macro="" textlink="">
      <xdr:nvSpPr>
        <xdr:cNvPr id="47305" name="Freeform 6">
          <a:extLst>
            <a:ext uri="{FF2B5EF4-FFF2-40B4-BE49-F238E27FC236}">
              <a16:creationId xmlns:a16="http://schemas.microsoft.com/office/drawing/2014/main" id="{00000000-0008-0000-0100-0000C9B80000}"/>
            </a:ext>
          </a:extLst>
        </xdr:cNvPr>
        <xdr:cNvSpPr>
          <a:spLocks/>
        </xdr:cNvSpPr>
      </xdr:nvSpPr>
      <xdr:spPr bwMode="auto">
        <a:xfrm>
          <a:off x="5895975" y="61598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200025</xdr:colOff>
      <xdr:row>761</xdr:row>
      <xdr:rowOff>9525</xdr:rowOff>
    </xdr:from>
    <xdr:to>
      <xdr:col>8</xdr:col>
      <xdr:colOff>409575</xdr:colOff>
      <xdr:row>761</xdr:row>
      <xdr:rowOff>19050</xdr:rowOff>
    </xdr:to>
    <xdr:sp macro="" textlink="">
      <xdr:nvSpPr>
        <xdr:cNvPr id="47311" name="Freeform 6">
          <a:extLst>
            <a:ext uri="{FF2B5EF4-FFF2-40B4-BE49-F238E27FC236}">
              <a16:creationId xmlns:a16="http://schemas.microsoft.com/office/drawing/2014/main" id="{00000000-0008-0000-0100-0000CFB80000}"/>
            </a:ext>
          </a:extLst>
        </xdr:cNvPr>
        <xdr:cNvSpPr>
          <a:spLocks/>
        </xdr:cNvSpPr>
      </xdr:nvSpPr>
      <xdr:spPr bwMode="auto">
        <a:xfrm>
          <a:off x="5905500" y="7818120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501</xdr:row>
      <xdr:rowOff>19050</xdr:rowOff>
    </xdr:from>
    <xdr:to>
      <xdr:col>9</xdr:col>
      <xdr:colOff>400050</xdr:colOff>
      <xdr:row>501</xdr:row>
      <xdr:rowOff>28575</xdr:rowOff>
    </xdr:to>
    <xdr:sp macro="" textlink="">
      <xdr:nvSpPr>
        <xdr:cNvPr id="47316" name="Freeform 6">
          <a:extLst>
            <a:ext uri="{FF2B5EF4-FFF2-40B4-BE49-F238E27FC236}">
              <a16:creationId xmlns:a16="http://schemas.microsoft.com/office/drawing/2014/main" id="{00000000-0008-0000-0100-0000D4B80000}"/>
            </a:ext>
          </a:extLst>
        </xdr:cNvPr>
        <xdr:cNvSpPr>
          <a:spLocks/>
        </xdr:cNvSpPr>
      </xdr:nvSpPr>
      <xdr:spPr bwMode="auto">
        <a:xfrm>
          <a:off x="6505575" y="49215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501</xdr:row>
      <xdr:rowOff>19050</xdr:rowOff>
    </xdr:from>
    <xdr:to>
      <xdr:col>8</xdr:col>
      <xdr:colOff>400050</xdr:colOff>
      <xdr:row>501</xdr:row>
      <xdr:rowOff>28575</xdr:rowOff>
    </xdr:to>
    <xdr:sp macro="" textlink="">
      <xdr:nvSpPr>
        <xdr:cNvPr id="47320" name="Freeform 6">
          <a:extLst>
            <a:ext uri="{FF2B5EF4-FFF2-40B4-BE49-F238E27FC236}">
              <a16:creationId xmlns:a16="http://schemas.microsoft.com/office/drawing/2014/main" id="{00000000-0008-0000-0100-0000D8B80000}"/>
            </a:ext>
          </a:extLst>
        </xdr:cNvPr>
        <xdr:cNvSpPr>
          <a:spLocks/>
        </xdr:cNvSpPr>
      </xdr:nvSpPr>
      <xdr:spPr bwMode="auto">
        <a:xfrm>
          <a:off x="5895975" y="49215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19</xdr:row>
      <xdr:rowOff>19050</xdr:rowOff>
    </xdr:from>
    <xdr:to>
      <xdr:col>9</xdr:col>
      <xdr:colOff>400050</xdr:colOff>
      <xdr:row>19</xdr:row>
      <xdr:rowOff>28575</xdr:rowOff>
    </xdr:to>
    <xdr:sp macro="" textlink="">
      <xdr:nvSpPr>
        <xdr:cNvPr id="47324" name="Freeform 6">
          <a:extLst>
            <a:ext uri="{FF2B5EF4-FFF2-40B4-BE49-F238E27FC236}">
              <a16:creationId xmlns:a16="http://schemas.microsoft.com/office/drawing/2014/main" id="{00000000-0008-0000-0100-0000DCB80000}"/>
            </a:ext>
          </a:extLst>
        </xdr:cNvPr>
        <xdr:cNvSpPr>
          <a:spLocks/>
        </xdr:cNvSpPr>
      </xdr:nvSpPr>
      <xdr:spPr bwMode="auto">
        <a:xfrm>
          <a:off x="6505575" y="2409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51</xdr:row>
      <xdr:rowOff>19050</xdr:rowOff>
    </xdr:from>
    <xdr:to>
      <xdr:col>9</xdr:col>
      <xdr:colOff>400050</xdr:colOff>
      <xdr:row>51</xdr:row>
      <xdr:rowOff>28575</xdr:rowOff>
    </xdr:to>
    <xdr:sp macro="" textlink="">
      <xdr:nvSpPr>
        <xdr:cNvPr id="121" name="Freeform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/>
        </xdr:cNvSpPr>
      </xdr:nvSpPr>
      <xdr:spPr bwMode="auto">
        <a:xfrm>
          <a:off x="6505575" y="2409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503</xdr:row>
      <xdr:rowOff>19050</xdr:rowOff>
    </xdr:from>
    <xdr:to>
      <xdr:col>7</xdr:col>
      <xdr:colOff>400050</xdr:colOff>
      <xdr:row>503</xdr:row>
      <xdr:rowOff>28575</xdr:rowOff>
    </xdr:to>
    <xdr:sp macro="" textlink="">
      <xdr:nvSpPr>
        <xdr:cNvPr id="124" name="Freeform 6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/>
        </xdr:cNvSpPr>
      </xdr:nvSpPr>
      <xdr:spPr bwMode="auto">
        <a:xfrm>
          <a:off x="6505575" y="51939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503</xdr:row>
      <xdr:rowOff>19050</xdr:rowOff>
    </xdr:from>
    <xdr:to>
      <xdr:col>9</xdr:col>
      <xdr:colOff>400050</xdr:colOff>
      <xdr:row>503</xdr:row>
      <xdr:rowOff>28575</xdr:rowOff>
    </xdr:to>
    <xdr:sp macro="" textlink="">
      <xdr:nvSpPr>
        <xdr:cNvPr id="126" name="Freeform 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/>
        </xdr:cNvSpPr>
      </xdr:nvSpPr>
      <xdr:spPr bwMode="auto">
        <a:xfrm>
          <a:off x="6505575" y="51939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517</xdr:row>
      <xdr:rowOff>19050</xdr:rowOff>
    </xdr:from>
    <xdr:to>
      <xdr:col>9</xdr:col>
      <xdr:colOff>400050</xdr:colOff>
      <xdr:row>517</xdr:row>
      <xdr:rowOff>28575</xdr:rowOff>
    </xdr:to>
    <xdr:sp macro="" textlink="">
      <xdr:nvSpPr>
        <xdr:cNvPr id="127" name="Freeform 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/>
        </xdr:cNvSpPr>
      </xdr:nvSpPr>
      <xdr:spPr bwMode="auto">
        <a:xfrm>
          <a:off x="6505575" y="51939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653</xdr:row>
      <xdr:rowOff>19050</xdr:rowOff>
    </xdr:from>
    <xdr:to>
      <xdr:col>9</xdr:col>
      <xdr:colOff>400050</xdr:colOff>
      <xdr:row>653</xdr:row>
      <xdr:rowOff>28575</xdr:rowOff>
    </xdr:to>
    <xdr:sp macro="" textlink="">
      <xdr:nvSpPr>
        <xdr:cNvPr id="128" name="Freeform 6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/>
        </xdr:cNvSpPr>
      </xdr:nvSpPr>
      <xdr:spPr bwMode="auto">
        <a:xfrm>
          <a:off x="6505575" y="650652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200025</xdr:colOff>
      <xdr:row>829</xdr:row>
      <xdr:rowOff>9525</xdr:rowOff>
    </xdr:from>
    <xdr:to>
      <xdr:col>9</xdr:col>
      <xdr:colOff>409575</xdr:colOff>
      <xdr:row>829</xdr:row>
      <xdr:rowOff>19050</xdr:rowOff>
    </xdr:to>
    <xdr:sp macro="" textlink="">
      <xdr:nvSpPr>
        <xdr:cNvPr id="131" name="Freeform 6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/>
        </xdr:cNvSpPr>
      </xdr:nvSpPr>
      <xdr:spPr bwMode="auto">
        <a:xfrm>
          <a:off x="6515100" y="820864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889</xdr:row>
      <xdr:rowOff>19050</xdr:rowOff>
    </xdr:from>
    <xdr:to>
      <xdr:col>7</xdr:col>
      <xdr:colOff>400050</xdr:colOff>
      <xdr:row>889</xdr:row>
      <xdr:rowOff>28575</xdr:rowOff>
    </xdr:to>
    <xdr:sp macro="" textlink="">
      <xdr:nvSpPr>
        <xdr:cNvPr id="86" name="Freeform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/>
        </xdr:cNvSpPr>
      </xdr:nvSpPr>
      <xdr:spPr bwMode="auto">
        <a:xfrm>
          <a:off x="5400675" y="521836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893</xdr:row>
      <xdr:rowOff>19050</xdr:rowOff>
    </xdr:from>
    <xdr:to>
      <xdr:col>7</xdr:col>
      <xdr:colOff>400050</xdr:colOff>
      <xdr:row>893</xdr:row>
      <xdr:rowOff>28575</xdr:rowOff>
    </xdr:to>
    <xdr:sp macro="" textlink="">
      <xdr:nvSpPr>
        <xdr:cNvPr id="87" name="Freeform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/>
        </xdr:cNvSpPr>
      </xdr:nvSpPr>
      <xdr:spPr bwMode="auto">
        <a:xfrm>
          <a:off x="5400675" y="521836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53</xdr:row>
      <xdr:rowOff>19050</xdr:rowOff>
    </xdr:from>
    <xdr:to>
      <xdr:col>7</xdr:col>
      <xdr:colOff>400050</xdr:colOff>
      <xdr:row>53</xdr:row>
      <xdr:rowOff>28575</xdr:rowOff>
    </xdr:to>
    <xdr:sp macro="" textlink="">
      <xdr:nvSpPr>
        <xdr:cNvPr id="84" name="Freeform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/>
        </xdr:cNvSpPr>
      </xdr:nvSpPr>
      <xdr:spPr bwMode="auto">
        <a:xfrm>
          <a:off x="6486525" y="55435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17</xdr:row>
      <xdr:rowOff>19050</xdr:rowOff>
    </xdr:from>
    <xdr:to>
      <xdr:col>9</xdr:col>
      <xdr:colOff>400050</xdr:colOff>
      <xdr:row>17</xdr:row>
      <xdr:rowOff>28575</xdr:rowOff>
    </xdr:to>
    <xdr:sp macro="" textlink="">
      <xdr:nvSpPr>
        <xdr:cNvPr id="81" name="Freeform 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/>
        </xdr:cNvSpPr>
      </xdr:nvSpPr>
      <xdr:spPr bwMode="auto">
        <a:xfrm>
          <a:off x="6486525" y="25717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713</xdr:row>
      <xdr:rowOff>19050</xdr:rowOff>
    </xdr:from>
    <xdr:to>
      <xdr:col>9</xdr:col>
      <xdr:colOff>400050</xdr:colOff>
      <xdr:row>713</xdr:row>
      <xdr:rowOff>28575</xdr:rowOff>
    </xdr:to>
    <xdr:sp macro="" textlink="">
      <xdr:nvSpPr>
        <xdr:cNvPr id="2" name="Freeform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6486525" y="684942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200025</xdr:colOff>
      <xdr:row>751</xdr:row>
      <xdr:rowOff>9525</xdr:rowOff>
    </xdr:from>
    <xdr:to>
      <xdr:col>9</xdr:col>
      <xdr:colOff>409575</xdr:colOff>
      <xdr:row>751</xdr:row>
      <xdr:rowOff>19050</xdr:rowOff>
    </xdr:to>
    <xdr:sp macro="" textlink="">
      <xdr:nvSpPr>
        <xdr:cNvPr id="3" name="Freeform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6496050" y="798004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200025</xdr:colOff>
      <xdr:row>763</xdr:row>
      <xdr:rowOff>9525</xdr:rowOff>
    </xdr:from>
    <xdr:to>
      <xdr:col>9</xdr:col>
      <xdr:colOff>409575</xdr:colOff>
      <xdr:row>763</xdr:row>
      <xdr:rowOff>19050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6496050" y="798004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200025</xdr:colOff>
      <xdr:row>833</xdr:row>
      <xdr:rowOff>9525</xdr:rowOff>
    </xdr:from>
    <xdr:to>
      <xdr:col>9</xdr:col>
      <xdr:colOff>409575</xdr:colOff>
      <xdr:row>833</xdr:row>
      <xdr:rowOff>19050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 bwMode="auto">
        <a:xfrm>
          <a:off x="6496050" y="8671560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2</xdr:row>
      <xdr:rowOff>0</xdr:rowOff>
    </xdr:from>
    <xdr:to>
      <xdr:col>1</xdr:col>
      <xdr:colOff>742949</xdr:colOff>
      <xdr:row>5</xdr:row>
      <xdr:rowOff>60658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4" y="304800"/>
          <a:ext cx="733425" cy="514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80009</xdr:colOff>
      <xdr:row>5</xdr:row>
      <xdr:rowOff>15240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6" y="304800"/>
          <a:ext cx="742949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190500</xdr:colOff>
      <xdr:row>13</xdr:row>
      <xdr:rowOff>19050</xdr:rowOff>
    </xdr:from>
    <xdr:to>
      <xdr:col>7</xdr:col>
      <xdr:colOff>400050</xdr:colOff>
      <xdr:row>13</xdr:row>
      <xdr:rowOff>28575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 bwMode="auto">
        <a:xfrm>
          <a:off x="5276850" y="19497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2</xdr:row>
      <xdr:rowOff>0</xdr:rowOff>
    </xdr:from>
    <xdr:to>
      <xdr:col>1</xdr:col>
      <xdr:colOff>815340</xdr:colOff>
      <xdr:row>5</xdr:row>
      <xdr:rowOff>60658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4" y="304800"/>
          <a:ext cx="809626" cy="514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142874</xdr:colOff>
      <xdr:row>5</xdr:row>
      <xdr:rowOff>15240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1" y="304800"/>
          <a:ext cx="800099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190500</xdr:colOff>
      <xdr:row>201</xdr:row>
      <xdr:rowOff>19050</xdr:rowOff>
    </xdr:from>
    <xdr:to>
      <xdr:col>8</xdr:col>
      <xdr:colOff>400050</xdr:colOff>
      <xdr:row>201</xdr:row>
      <xdr:rowOff>28575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 bwMode="auto">
        <a:xfrm>
          <a:off x="5895975" y="1274159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185</xdr:row>
      <xdr:rowOff>19050</xdr:rowOff>
    </xdr:from>
    <xdr:to>
      <xdr:col>8</xdr:col>
      <xdr:colOff>400050</xdr:colOff>
      <xdr:row>185</xdr:row>
      <xdr:rowOff>28575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5895975" y="1254347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241</xdr:row>
      <xdr:rowOff>19050</xdr:rowOff>
    </xdr:from>
    <xdr:to>
      <xdr:col>8</xdr:col>
      <xdr:colOff>400050</xdr:colOff>
      <xdr:row>241</xdr:row>
      <xdr:rowOff>28575</xdr:rowOff>
    </xdr:to>
    <xdr:sp macro="" textlink="">
      <xdr:nvSpPr>
        <xdr:cNvPr id="6" name="Freeform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 bwMode="auto">
        <a:xfrm>
          <a:off x="5895975" y="1313783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343</xdr:row>
      <xdr:rowOff>19050</xdr:rowOff>
    </xdr:from>
    <xdr:to>
      <xdr:col>8</xdr:col>
      <xdr:colOff>400050</xdr:colOff>
      <xdr:row>343</xdr:row>
      <xdr:rowOff>28575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 bwMode="auto">
        <a:xfrm>
          <a:off x="5895975" y="144503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287</xdr:row>
      <xdr:rowOff>19050</xdr:rowOff>
    </xdr:from>
    <xdr:to>
      <xdr:col>8</xdr:col>
      <xdr:colOff>400050</xdr:colOff>
      <xdr:row>287</xdr:row>
      <xdr:rowOff>28575</xdr:rowOff>
    </xdr:to>
    <xdr:sp macro="" textlink="">
      <xdr:nvSpPr>
        <xdr:cNvPr id="8" name="Freeform 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 bwMode="auto">
        <a:xfrm>
          <a:off x="5895975" y="1370742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285</xdr:row>
      <xdr:rowOff>19050</xdr:rowOff>
    </xdr:from>
    <xdr:to>
      <xdr:col>8</xdr:col>
      <xdr:colOff>400050</xdr:colOff>
      <xdr:row>285</xdr:row>
      <xdr:rowOff>28575</xdr:rowOff>
    </xdr:to>
    <xdr:sp macro="" textlink="">
      <xdr:nvSpPr>
        <xdr:cNvPr id="9" name="Freeform 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 bwMode="auto">
        <a:xfrm>
          <a:off x="5895975" y="1368266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313</xdr:row>
      <xdr:rowOff>19050</xdr:rowOff>
    </xdr:from>
    <xdr:to>
      <xdr:col>8</xdr:col>
      <xdr:colOff>400050</xdr:colOff>
      <xdr:row>313</xdr:row>
      <xdr:rowOff>28575</xdr:rowOff>
    </xdr:to>
    <xdr:sp macro="" textlink="">
      <xdr:nvSpPr>
        <xdr:cNvPr id="10" name="Freeform 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/>
        </xdr:cNvSpPr>
      </xdr:nvSpPr>
      <xdr:spPr bwMode="auto">
        <a:xfrm>
          <a:off x="5895975" y="1405413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173</xdr:row>
      <xdr:rowOff>19050</xdr:rowOff>
    </xdr:from>
    <xdr:to>
      <xdr:col>8</xdr:col>
      <xdr:colOff>400050</xdr:colOff>
      <xdr:row>173</xdr:row>
      <xdr:rowOff>28575</xdr:rowOff>
    </xdr:to>
    <xdr:sp macro="" textlink="">
      <xdr:nvSpPr>
        <xdr:cNvPr id="12" name="Freeform 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/>
        </xdr:cNvSpPr>
      </xdr:nvSpPr>
      <xdr:spPr bwMode="auto">
        <a:xfrm>
          <a:off x="5895975" y="1241964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275</xdr:row>
      <xdr:rowOff>19050</xdr:rowOff>
    </xdr:from>
    <xdr:to>
      <xdr:col>8</xdr:col>
      <xdr:colOff>400050</xdr:colOff>
      <xdr:row>275</xdr:row>
      <xdr:rowOff>28575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/>
        </xdr:cNvSpPr>
      </xdr:nvSpPr>
      <xdr:spPr bwMode="auto">
        <a:xfrm>
          <a:off x="5895975" y="1355883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283</xdr:row>
      <xdr:rowOff>19050</xdr:rowOff>
    </xdr:from>
    <xdr:to>
      <xdr:col>8</xdr:col>
      <xdr:colOff>400050</xdr:colOff>
      <xdr:row>283</xdr:row>
      <xdr:rowOff>28575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/>
        </xdr:cNvSpPr>
      </xdr:nvSpPr>
      <xdr:spPr bwMode="auto">
        <a:xfrm>
          <a:off x="5895975" y="1365789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125</xdr:row>
      <xdr:rowOff>19050</xdr:rowOff>
    </xdr:from>
    <xdr:to>
      <xdr:col>9</xdr:col>
      <xdr:colOff>400050</xdr:colOff>
      <xdr:row>125</xdr:row>
      <xdr:rowOff>28575</xdr:rowOff>
    </xdr:to>
    <xdr:sp macro="" textlink="">
      <xdr:nvSpPr>
        <xdr:cNvPr id="18" name="Freeform 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/>
        </xdr:cNvSpPr>
      </xdr:nvSpPr>
      <xdr:spPr bwMode="auto">
        <a:xfrm>
          <a:off x="6505575" y="227714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186690</xdr:colOff>
      <xdr:row>143</xdr:row>
      <xdr:rowOff>1905</xdr:rowOff>
    </xdr:from>
    <xdr:to>
      <xdr:col>9</xdr:col>
      <xdr:colOff>396240</xdr:colOff>
      <xdr:row>143</xdr:row>
      <xdr:rowOff>17145</xdr:rowOff>
    </xdr:to>
    <xdr:sp macro="" textlink="">
      <xdr:nvSpPr>
        <xdr:cNvPr id="19" name="Freeform 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/>
        </xdr:cNvSpPr>
      </xdr:nvSpPr>
      <xdr:spPr bwMode="auto">
        <a:xfrm>
          <a:off x="6663690" y="18242280"/>
          <a:ext cx="209550" cy="1524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267</xdr:row>
      <xdr:rowOff>9525</xdr:rowOff>
    </xdr:from>
    <xdr:to>
      <xdr:col>9</xdr:col>
      <xdr:colOff>209550</xdr:colOff>
      <xdr:row>267</xdr:row>
      <xdr:rowOff>9525</xdr:rowOff>
    </xdr:to>
    <xdr:sp macro="" textlink="">
      <xdr:nvSpPr>
        <xdr:cNvPr id="20" name="Line 28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>
          <a:off x="6419850" y="2455354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303</xdr:row>
      <xdr:rowOff>9525</xdr:rowOff>
    </xdr:from>
    <xdr:to>
      <xdr:col>9</xdr:col>
      <xdr:colOff>209550</xdr:colOff>
      <xdr:row>303</xdr:row>
      <xdr:rowOff>9525</xdr:rowOff>
    </xdr:to>
    <xdr:sp macro="" textlink="">
      <xdr:nvSpPr>
        <xdr:cNvPr id="21" name="Line 238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>
          <a:off x="6419850" y="2494978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355</xdr:row>
      <xdr:rowOff>9525</xdr:rowOff>
    </xdr:from>
    <xdr:to>
      <xdr:col>9</xdr:col>
      <xdr:colOff>209550</xdr:colOff>
      <xdr:row>355</xdr:row>
      <xdr:rowOff>9525</xdr:rowOff>
    </xdr:to>
    <xdr:sp macro="" textlink="">
      <xdr:nvSpPr>
        <xdr:cNvPr id="22" name="Line 164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>
          <a:off x="6419850" y="2561844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485</xdr:row>
      <xdr:rowOff>19050</xdr:rowOff>
    </xdr:from>
    <xdr:to>
      <xdr:col>9</xdr:col>
      <xdr:colOff>400050</xdr:colOff>
      <xdr:row>485</xdr:row>
      <xdr:rowOff>28575</xdr:rowOff>
    </xdr:to>
    <xdr:sp macro="" textlink="">
      <xdr:nvSpPr>
        <xdr:cNvPr id="25" name="Freeform 6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/>
        </xdr:cNvSpPr>
      </xdr:nvSpPr>
      <xdr:spPr bwMode="auto">
        <a:xfrm>
          <a:off x="6486525" y="535495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33</xdr:row>
      <xdr:rowOff>19050</xdr:rowOff>
    </xdr:from>
    <xdr:to>
      <xdr:col>9</xdr:col>
      <xdr:colOff>400050</xdr:colOff>
      <xdr:row>33</xdr:row>
      <xdr:rowOff>28575</xdr:rowOff>
    </xdr:to>
    <xdr:sp macro="" textlink="">
      <xdr:nvSpPr>
        <xdr:cNvPr id="11" name="Freeform 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/>
        </xdr:cNvSpPr>
      </xdr:nvSpPr>
      <xdr:spPr bwMode="auto">
        <a:xfrm>
          <a:off x="6652260" y="138112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37</xdr:row>
      <xdr:rowOff>19050</xdr:rowOff>
    </xdr:from>
    <xdr:to>
      <xdr:col>9</xdr:col>
      <xdr:colOff>400050</xdr:colOff>
      <xdr:row>37</xdr:row>
      <xdr:rowOff>28575</xdr:rowOff>
    </xdr:to>
    <xdr:sp macro="" textlink="">
      <xdr:nvSpPr>
        <xdr:cNvPr id="15" name="Freeform 6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/>
        </xdr:cNvSpPr>
      </xdr:nvSpPr>
      <xdr:spPr bwMode="auto">
        <a:xfrm>
          <a:off x="6652260" y="399669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702945</xdr:colOff>
      <xdr:row>5</xdr:row>
      <xdr:rowOff>19050</xdr:rowOff>
    </xdr:to>
    <xdr:pic>
      <xdr:nvPicPr>
        <xdr:cNvPr id="3370" name="Picture 1">
          <a:extLst>
            <a:ext uri="{FF2B5EF4-FFF2-40B4-BE49-F238E27FC236}">
              <a16:creationId xmlns:a16="http://schemas.microsoft.com/office/drawing/2014/main" id="{00000000-0008-0000-04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19050</xdr:rowOff>
    </xdr:from>
    <xdr:to>
      <xdr:col>11</xdr:col>
      <xdr:colOff>60960</xdr:colOff>
      <xdr:row>5</xdr:row>
      <xdr:rowOff>38100</xdr:rowOff>
    </xdr:to>
    <xdr:pic>
      <xdr:nvPicPr>
        <xdr:cNvPr id="3371" name="Picture 2">
          <a:extLst>
            <a:ext uri="{FF2B5EF4-FFF2-40B4-BE49-F238E27FC236}">
              <a16:creationId xmlns:a16="http://schemas.microsoft.com/office/drawing/2014/main" id="{00000000-0008-0000-04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32385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104775</xdr:colOff>
      <xdr:row>15</xdr:row>
      <xdr:rowOff>9525</xdr:rowOff>
    </xdr:from>
    <xdr:to>
      <xdr:col>9</xdr:col>
      <xdr:colOff>209550</xdr:colOff>
      <xdr:row>15</xdr:row>
      <xdr:rowOff>9525</xdr:rowOff>
    </xdr:to>
    <xdr:sp macro="" textlink="">
      <xdr:nvSpPr>
        <xdr:cNvPr id="3372" name="Line 9">
          <a:extLst>
            <a:ext uri="{FF2B5EF4-FFF2-40B4-BE49-F238E27FC236}">
              <a16:creationId xmlns:a16="http://schemas.microsoft.com/office/drawing/2014/main" id="{00000000-0008-0000-0400-00002C0D0000}"/>
            </a:ext>
          </a:extLst>
        </xdr:cNvPr>
        <xdr:cNvSpPr>
          <a:spLocks noChangeShapeType="1"/>
        </xdr:cNvSpPr>
      </xdr:nvSpPr>
      <xdr:spPr bwMode="auto">
        <a:xfrm>
          <a:off x="6419850" y="26479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13</xdr:row>
      <xdr:rowOff>9525</xdr:rowOff>
    </xdr:from>
    <xdr:to>
      <xdr:col>9</xdr:col>
      <xdr:colOff>209550</xdr:colOff>
      <xdr:row>13</xdr:row>
      <xdr:rowOff>9525</xdr:rowOff>
    </xdr:to>
    <xdr:sp macro="" textlink="">
      <xdr:nvSpPr>
        <xdr:cNvPr id="3373" name="Line 10">
          <a:extLst>
            <a:ext uri="{FF2B5EF4-FFF2-40B4-BE49-F238E27FC236}">
              <a16:creationId xmlns:a16="http://schemas.microsoft.com/office/drawing/2014/main" id="{00000000-0008-0000-0400-00002D0D0000}"/>
            </a:ext>
          </a:extLst>
        </xdr:cNvPr>
        <xdr:cNvSpPr>
          <a:spLocks noChangeShapeType="1"/>
        </xdr:cNvSpPr>
      </xdr:nvSpPr>
      <xdr:spPr bwMode="auto">
        <a:xfrm>
          <a:off x="6419850" y="24003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19</xdr:row>
      <xdr:rowOff>19050</xdr:rowOff>
    </xdr:from>
    <xdr:to>
      <xdr:col>8</xdr:col>
      <xdr:colOff>400050</xdr:colOff>
      <xdr:row>19</xdr:row>
      <xdr:rowOff>28575</xdr:rowOff>
    </xdr:to>
    <xdr:sp macro="" textlink="">
      <xdr:nvSpPr>
        <xdr:cNvPr id="3376" name="Freeform 6">
          <a:extLst>
            <a:ext uri="{FF2B5EF4-FFF2-40B4-BE49-F238E27FC236}">
              <a16:creationId xmlns:a16="http://schemas.microsoft.com/office/drawing/2014/main" id="{00000000-0008-0000-0400-0000300D0000}"/>
            </a:ext>
          </a:extLst>
        </xdr:cNvPr>
        <xdr:cNvSpPr>
          <a:spLocks/>
        </xdr:cNvSpPr>
      </xdr:nvSpPr>
      <xdr:spPr bwMode="auto">
        <a:xfrm>
          <a:off x="5895975" y="3152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19</xdr:row>
      <xdr:rowOff>19050</xdr:rowOff>
    </xdr:from>
    <xdr:to>
      <xdr:col>9</xdr:col>
      <xdr:colOff>400050</xdr:colOff>
      <xdr:row>19</xdr:row>
      <xdr:rowOff>28575</xdr:rowOff>
    </xdr:to>
    <xdr:sp macro="" textlink="">
      <xdr:nvSpPr>
        <xdr:cNvPr id="3379" name="Freeform 6">
          <a:extLst>
            <a:ext uri="{FF2B5EF4-FFF2-40B4-BE49-F238E27FC236}">
              <a16:creationId xmlns:a16="http://schemas.microsoft.com/office/drawing/2014/main" id="{00000000-0008-0000-0400-0000330D0000}"/>
            </a:ext>
          </a:extLst>
        </xdr:cNvPr>
        <xdr:cNvSpPr>
          <a:spLocks/>
        </xdr:cNvSpPr>
      </xdr:nvSpPr>
      <xdr:spPr bwMode="auto">
        <a:xfrm>
          <a:off x="6505575" y="3152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21</xdr:row>
      <xdr:rowOff>19050</xdr:rowOff>
    </xdr:from>
    <xdr:to>
      <xdr:col>9</xdr:col>
      <xdr:colOff>400050</xdr:colOff>
      <xdr:row>21</xdr:row>
      <xdr:rowOff>28575</xdr:rowOff>
    </xdr:to>
    <xdr:sp macro="" textlink="">
      <xdr:nvSpPr>
        <xdr:cNvPr id="3380" name="Freeform 6">
          <a:extLst>
            <a:ext uri="{FF2B5EF4-FFF2-40B4-BE49-F238E27FC236}">
              <a16:creationId xmlns:a16="http://schemas.microsoft.com/office/drawing/2014/main" id="{00000000-0008-0000-0400-0000340D0000}"/>
            </a:ext>
          </a:extLst>
        </xdr:cNvPr>
        <xdr:cNvSpPr>
          <a:spLocks/>
        </xdr:cNvSpPr>
      </xdr:nvSpPr>
      <xdr:spPr bwMode="auto">
        <a:xfrm>
          <a:off x="6505575" y="3400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25</xdr:row>
      <xdr:rowOff>19050</xdr:rowOff>
    </xdr:from>
    <xdr:to>
      <xdr:col>9</xdr:col>
      <xdr:colOff>400050</xdr:colOff>
      <xdr:row>25</xdr:row>
      <xdr:rowOff>28575</xdr:rowOff>
    </xdr:to>
    <xdr:sp macro="" textlink="">
      <xdr:nvSpPr>
        <xdr:cNvPr id="3381" name="Freeform 6">
          <a:extLst>
            <a:ext uri="{FF2B5EF4-FFF2-40B4-BE49-F238E27FC236}">
              <a16:creationId xmlns:a16="http://schemas.microsoft.com/office/drawing/2014/main" id="{00000000-0008-0000-0400-0000350D0000}"/>
            </a:ext>
          </a:extLst>
        </xdr:cNvPr>
        <xdr:cNvSpPr>
          <a:spLocks/>
        </xdr:cNvSpPr>
      </xdr:nvSpPr>
      <xdr:spPr bwMode="auto">
        <a:xfrm>
          <a:off x="6505575" y="36480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23</xdr:row>
      <xdr:rowOff>19050</xdr:rowOff>
    </xdr:from>
    <xdr:to>
      <xdr:col>9</xdr:col>
      <xdr:colOff>400050</xdr:colOff>
      <xdr:row>23</xdr:row>
      <xdr:rowOff>28575</xdr:rowOff>
    </xdr:to>
    <xdr:sp macro="" textlink="">
      <xdr:nvSpPr>
        <xdr:cNvPr id="2" name="Freeform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/>
        </xdr:cNvSpPr>
      </xdr:nvSpPr>
      <xdr:spPr bwMode="auto">
        <a:xfrm>
          <a:off x="6486525" y="3114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25</xdr:row>
      <xdr:rowOff>19050</xdr:rowOff>
    </xdr:from>
    <xdr:to>
      <xdr:col>8</xdr:col>
      <xdr:colOff>400050</xdr:colOff>
      <xdr:row>25</xdr:row>
      <xdr:rowOff>28575</xdr:rowOff>
    </xdr:to>
    <xdr:sp macro="" textlink="">
      <xdr:nvSpPr>
        <xdr:cNvPr id="3" name="Freeform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 bwMode="auto">
        <a:xfrm>
          <a:off x="5876925" y="33242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27</xdr:row>
      <xdr:rowOff>19050</xdr:rowOff>
    </xdr:from>
    <xdr:to>
      <xdr:col>8</xdr:col>
      <xdr:colOff>400050</xdr:colOff>
      <xdr:row>27</xdr:row>
      <xdr:rowOff>28575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/>
        </xdr:cNvSpPr>
      </xdr:nvSpPr>
      <xdr:spPr bwMode="auto">
        <a:xfrm>
          <a:off x="6027420" y="356997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815340</xdr:colOff>
      <xdr:row>5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"/>
          <a:ext cx="8191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19050</xdr:rowOff>
    </xdr:from>
    <xdr:to>
      <xdr:col>11</xdr:col>
      <xdr:colOff>70485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1" y="323850"/>
          <a:ext cx="7429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781050</xdr:colOff>
      <xdr:row>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"/>
          <a:ext cx="7810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15240</xdr:rowOff>
    </xdr:from>
    <xdr:to>
      <xdr:col>11</xdr:col>
      <xdr:colOff>104775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320040"/>
          <a:ext cx="790575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0</xdr:rowOff>
    </xdr:from>
    <xdr:to>
      <xdr:col>1</xdr:col>
      <xdr:colOff>723900</xdr:colOff>
      <xdr:row>5</xdr:row>
      <xdr:rowOff>15240</xdr:rowOff>
    </xdr:to>
    <xdr:pic>
      <xdr:nvPicPr>
        <xdr:cNvPr id="4403" name="Picture 3">
          <a:extLst>
            <a:ext uri="{FF2B5EF4-FFF2-40B4-BE49-F238E27FC236}">
              <a16:creationId xmlns:a16="http://schemas.microsoft.com/office/drawing/2014/main" id="{00000000-0008-0000-0700-00003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9525</xdr:rowOff>
    </xdr:from>
    <xdr:to>
      <xdr:col>11</xdr:col>
      <xdr:colOff>60960</xdr:colOff>
      <xdr:row>5</xdr:row>
      <xdr:rowOff>20955</xdr:rowOff>
    </xdr:to>
    <xdr:pic>
      <xdr:nvPicPr>
        <xdr:cNvPr id="4404" name="Picture 4">
          <a:extLst>
            <a:ext uri="{FF2B5EF4-FFF2-40B4-BE49-F238E27FC236}">
              <a16:creationId xmlns:a16="http://schemas.microsoft.com/office/drawing/2014/main" id="{00000000-0008-0000-0700-00003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314325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95250</xdr:colOff>
      <xdr:row>147</xdr:row>
      <xdr:rowOff>9525</xdr:rowOff>
    </xdr:from>
    <xdr:to>
      <xdr:col>9</xdr:col>
      <xdr:colOff>200025</xdr:colOff>
      <xdr:row>147</xdr:row>
      <xdr:rowOff>9525</xdr:rowOff>
    </xdr:to>
    <xdr:sp macro="" textlink="">
      <xdr:nvSpPr>
        <xdr:cNvPr id="4405" name="Line 5">
          <a:extLst>
            <a:ext uri="{FF2B5EF4-FFF2-40B4-BE49-F238E27FC236}">
              <a16:creationId xmlns:a16="http://schemas.microsoft.com/office/drawing/2014/main" id="{00000000-0008-0000-0700-000035110000}"/>
            </a:ext>
          </a:extLst>
        </xdr:cNvPr>
        <xdr:cNvSpPr>
          <a:spLocks noChangeShapeType="1"/>
        </xdr:cNvSpPr>
      </xdr:nvSpPr>
      <xdr:spPr bwMode="auto">
        <a:xfrm>
          <a:off x="6410325" y="165163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193</xdr:row>
      <xdr:rowOff>19050</xdr:rowOff>
    </xdr:from>
    <xdr:to>
      <xdr:col>9</xdr:col>
      <xdr:colOff>400050</xdr:colOff>
      <xdr:row>193</xdr:row>
      <xdr:rowOff>28575</xdr:rowOff>
    </xdr:to>
    <xdr:sp macro="" textlink="">
      <xdr:nvSpPr>
        <xdr:cNvPr id="4406" name="Freeform 6">
          <a:extLst>
            <a:ext uri="{FF2B5EF4-FFF2-40B4-BE49-F238E27FC236}">
              <a16:creationId xmlns:a16="http://schemas.microsoft.com/office/drawing/2014/main" id="{00000000-0008-0000-0700-000036110000}"/>
            </a:ext>
          </a:extLst>
        </xdr:cNvPr>
        <xdr:cNvSpPr>
          <a:spLocks/>
        </xdr:cNvSpPr>
      </xdr:nvSpPr>
      <xdr:spPr bwMode="auto">
        <a:xfrm>
          <a:off x="6505575" y="207359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623</xdr:row>
      <xdr:rowOff>19050</xdr:rowOff>
    </xdr:from>
    <xdr:to>
      <xdr:col>7</xdr:col>
      <xdr:colOff>400050</xdr:colOff>
      <xdr:row>623</xdr:row>
      <xdr:rowOff>28575</xdr:rowOff>
    </xdr:to>
    <xdr:sp macro="" textlink="">
      <xdr:nvSpPr>
        <xdr:cNvPr id="4407" name="Freeform 6">
          <a:extLst>
            <a:ext uri="{FF2B5EF4-FFF2-40B4-BE49-F238E27FC236}">
              <a16:creationId xmlns:a16="http://schemas.microsoft.com/office/drawing/2014/main" id="{00000000-0008-0000-0700-000037110000}"/>
            </a:ext>
          </a:extLst>
        </xdr:cNvPr>
        <xdr:cNvSpPr>
          <a:spLocks/>
        </xdr:cNvSpPr>
      </xdr:nvSpPr>
      <xdr:spPr bwMode="auto">
        <a:xfrm>
          <a:off x="5276850" y="47729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623</xdr:row>
      <xdr:rowOff>19050</xdr:rowOff>
    </xdr:from>
    <xdr:to>
      <xdr:col>9</xdr:col>
      <xdr:colOff>400050</xdr:colOff>
      <xdr:row>623</xdr:row>
      <xdr:rowOff>28575</xdr:rowOff>
    </xdr:to>
    <xdr:sp macro="" textlink="">
      <xdr:nvSpPr>
        <xdr:cNvPr id="4408" name="Freeform 6">
          <a:extLst>
            <a:ext uri="{FF2B5EF4-FFF2-40B4-BE49-F238E27FC236}">
              <a16:creationId xmlns:a16="http://schemas.microsoft.com/office/drawing/2014/main" id="{00000000-0008-0000-0700-000038110000}"/>
            </a:ext>
          </a:extLst>
        </xdr:cNvPr>
        <xdr:cNvSpPr>
          <a:spLocks/>
        </xdr:cNvSpPr>
      </xdr:nvSpPr>
      <xdr:spPr bwMode="auto">
        <a:xfrm>
          <a:off x="6505575" y="47729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819</xdr:row>
      <xdr:rowOff>19050</xdr:rowOff>
    </xdr:from>
    <xdr:to>
      <xdr:col>7</xdr:col>
      <xdr:colOff>400050</xdr:colOff>
      <xdr:row>819</xdr:row>
      <xdr:rowOff>28575</xdr:rowOff>
    </xdr:to>
    <xdr:sp macro="" textlink="">
      <xdr:nvSpPr>
        <xdr:cNvPr id="4411" name="Freeform 6">
          <a:extLst>
            <a:ext uri="{FF2B5EF4-FFF2-40B4-BE49-F238E27FC236}">
              <a16:creationId xmlns:a16="http://schemas.microsoft.com/office/drawing/2014/main" id="{00000000-0008-0000-0700-00003B110000}"/>
            </a:ext>
          </a:extLst>
        </xdr:cNvPr>
        <xdr:cNvSpPr>
          <a:spLocks/>
        </xdr:cNvSpPr>
      </xdr:nvSpPr>
      <xdr:spPr bwMode="auto">
        <a:xfrm>
          <a:off x="5276850" y="60550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819</xdr:row>
      <xdr:rowOff>19050</xdr:rowOff>
    </xdr:from>
    <xdr:to>
      <xdr:col>9</xdr:col>
      <xdr:colOff>400050</xdr:colOff>
      <xdr:row>819</xdr:row>
      <xdr:rowOff>28575</xdr:rowOff>
    </xdr:to>
    <xdr:sp macro="" textlink="">
      <xdr:nvSpPr>
        <xdr:cNvPr id="4412" name="Freeform 6">
          <a:extLst>
            <a:ext uri="{FF2B5EF4-FFF2-40B4-BE49-F238E27FC236}">
              <a16:creationId xmlns:a16="http://schemas.microsoft.com/office/drawing/2014/main" id="{00000000-0008-0000-0700-00003C110000}"/>
            </a:ext>
          </a:extLst>
        </xdr:cNvPr>
        <xdr:cNvSpPr>
          <a:spLocks/>
        </xdr:cNvSpPr>
      </xdr:nvSpPr>
      <xdr:spPr bwMode="auto">
        <a:xfrm>
          <a:off x="6505575" y="60550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835</xdr:row>
      <xdr:rowOff>19050</xdr:rowOff>
    </xdr:from>
    <xdr:to>
      <xdr:col>9</xdr:col>
      <xdr:colOff>400050</xdr:colOff>
      <xdr:row>835</xdr:row>
      <xdr:rowOff>28575</xdr:rowOff>
    </xdr:to>
    <xdr:sp macro="" textlink="">
      <xdr:nvSpPr>
        <xdr:cNvPr id="4413" name="Freeform 6">
          <a:extLst>
            <a:ext uri="{FF2B5EF4-FFF2-40B4-BE49-F238E27FC236}">
              <a16:creationId xmlns:a16="http://schemas.microsoft.com/office/drawing/2014/main" id="{00000000-0008-0000-0700-00003D110000}"/>
            </a:ext>
          </a:extLst>
        </xdr:cNvPr>
        <xdr:cNvSpPr>
          <a:spLocks/>
        </xdr:cNvSpPr>
      </xdr:nvSpPr>
      <xdr:spPr bwMode="auto">
        <a:xfrm>
          <a:off x="6505575" y="627792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843</xdr:row>
      <xdr:rowOff>19050</xdr:rowOff>
    </xdr:from>
    <xdr:to>
      <xdr:col>7</xdr:col>
      <xdr:colOff>400050</xdr:colOff>
      <xdr:row>843</xdr:row>
      <xdr:rowOff>28575</xdr:rowOff>
    </xdr:to>
    <xdr:sp macro="" textlink="">
      <xdr:nvSpPr>
        <xdr:cNvPr id="4414" name="Freeform 6">
          <a:extLst>
            <a:ext uri="{FF2B5EF4-FFF2-40B4-BE49-F238E27FC236}">
              <a16:creationId xmlns:a16="http://schemas.microsoft.com/office/drawing/2014/main" id="{00000000-0008-0000-0700-00003E110000}"/>
            </a:ext>
          </a:extLst>
        </xdr:cNvPr>
        <xdr:cNvSpPr>
          <a:spLocks/>
        </xdr:cNvSpPr>
      </xdr:nvSpPr>
      <xdr:spPr bwMode="auto">
        <a:xfrm>
          <a:off x="5276850" y="637698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843</xdr:row>
      <xdr:rowOff>19050</xdr:rowOff>
    </xdr:from>
    <xdr:to>
      <xdr:col>9</xdr:col>
      <xdr:colOff>400050</xdr:colOff>
      <xdr:row>843</xdr:row>
      <xdr:rowOff>28575</xdr:rowOff>
    </xdr:to>
    <xdr:sp macro="" textlink="">
      <xdr:nvSpPr>
        <xdr:cNvPr id="4415" name="Freeform 6">
          <a:extLst>
            <a:ext uri="{FF2B5EF4-FFF2-40B4-BE49-F238E27FC236}">
              <a16:creationId xmlns:a16="http://schemas.microsoft.com/office/drawing/2014/main" id="{00000000-0008-0000-0700-00003F110000}"/>
            </a:ext>
          </a:extLst>
        </xdr:cNvPr>
        <xdr:cNvSpPr>
          <a:spLocks/>
        </xdr:cNvSpPr>
      </xdr:nvSpPr>
      <xdr:spPr bwMode="auto">
        <a:xfrm>
          <a:off x="6505575" y="637698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965</xdr:row>
      <xdr:rowOff>19050</xdr:rowOff>
    </xdr:from>
    <xdr:to>
      <xdr:col>7</xdr:col>
      <xdr:colOff>400050</xdr:colOff>
      <xdr:row>965</xdr:row>
      <xdr:rowOff>28575</xdr:rowOff>
    </xdr:to>
    <xdr:sp macro="" textlink="">
      <xdr:nvSpPr>
        <xdr:cNvPr id="4418" name="Freeform 6">
          <a:extLst>
            <a:ext uri="{FF2B5EF4-FFF2-40B4-BE49-F238E27FC236}">
              <a16:creationId xmlns:a16="http://schemas.microsoft.com/office/drawing/2014/main" id="{00000000-0008-0000-0700-000042110000}"/>
            </a:ext>
          </a:extLst>
        </xdr:cNvPr>
        <xdr:cNvSpPr>
          <a:spLocks/>
        </xdr:cNvSpPr>
      </xdr:nvSpPr>
      <xdr:spPr bwMode="auto">
        <a:xfrm>
          <a:off x="5276850" y="721899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965</xdr:row>
      <xdr:rowOff>19050</xdr:rowOff>
    </xdr:from>
    <xdr:to>
      <xdr:col>9</xdr:col>
      <xdr:colOff>400050</xdr:colOff>
      <xdr:row>965</xdr:row>
      <xdr:rowOff>28575</xdr:rowOff>
    </xdr:to>
    <xdr:sp macro="" textlink="">
      <xdr:nvSpPr>
        <xdr:cNvPr id="4419" name="Freeform 6">
          <a:extLst>
            <a:ext uri="{FF2B5EF4-FFF2-40B4-BE49-F238E27FC236}">
              <a16:creationId xmlns:a16="http://schemas.microsoft.com/office/drawing/2014/main" id="{00000000-0008-0000-0700-000043110000}"/>
            </a:ext>
          </a:extLst>
        </xdr:cNvPr>
        <xdr:cNvSpPr>
          <a:spLocks/>
        </xdr:cNvSpPr>
      </xdr:nvSpPr>
      <xdr:spPr bwMode="auto">
        <a:xfrm>
          <a:off x="6505575" y="721899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113</xdr:row>
      <xdr:rowOff>19050</xdr:rowOff>
    </xdr:from>
    <xdr:to>
      <xdr:col>7</xdr:col>
      <xdr:colOff>400050</xdr:colOff>
      <xdr:row>113</xdr:row>
      <xdr:rowOff>28575</xdr:rowOff>
    </xdr:to>
    <xdr:sp macro="" textlink="">
      <xdr:nvSpPr>
        <xdr:cNvPr id="4420" name="Freeform 6">
          <a:extLst>
            <a:ext uri="{FF2B5EF4-FFF2-40B4-BE49-F238E27FC236}">
              <a16:creationId xmlns:a16="http://schemas.microsoft.com/office/drawing/2014/main" id="{00000000-0008-0000-0700-000044110000}"/>
            </a:ext>
          </a:extLst>
        </xdr:cNvPr>
        <xdr:cNvSpPr>
          <a:spLocks/>
        </xdr:cNvSpPr>
      </xdr:nvSpPr>
      <xdr:spPr bwMode="auto">
        <a:xfrm>
          <a:off x="5276850" y="13306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115</xdr:row>
      <xdr:rowOff>9525</xdr:rowOff>
    </xdr:from>
    <xdr:to>
      <xdr:col>9</xdr:col>
      <xdr:colOff>209550</xdr:colOff>
      <xdr:row>115</xdr:row>
      <xdr:rowOff>9525</xdr:rowOff>
    </xdr:to>
    <xdr:sp macro="" textlink="">
      <xdr:nvSpPr>
        <xdr:cNvPr id="4421" name="Line 5">
          <a:extLst>
            <a:ext uri="{FF2B5EF4-FFF2-40B4-BE49-F238E27FC236}">
              <a16:creationId xmlns:a16="http://schemas.microsoft.com/office/drawing/2014/main" id="{00000000-0008-0000-0700-000045110000}"/>
            </a:ext>
          </a:extLst>
        </xdr:cNvPr>
        <xdr:cNvSpPr>
          <a:spLocks noChangeShapeType="1"/>
        </xdr:cNvSpPr>
      </xdr:nvSpPr>
      <xdr:spPr bwMode="auto">
        <a:xfrm>
          <a:off x="6419850" y="135445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209550</xdr:colOff>
      <xdr:row>21</xdr:row>
      <xdr:rowOff>28575</xdr:rowOff>
    </xdr:from>
    <xdr:to>
      <xdr:col>9</xdr:col>
      <xdr:colOff>419100</xdr:colOff>
      <xdr:row>21</xdr:row>
      <xdr:rowOff>38100</xdr:rowOff>
    </xdr:to>
    <xdr:sp macro="" textlink="">
      <xdr:nvSpPr>
        <xdr:cNvPr id="4423" name="Freeform 6">
          <a:extLst>
            <a:ext uri="{FF2B5EF4-FFF2-40B4-BE49-F238E27FC236}">
              <a16:creationId xmlns:a16="http://schemas.microsoft.com/office/drawing/2014/main" id="{00000000-0008-0000-0700-000047110000}"/>
            </a:ext>
          </a:extLst>
        </xdr:cNvPr>
        <xdr:cNvSpPr>
          <a:spLocks/>
        </xdr:cNvSpPr>
      </xdr:nvSpPr>
      <xdr:spPr bwMode="auto">
        <a:xfrm>
          <a:off x="6524625" y="34099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19</xdr:row>
      <xdr:rowOff>9525</xdr:rowOff>
    </xdr:from>
    <xdr:to>
      <xdr:col>9</xdr:col>
      <xdr:colOff>400050</xdr:colOff>
      <xdr:row>19</xdr:row>
      <xdr:rowOff>19050</xdr:rowOff>
    </xdr:to>
    <xdr:sp macro="" textlink="">
      <xdr:nvSpPr>
        <xdr:cNvPr id="4424" name="Freeform 6">
          <a:extLst>
            <a:ext uri="{FF2B5EF4-FFF2-40B4-BE49-F238E27FC236}">
              <a16:creationId xmlns:a16="http://schemas.microsoft.com/office/drawing/2014/main" id="{00000000-0008-0000-0700-000048110000}"/>
            </a:ext>
          </a:extLst>
        </xdr:cNvPr>
        <xdr:cNvSpPr>
          <a:spLocks/>
        </xdr:cNvSpPr>
      </xdr:nvSpPr>
      <xdr:spPr bwMode="auto">
        <a:xfrm>
          <a:off x="6505575" y="314325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23</xdr:row>
      <xdr:rowOff>9525</xdr:rowOff>
    </xdr:from>
    <xdr:to>
      <xdr:col>9</xdr:col>
      <xdr:colOff>400050</xdr:colOff>
      <xdr:row>23</xdr:row>
      <xdr:rowOff>19050</xdr:rowOff>
    </xdr:to>
    <xdr:sp macro="" textlink="">
      <xdr:nvSpPr>
        <xdr:cNvPr id="4425" name="Freeform 6">
          <a:extLst>
            <a:ext uri="{FF2B5EF4-FFF2-40B4-BE49-F238E27FC236}">
              <a16:creationId xmlns:a16="http://schemas.microsoft.com/office/drawing/2014/main" id="{00000000-0008-0000-0700-000049110000}"/>
            </a:ext>
          </a:extLst>
        </xdr:cNvPr>
        <xdr:cNvSpPr>
          <a:spLocks/>
        </xdr:cNvSpPr>
      </xdr:nvSpPr>
      <xdr:spPr bwMode="auto">
        <a:xfrm>
          <a:off x="6505575" y="388620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57</xdr:row>
      <xdr:rowOff>9525</xdr:rowOff>
    </xdr:from>
    <xdr:to>
      <xdr:col>9</xdr:col>
      <xdr:colOff>400050</xdr:colOff>
      <xdr:row>57</xdr:row>
      <xdr:rowOff>19050</xdr:rowOff>
    </xdr:to>
    <xdr:sp macro="" textlink="">
      <xdr:nvSpPr>
        <xdr:cNvPr id="4426" name="Freeform 6">
          <a:extLst>
            <a:ext uri="{FF2B5EF4-FFF2-40B4-BE49-F238E27FC236}">
              <a16:creationId xmlns:a16="http://schemas.microsoft.com/office/drawing/2014/main" id="{00000000-0008-0000-0700-00004A110000}"/>
            </a:ext>
          </a:extLst>
        </xdr:cNvPr>
        <xdr:cNvSpPr>
          <a:spLocks/>
        </xdr:cNvSpPr>
      </xdr:nvSpPr>
      <xdr:spPr bwMode="auto">
        <a:xfrm>
          <a:off x="6505575" y="784860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113</xdr:row>
      <xdr:rowOff>19050</xdr:rowOff>
    </xdr:from>
    <xdr:to>
      <xdr:col>9</xdr:col>
      <xdr:colOff>400050</xdr:colOff>
      <xdr:row>113</xdr:row>
      <xdr:rowOff>28575</xdr:rowOff>
    </xdr:to>
    <xdr:sp macro="" textlink="">
      <xdr:nvSpPr>
        <xdr:cNvPr id="4427" name="Freeform 6">
          <a:extLst>
            <a:ext uri="{FF2B5EF4-FFF2-40B4-BE49-F238E27FC236}">
              <a16:creationId xmlns:a16="http://schemas.microsoft.com/office/drawing/2014/main" id="{00000000-0008-0000-0700-00004B110000}"/>
            </a:ext>
          </a:extLst>
        </xdr:cNvPr>
        <xdr:cNvSpPr>
          <a:spLocks/>
        </xdr:cNvSpPr>
      </xdr:nvSpPr>
      <xdr:spPr bwMode="auto">
        <a:xfrm>
          <a:off x="6505575" y="13306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563</xdr:row>
      <xdr:rowOff>19050</xdr:rowOff>
    </xdr:from>
    <xdr:to>
      <xdr:col>9</xdr:col>
      <xdr:colOff>400050</xdr:colOff>
      <xdr:row>563</xdr:row>
      <xdr:rowOff>28575</xdr:rowOff>
    </xdr:to>
    <xdr:sp macro="" textlink="">
      <xdr:nvSpPr>
        <xdr:cNvPr id="4428" name="Freeform 6">
          <a:extLst>
            <a:ext uri="{FF2B5EF4-FFF2-40B4-BE49-F238E27FC236}">
              <a16:creationId xmlns:a16="http://schemas.microsoft.com/office/drawing/2014/main" id="{00000000-0008-0000-0700-00004C110000}"/>
            </a:ext>
          </a:extLst>
        </xdr:cNvPr>
        <xdr:cNvSpPr>
          <a:spLocks/>
        </xdr:cNvSpPr>
      </xdr:nvSpPr>
      <xdr:spPr bwMode="auto">
        <a:xfrm>
          <a:off x="6505575" y="435197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481</xdr:row>
      <xdr:rowOff>19050</xdr:rowOff>
    </xdr:from>
    <xdr:to>
      <xdr:col>9</xdr:col>
      <xdr:colOff>400050</xdr:colOff>
      <xdr:row>481</xdr:row>
      <xdr:rowOff>28575</xdr:rowOff>
    </xdr:to>
    <xdr:sp macro="" textlink="">
      <xdr:nvSpPr>
        <xdr:cNvPr id="4431" name="Freeform 6">
          <a:extLst>
            <a:ext uri="{FF2B5EF4-FFF2-40B4-BE49-F238E27FC236}">
              <a16:creationId xmlns:a16="http://schemas.microsoft.com/office/drawing/2014/main" id="{00000000-0008-0000-0700-00004F110000}"/>
            </a:ext>
          </a:extLst>
        </xdr:cNvPr>
        <xdr:cNvSpPr>
          <a:spLocks/>
        </xdr:cNvSpPr>
      </xdr:nvSpPr>
      <xdr:spPr bwMode="auto">
        <a:xfrm>
          <a:off x="6505575" y="390620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63</xdr:row>
      <xdr:rowOff>9525</xdr:rowOff>
    </xdr:from>
    <xdr:to>
      <xdr:col>7</xdr:col>
      <xdr:colOff>400050</xdr:colOff>
      <xdr:row>63</xdr:row>
      <xdr:rowOff>19050</xdr:rowOff>
    </xdr:to>
    <xdr:sp macro="" textlink="">
      <xdr:nvSpPr>
        <xdr:cNvPr id="28" name="Freeform 6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/>
        </xdr:cNvSpPr>
      </xdr:nvSpPr>
      <xdr:spPr bwMode="auto">
        <a:xfrm>
          <a:off x="6667500" y="7602855"/>
          <a:ext cx="205740" cy="381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111</xdr:row>
      <xdr:rowOff>19050</xdr:rowOff>
    </xdr:from>
    <xdr:to>
      <xdr:col>7</xdr:col>
      <xdr:colOff>400050</xdr:colOff>
      <xdr:row>111</xdr:row>
      <xdr:rowOff>28575</xdr:rowOff>
    </xdr:to>
    <xdr:sp macro="" textlink="">
      <xdr:nvSpPr>
        <xdr:cNvPr id="29" name="Freeform 6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/>
        </xdr:cNvSpPr>
      </xdr:nvSpPr>
      <xdr:spPr bwMode="auto">
        <a:xfrm>
          <a:off x="5400675" y="140455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131</xdr:row>
      <xdr:rowOff>19050</xdr:rowOff>
    </xdr:from>
    <xdr:to>
      <xdr:col>9</xdr:col>
      <xdr:colOff>400050</xdr:colOff>
      <xdr:row>131</xdr:row>
      <xdr:rowOff>28575</xdr:rowOff>
    </xdr:to>
    <xdr:sp macro="" textlink="">
      <xdr:nvSpPr>
        <xdr:cNvPr id="30" name="Freeform 6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/>
        </xdr:cNvSpPr>
      </xdr:nvSpPr>
      <xdr:spPr bwMode="auto">
        <a:xfrm>
          <a:off x="6667500" y="140455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327</xdr:row>
      <xdr:rowOff>19050</xdr:rowOff>
    </xdr:from>
    <xdr:to>
      <xdr:col>7</xdr:col>
      <xdr:colOff>400050</xdr:colOff>
      <xdr:row>327</xdr:row>
      <xdr:rowOff>28575</xdr:rowOff>
    </xdr:to>
    <xdr:sp macro="" textlink="">
      <xdr:nvSpPr>
        <xdr:cNvPr id="31" name="Freeform 6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>
          <a:spLocks/>
        </xdr:cNvSpPr>
      </xdr:nvSpPr>
      <xdr:spPr bwMode="auto">
        <a:xfrm>
          <a:off x="6667500" y="21970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329</xdr:row>
      <xdr:rowOff>19050</xdr:rowOff>
    </xdr:from>
    <xdr:to>
      <xdr:col>7</xdr:col>
      <xdr:colOff>400050</xdr:colOff>
      <xdr:row>329</xdr:row>
      <xdr:rowOff>28575</xdr:rowOff>
    </xdr:to>
    <xdr:sp macro="" textlink="">
      <xdr:nvSpPr>
        <xdr:cNvPr id="32" name="Freeform 6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/>
        </xdr:cNvSpPr>
      </xdr:nvSpPr>
      <xdr:spPr bwMode="auto">
        <a:xfrm>
          <a:off x="6667500" y="21970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333</xdr:row>
      <xdr:rowOff>19050</xdr:rowOff>
    </xdr:from>
    <xdr:to>
      <xdr:col>7</xdr:col>
      <xdr:colOff>400050</xdr:colOff>
      <xdr:row>333</xdr:row>
      <xdr:rowOff>28575</xdr:rowOff>
    </xdr:to>
    <xdr:sp macro="" textlink="">
      <xdr:nvSpPr>
        <xdr:cNvPr id="35" name="Freeform 6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/>
        </xdr:cNvSpPr>
      </xdr:nvSpPr>
      <xdr:spPr bwMode="auto">
        <a:xfrm>
          <a:off x="6667500" y="21970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335</xdr:row>
      <xdr:rowOff>19050</xdr:rowOff>
    </xdr:from>
    <xdr:to>
      <xdr:col>7</xdr:col>
      <xdr:colOff>400050</xdr:colOff>
      <xdr:row>335</xdr:row>
      <xdr:rowOff>28575</xdr:rowOff>
    </xdr:to>
    <xdr:sp macro="" textlink="">
      <xdr:nvSpPr>
        <xdr:cNvPr id="36" name="Freeform 6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/>
        </xdr:cNvSpPr>
      </xdr:nvSpPr>
      <xdr:spPr bwMode="auto">
        <a:xfrm>
          <a:off x="6667500" y="21970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401</xdr:row>
      <xdr:rowOff>19050</xdr:rowOff>
    </xdr:from>
    <xdr:to>
      <xdr:col>7</xdr:col>
      <xdr:colOff>400050</xdr:colOff>
      <xdr:row>401</xdr:row>
      <xdr:rowOff>28575</xdr:rowOff>
    </xdr:to>
    <xdr:sp macro="" textlink="">
      <xdr:nvSpPr>
        <xdr:cNvPr id="39" name="Freeform 6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/>
        </xdr:cNvSpPr>
      </xdr:nvSpPr>
      <xdr:spPr bwMode="auto">
        <a:xfrm>
          <a:off x="6667500" y="21970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421</xdr:row>
      <xdr:rowOff>19050</xdr:rowOff>
    </xdr:from>
    <xdr:to>
      <xdr:col>9</xdr:col>
      <xdr:colOff>400050</xdr:colOff>
      <xdr:row>421</xdr:row>
      <xdr:rowOff>28575</xdr:rowOff>
    </xdr:to>
    <xdr:sp macro="" textlink="">
      <xdr:nvSpPr>
        <xdr:cNvPr id="40" name="Freeform 6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423</xdr:row>
      <xdr:rowOff>19050</xdr:rowOff>
    </xdr:from>
    <xdr:to>
      <xdr:col>9</xdr:col>
      <xdr:colOff>400050</xdr:colOff>
      <xdr:row>423</xdr:row>
      <xdr:rowOff>28575</xdr:rowOff>
    </xdr:to>
    <xdr:sp macro="" textlink="">
      <xdr:nvSpPr>
        <xdr:cNvPr id="42" name="Freeform 6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431</xdr:row>
      <xdr:rowOff>19050</xdr:rowOff>
    </xdr:from>
    <xdr:to>
      <xdr:col>7</xdr:col>
      <xdr:colOff>400050</xdr:colOff>
      <xdr:row>431</xdr:row>
      <xdr:rowOff>28575</xdr:rowOff>
    </xdr:to>
    <xdr:sp macro="" textlink="">
      <xdr:nvSpPr>
        <xdr:cNvPr id="44" name="Freeform 6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437</xdr:row>
      <xdr:rowOff>19050</xdr:rowOff>
    </xdr:from>
    <xdr:to>
      <xdr:col>7</xdr:col>
      <xdr:colOff>400050</xdr:colOff>
      <xdr:row>437</xdr:row>
      <xdr:rowOff>28575</xdr:rowOff>
    </xdr:to>
    <xdr:sp macro="" textlink="">
      <xdr:nvSpPr>
        <xdr:cNvPr id="46" name="Freeform 6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441</xdr:row>
      <xdr:rowOff>19050</xdr:rowOff>
    </xdr:from>
    <xdr:to>
      <xdr:col>7</xdr:col>
      <xdr:colOff>400050</xdr:colOff>
      <xdr:row>441</xdr:row>
      <xdr:rowOff>28575</xdr:rowOff>
    </xdr:to>
    <xdr:sp macro="" textlink="">
      <xdr:nvSpPr>
        <xdr:cNvPr id="47" name="Freeform 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443</xdr:row>
      <xdr:rowOff>19050</xdr:rowOff>
    </xdr:from>
    <xdr:to>
      <xdr:col>7</xdr:col>
      <xdr:colOff>400050</xdr:colOff>
      <xdr:row>443</xdr:row>
      <xdr:rowOff>28575</xdr:rowOff>
    </xdr:to>
    <xdr:sp macro="" textlink="">
      <xdr:nvSpPr>
        <xdr:cNvPr id="48" name="Freeform 6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447</xdr:row>
      <xdr:rowOff>19050</xdr:rowOff>
    </xdr:from>
    <xdr:to>
      <xdr:col>7</xdr:col>
      <xdr:colOff>400050</xdr:colOff>
      <xdr:row>447</xdr:row>
      <xdr:rowOff>28575</xdr:rowOff>
    </xdr:to>
    <xdr:sp macro="" textlink="">
      <xdr:nvSpPr>
        <xdr:cNvPr id="49" name="Freeform 6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>
          <a:spLocks/>
        </xdr:cNvSpPr>
      </xdr:nvSpPr>
      <xdr:spPr bwMode="auto">
        <a:xfrm>
          <a:off x="5400675" y="3658171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505</xdr:row>
      <xdr:rowOff>19050</xdr:rowOff>
    </xdr:from>
    <xdr:to>
      <xdr:col>7</xdr:col>
      <xdr:colOff>400050</xdr:colOff>
      <xdr:row>505</xdr:row>
      <xdr:rowOff>28575</xdr:rowOff>
    </xdr:to>
    <xdr:sp macro="" textlink="">
      <xdr:nvSpPr>
        <xdr:cNvPr id="51" name="Freeform 6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>
          <a:spLocks/>
        </xdr:cNvSpPr>
      </xdr:nvSpPr>
      <xdr:spPr bwMode="auto">
        <a:xfrm>
          <a:off x="6667500" y="46735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507</xdr:row>
      <xdr:rowOff>19050</xdr:rowOff>
    </xdr:from>
    <xdr:to>
      <xdr:col>7</xdr:col>
      <xdr:colOff>400050</xdr:colOff>
      <xdr:row>507</xdr:row>
      <xdr:rowOff>28575</xdr:rowOff>
    </xdr:to>
    <xdr:sp macro="" textlink="">
      <xdr:nvSpPr>
        <xdr:cNvPr id="52" name="Freeform 6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>
          <a:spLocks/>
        </xdr:cNvSpPr>
      </xdr:nvSpPr>
      <xdr:spPr bwMode="auto">
        <a:xfrm>
          <a:off x="6667500" y="46735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509</xdr:row>
      <xdr:rowOff>19050</xdr:rowOff>
    </xdr:from>
    <xdr:to>
      <xdr:col>7</xdr:col>
      <xdr:colOff>400050</xdr:colOff>
      <xdr:row>509</xdr:row>
      <xdr:rowOff>28575</xdr:rowOff>
    </xdr:to>
    <xdr:sp macro="" textlink="">
      <xdr:nvSpPr>
        <xdr:cNvPr id="53" name="Freeform 6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>
          <a:spLocks/>
        </xdr:cNvSpPr>
      </xdr:nvSpPr>
      <xdr:spPr bwMode="auto">
        <a:xfrm>
          <a:off x="6667500" y="46735365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337</xdr:row>
      <xdr:rowOff>19050</xdr:rowOff>
    </xdr:from>
    <xdr:to>
      <xdr:col>7</xdr:col>
      <xdr:colOff>400050</xdr:colOff>
      <xdr:row>337</xdr:row>
      <xdr:rowOff>28575</xdr:rowOff>
    </xdr:to>
    <xdr:sp macro="" textlink="">
      <xdr:nvSpPr>
        <xdr:cNvPr id="3" name="Freeform 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/>
        </xdr:cNvSpPr>
      </xdr:nvSpPr>
      <xdr:spPr bwMode="auto">
        <a:xfrm>
          <a:off x="5257800" y="30984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0</xdr:rowOff>
    </xdr:from>
    <xdr:to>
      <xdr:col>1</xdr:col>
      <xdr:colOff>742950</xdr:colOff>
      <xdr:row>5</xdr:row>
      <xdr:rowOff>15240</xdr:rowOff>
    </xdr:to>
    <xdr:pic>
      <xdr:nvPicPr>
        <xdr:cNvPr id="5156" name="Picture 1">
          <a:extLst>
            <a:ext uri="{FF2B5EF4-FFF2-40B4-BE49-F238E27FC236}">
              <a16:creationId xmlns:a16="http://schemas.microsoft.com/office/drawing/2014/main" id="{00000000-0008-0000-08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19050</xdr:rowOff>
    </xdr:from>
    <xdr:to>
      <xdr:col>11</xdr:col>
      <xdr:colOff>51435</xdr:colOff>
      <xdr:row>5</xdr:row>
      <xdr:rowOff>38100</xdr:rowOff>
    </xdr:to>
    <xdr:pic>
      <xdr:nvPicPr>
        <xdr:cNvPr id="5157" name="Picture 2">
          <a:extLst>
            <a:ext uri="{FF2B5EF4-FFF2-40B4-BE49-F238E27FC236}">
              <a16:creationId xmlns:a16="http://schemas.microsoft.com/office/drawing/2014/main" id="{00000000-0008-0000-0800-00002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32385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19050</xdr:rowOff>
    </xdr:from>
    <xdr:to>
      <xdr:col>1</xdr:col>
      <xdr:colOff>762000</xdr:colOff>
      <xdr:row>5</xdr:row>
      <xdr:rowOff>57150</xdr:rowOff>
    </xdr:to>
    <xdr:pic>
      <xdr:nvPicPr>
        <xdr:cNvPr id="6352" name="Picture 1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23850"/>
          <a:ext cx="7429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80010</xdr:colOff>
      <xdr:row>5</xdr:row>
      <xdr:rowOff>17145</xdr:rowOff>
    </xdr:to>
    <xdr:pic>
      <xdr:nvPicPr>
        <xdr:cNvPr id="6353" name="Picture 2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304800"/>
          <a:ext cx="7429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89</xdr:row>
      <xdr:rowOff>0</xdr:rowOff>
    </xdr:from>
    <xdr:to>
      <xdr:col>6</xdr:col>
      <xdr:colOff>314325</xdr:colOff>
      <xdr:row>89</xdr:row>
      <xdr:rowOff>9525</xdr:rowOff>
    </xdr:to>
    <xdr:sp macro="" textlink="">
      <xdr:nvSpPr>
        <xdr:cNvPr id="6354" name="Freeform 9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SpPr>
          <a:spLocks/>
        </xdr:cNvSpPr>
      </xdr:nvSpPr>
      <xdr:spPr bwMode="auto">
        <a:xfrm>
          <a:off x="4743450" y="127920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91</xdr:row>
      <xdr:rowOff>0</xdr:rowOff>
    </xdr:from>
    <xdr:to>
      <xdr:col>6</xdr:col>
      <xdr:colOff>314325</xdr:colOff>
      <xdr:row>91</xdr:row>
      <xdr:rowOff>9525</xdr:rowOff>
    </xdr:to>
    <xdr:sp macro="" textlink="">
      <xdr:nvSpPr>
        <xdr:cNvPr id="6355" name="Freeform 10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/>
        </xdr:cNvSpPr>
      </xdr:nvSpPr>
      <xdr:spPr bwMode="auto">
        <a:xfrm>
          <a:off x="4743450" y="130397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317</xdr:row>
      <xdr:rowOff>9525</xdr:rowOff>
    </xdr:from>
    <xdr:to>
      <xdr:col>9</xdr:col>
      <xdr:colOff>209550</xdr:colOff>
      <xdr:row>317</xdr:row>
      <xdr:rowOff>9525</xdr:rowOff>
    </xdr:to>
    <xdr:sp macro="" textlink="">
      <xdr:nvSpPr>
        <xdr:cNvPr id="6356" name="Line 14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ShapeType="1"/>
        </xdr:cNvSpPr>
      </xdr:nvSpPr>
      <xdr:spPr bwMode="auto">
        <a:xfrm>
          <a:off x="6419850" y="348424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104775</xdr:colOff>
      <xdr:row>87</xdr:row>
      <xdr:rowOff>0</xdr:rowOff>
    </xdr:from>
    <xdr:to>
      <xdr:col>6</xdr:col>
      <xdr:colOff>314325</xdr:colOff>
      <xdr:row>87</xdr:row>
      <xdr:rowOff>9525</xdr:rowOff>
    </xdr:to>
    <xdr:sp macro="" textlink="">
      <xdr:nvSpPr>
        <xdr:cNvPr id="6357" name="Freeform 6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/>
        </xdr:cNvSpPr>
      </xdr:nvSpPr>
      <xdr:spPr bwMode="auto">
        <a:xfrm>
          <a:off x="4743450" y="122967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99</xdr:row>
      <xdr:rowOff>0</xdr:rowOff>
    </xdr:from>
    <xdr:to>
      <xdr:col>6</xdr:col>
      <xdr:colOff>314325</xdr:colOff>
      <xdr:row>99</xdr:row>
      <xdr:rowOff>9525</xdr:rowOff>
    </xdr:to>
    <xdr:sp macro="" textlink="">
      <xdr:nvSpPr>
        <xdr:cNvPr id="6358" name="Freeform 10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SpPr>
          <a:spLocks/>
        </xdr:cNvSpPr>
      </xdr:nvSpPr>
      <xdr:spPr bwMode="auto">
        <a:xfrm>
          <a:off x="4743450" y="135350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85</xdr:row>
      <xdr:rowOff>0</xdr:rowOff>
    </xdr:from>
    <xdr:to>
      <xdr:col>6</xdr:col>
      <xdr:colOff>314325</xdr:colOff>
      <xdr:row>85</xdr:row>
      <xdr:rowOff>9525</xdr:rowOff>
    </xdr:to>
    <xdr:sp macro="" textlink="">
      <xdr:nvSpPr>
        <xdr:cNvPr id="6359" name="Freeform 6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SpPr>
          <a:spLocks/>
        </xdr:cNvSpPr>
      </xdr:nvSpPr>
      <xdr:spPr bwMode="auto">
        <a:xfrm>
          <a:off x="4743450" y="120491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83</xdr:row>
      <xdr:rowOff>0</xdr:rowOff>
    </xdr:from>
    <xdr:to>
      <xdr:col>6</xdr:col>
      <xdr:colOff>314325</xdr:colOff>
      <xdr:row>83</xdr:row>
      <xdr:rowOff>9525</xdr:rowOff>
    </xdr:to>
    <xdr:sp macro="" textlink="">
      <xdr:nvSpPr>
        <xdr:cNvPr id="6360" name="Freeform 6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SpPr>
          <a:spLocks/>
        </xdr:cNvSpPr>
      </xdr:nvSpPr>
      <xdr:spPr bwMode="auto">
        <a:xfrm>
          <a:off x="4743450" y="118014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228600</xdr:colOff>
      <xdr:row>271</xdr:row>
      <xdr:rowOff>0</xdr:rowOff>
    </xdr:from>
    <xdr:to>
      <xdr:col>9</xdr:col>
      <xdr:colOff>438150</xdr:colOff>
      <xdr:row>271</xdr:row>
      <xdr:rowOff>9525</xdr:rowOff>
    </xdr:to>
    <xdr:sp macro="" textlink="">
      <xdr:nvSpPr>
        <xdr:cNvPr id="6362" name="Freeform 6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/>
        </xdr:cNvSpPr>
      </xdr:nvSpPr>
      <xdr:spPr bwMode="auto">
        <a:xfrm>
          <a:off x="6543675" y="31365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228600</xdr:colOff>
      <xdr:row>275</xdr:row>
      <xdr:rowOff>0</xdr:rowOff>
    </xdr:from>
    <xdr:to>
      <xdr:col>9</xdr:col>
      <xdr:colOff>438150</xdr:colOff>
      <xdr:row>275</xdr:row>
      <xdr:rowOff>9525</xdr:rowOff>
    </xdr:to>
    <xdr:sp macro="" textlink="">
      <xdr:nvSpPr>
        <xdr:cNvPr id="6363" name="Freeform 6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/>
        </xdr:cNvSpPr>
      </xdr:nvSpPr>
      <xdr:spPr bwMode="auto">
        <a:xfrm>
          <a:off x="6543675" y="318611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79</xdr:row>
      <xdr:rowOff>0</xdr:rowOff>
    </xdr:from>
    <xdr:to>
      <xdr:col>6</xdr:col>
      <xdr:colOff>314325</xdr:colOff>
      <xdr:row>79</xdr:row>
      <xdr:rowOff>9525</xdr:rowOff>
    </xdr:to>
    <xdr:sp macro="" textlink="">
      <xdr:nvSpPr>
        <xdr:cNvPr id="6364" name="Freeform 6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/>
        </xdr:cNvSpPr>
      </xdr:nvSpPr>
      <xdr:spPr bwMode="auto">
        <a:xfrm>
          <a:off x="4743450" y="11306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209550</xdr:colOff>
      <xdr:row>79</xdr:row>
      <xdr:rowOff>0</xdr:rowOff>
    </xdr:from>
    <xdr:to>
      <xdr:col>7</xdr:col>
      <xdr:colOff>419100</xdr:colOff>
      <xdr:row>79</xdr:row>
      <xdr:rowOff>9525</xdr:rowOff>
    </xdr:to>
    <xdr:sp macro="" textlink="">
      <xdr:nvSpPr>
        <xdr:cNvPr id="6365" name="Freeform 6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SpPr>
          <a:spLocks/>
        </xdr:cNvSpPr>
      </xdr:nvSpPr>
      <xdr:spPr bwMode="auto">
        <a:xfrm>
          <a:off x="5295900" y="11306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209550</xdr:colOff>
      <xdr:row>79</xdr:row>
      <xdr:rowOff>0</xdr:rowOff>
    </xdr:from>
    <xdr:to>
      <xdr:col>9</xdr:col>
      <xdr:colOff>419100</xdr:colOff>
      <xdr:row>79</xdr:row>
      <xdr:rowOff>9525</xdr:rowOff>
    </xdr:to>
    <xdr:sp macro="" textlink="">
      <xdr:nvSpPr>
        <xdr:cNvPr id="6366" name="Freeform 6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SpPr>
          <a:spLocks/>
        </xdr:cNvSpPr>
      </xdr:nvSpPr>
      <xdr:spPr bwMode="auto">
        <a:xfrm>
          <a:off x="6524625" y="11306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209550</xdr:colOff>
      <xdr:row>79</xdr:row>
      <xdr:rowOff>0</xdr:rowOff>
    </xdr:from>
    <xdr:to>
      <xdr:col>8</xdr:col>
      <xdr:colOff>419100</xdr:colOff>
      <xdr:row>79</xdr:row>
      <xdr:rowOff>9525</xdr:rowOff>
    </xdr:to>
    <xdr:sp macro="" textlink="">
      <xdr:nvSpPr>
        <xdr:cNvPr id="6367" name="Freeform 6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SpPr>
          <a:spLocks/>
        </xdr:cNvSpPr>
      </xdr:nvSpPr>
      <xdr:spPr bwMode="auto">
        <a:xfrm>
          <a:off x="5915025" y="11306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95</xdr:row>
      <xdr:rowOff>0</xdr:rowOff>
    </xdr:from>
    <xdr:to>
      <xdr:col>6</xdr:col>
      <xdr:colOff>314325</xdr:colOff>
      <xdr:row>95</xdr:row>
      <xdr:rowOff>9525</xdr:rowOff>
    </xdr:to>
    <xdr:sp macro="" textlink="">
      <xdr:nvSpPr>
        <xdr:cNvPr id="6368" name="Freeform 10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SpPr>
          <a:spLocks/>
        </xdr:cNvSpPr>
      </xdr:nvSpPr>
      <xdr:spPr bwMode="auto">
        <a:xfrm>
          <a:off x="4743450" y="132873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81</xdr:row>
      <xdr:rowOff>0</xdr:rowOff>
    </xdr:from>
    <xdr:to>
      <xdr:col>6</xdr:col>
      <xdr:colOff>314325</xdr:colOff>
      <xdr:row>81</xdr:row>
      <xdr:rowOff>9525</xdr:rowOff>
    </xdr:to>
    <xdr:sp macro="" textlink="">
      <xdr:nvSpPr>
        <xdr:cNvPr id="6369" name="Freeform 6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/>
        </xdr:cNvSpPr>
      </xdr:nvSpPr>
      <xdr:spPr bwMode="auto">
        <a:xfrm>
          <a:off x="4743450" y="11553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81</xdr:row>
      <xdr:rowOff>0</xdr:rowOff>
    </xdr:from>
    <xdr:to>
      <xdr:col>6</xdr:col>
      <xdr:colOff>314325</xdr:colOff>
      <xdr:row>81</xdr:row>
      <xdr:rowOff>9525</xdr:rowOff>
    </xdr:to>
    <xdr:sp macro="" textlink="">
      <xdr:nvSpPr>
        <xdr:cNvPr id="6370" name="Freeform 6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/>
        </xdr:cNvSpPr>
      </xdr:nvSpPr>
      <xdr:spPr bwMode="auto">
        <a:xfrm>
          <a:off x="4743450" y="115538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228600</xdr:colOff>
      <xdr:row>205</xdr:row>
      <xdr:rowOff>0</xdr:rowOff>
    </xdr:from>
    <xdr:to>
      <xdr:col>9</xdr:col>
      <xdr:colOff>438150</xdr:colOff>
      <xdr:row>205</xdr:row>
      <xdr:rowOff>9525</xdr:rowOff>
    </xdr:to>
    <xdr:sp macro="" textlink="">
      <xdr:nvSpPr>
        <xdr:cNvPr id="21" name="Freeform 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/>
        </xdr:cNvSpPr>
      </xdr:nvSpPr>
      <xdr:spPr bwMode="auto">
        <a:xfrm>
          <a:off x="6543675" y="259175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269</xdr:row>
      <xdr:rowOff>0</xdr:rowOff>
    </xdr:from>
    <xdr:to>
      <xdr:col>7</xdr:col>
      <xdr:colOff>438150</xdr:colOff>
      <xdr:row>269</xdr:row>
      <xdr:rowOff>9525</xdr:rowOff>
    </xdr:to>
    <xdr:sp macro="" textlink="">
      <xdr:nvSpPr>
        <xdr:cNvPr id="23" name="Freeform 6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/>
        </xdr:cNvSpPr>
      </xdr:nvSpPr>
      <xdr:spPr bwMode="auto">
        <a:xfrm>
          <a:off x="6724650" y="31127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297</xdr:row>
      <xdr:rowOff>0</xdr:rowOff>
    </xdr:from>
    <xdr:to>
      <xdr:col>7</xdr:col>
      <xdr:colOff>438150</xdr:colOff>
      <xdr:row>297</xdr:row>
      <xdr:rowOff>9525</xdr:rowOff>
    </xdr:to>
    <xdr:sp macro="" textlink="">
      <xdr:nvSpPr>
        <xdr:cNvPr id="24" name="Freeform 6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/>
        </xdr:cNvSpPr>
      </xdr:nvSpPr>
      <xdr:spPr bwMode="auto">
        <a:xfrm>
          <a:off x="5457825" y="304419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299</xdr:row>
      <xdr:rowOff>0</xdr:rowOff>
    </xdr:from>
    <xdr:to>
      <xdr:col>7</xdr:col>
      <xdr:colOff>438150</xdr:colOff>
      <xdr:row>299</xdr:row>
      <xdr:rowOff>9525</xdr:rowOff>
    </xdr:to>
    <xdr:sp macro="" textlink="">
      <xdr:nvSpPr>
        <xdr:cNvPr id="25" name="Freeform 6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/>
        </xdr:cNvSpPr>
      </xdr:nvSpPr>
      <xdr:spPr bwMode="auto">
        <a:xfrm>
          <a:off x="5457825" y="304419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303</xdr:row>
      <xdr:rowOff>0</xdr:rowOff>
    </xdr:from>
    <xdr:to>
      <xdr:col>7</xdr:col>
      <xdr:colOff>438150</xdr:colOff>
      <xdr:row>303</xdr:row>
      <xdr:rowOff>9525</xdr:rowOff>
    </xdr:to>
    <xdr:sp macro="" textlink="">
      <xdr:nvSpPr>
        <xdr:cNvPr id="26" name="Freeform 6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/>
        </xdr:cNvSpPr>
      </xdr:nvSpPr>
      <xdr:spPr bwMode="auto">
        <a:xfrm>
          <a:off x="5457825" y="304419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311</xdr:row>
      <xdr:rowOff>0</xdr:rowOff>
    </xdr:from>
    <xdr:to>
      <xdr:col>7</xdr:col>
      <xdr:colOff>438150</xdr:colOff>
      <xdr:row>311</xdr:row>
      <xdr:rowOff>9525</xdr:rowOff>
    </xdr:to>
    <xdr:sp macro="" textlink="">
      <xdr:nvSpPr>
        <xdr:cNvPr id="28" name="Freeform 6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/>
        </xdr:cNvSpPr>
      </xdr:nvSpPr>
      <xdr:spPr bwMode="auto">
        <a:xfrm>
          <a:off x="5457825" y="304419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337</xdr:row>
      <xdr:rowOff>0</xdr:rowOff>
    </xdr:from>
    <xdr:to>
      <xdr:col>7</xdr:col>
      <xdr:colOff>438150</xdr:colOff>
      <xdr:row>337</xdr:row>
      <xdr:rowOff>9525</xdr:rowOff>
    </xdr:to>
    <xdr:sp macro="" textlink="">
      <xdr:nvSpPr>
        <xdr:cNvPr id="29" name="Freeform 6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341</xdr:row>
      <xdr:rowOff>0</xdr:rowOff>
    </xdr:from>
    <xdr:to>
      <xdr:col>7</xdr:col>
      <xdr:colOff>438150</xdr:colOff>
      <xdr:row>341</xdr:row>
      <xdr:rowOff>9525</xdr:rowOff>
    </xdr:to>
    <xdr:sp macro="" textlink="">
      <xdr:nvSpPr>
        <xdr:cNvPr id="31" name="Freeform 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343</xdr:row>
      <xdr:rowOff>0</xdr:rowOff>
    </xdr:from>
    <xdr:to>
      <xdr:col>7</xdr:col>
      <xdr:colOff>438150</xdr:colOff>
      <xdr:row>343</xdr:row>
      <xdr:rowOff>9525</xdr:rowOff>
    </xdr:to>
    <xdr:sp macro="" textlink="">
      <xdr:nvSpPr>
        <xdr:cNvPr id="32" name="Freeform 6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345</xdr:row>
      <xdr:rowOff>0</xdr:rowOff>
    </xdr:from>
    <xdr:to>
      <xdr:col>7</xdr:col>
      <xdr:colOff>438150</xdr:colOff>
      <xdr:row>345</xdr:row>
      <xdr:rowOff>9525</xdr:rowOff>
    </xdr:to>
    <xdr:sp macro="" textlink="">
      <xdr:nvSpPr>
        <xdr:cNvPr id="33" name="Freeform 6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351</xdr:row>
      <xdr:rowOff>0</xdr:rowOff>
    </xdr:from>
    <xdr:to>
      <xdr:col>7</xdr:col>
      <xdr:colOff>438150</xdr:colOff>
      <xdr:row>351</xdr:row>
      <xdr:rowOff>9525</xdr:rowOff>
    </xdr:to>
    <xdr:sp macro="" textlink="">
      <xdr:nvSpPr>
        <xdr:cNvPr id="34" name="Freeform 6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369</xdr:row>
      <xdr:rowOff>0</xdr:rowOff>
    </xdr:from>
    <xdr:to>
      <xdr:col>7</xdr:col>
      <xdr:colOff>438150</xdr:colOff>
      <xdr:row>369</xdr:row>
      <xdr:rowOff>9525</xdr:rowOff>
    </xdr:to>
    <xdr:sp macro="" textlink="">
      <xdr:nvSpPr>
        <xdr:cNvPr id="35" name="Freeform 6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371</xdr:row>
      <xdr:rowOff>0</xdr:rowOff>
    </xdr:from>
    <xdr:to>
      <xdr:col>7</xdr:col>
      <xdr:colOff>438150</xdr:colOff>
      <xdr:row>371</xdr:row>
      <xdr:rowOff>9525</xdr:rowOff>
    </xdr:to>
    <xdr:sp macro="" textlink="">
      <xdr:nvSpPr>
        <xdr:cNvPr id="36" name="Freeform 6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373</xdr:row>
      <xdr:rowOff>0</xdr:rowOff>
    </xdr:from>
    <xdr:to>
      <xdr:col>7</xdr:col>
      <xdr:colOff>438150</xdr:colOff>
      <xdr:row>373</xdr:row>
      <xdr:rowOff>9525</xdr:rowOff>
    </xdr:to>
    <xdr:sp macro="" textlink="">
      <xdr:nvSpPr>
        <xdr:cNvPr id="37" name="Freeform 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375</xdr:row>
      <xdr:rowOff>0</xdr:rowOff>
    </xdr:from>
    <xdr:to>
      <xdr:col>7</xdr:col>
      <xdr:colOff>438150</xdr:colOff>
      <xdr:row>375</xdr:row>
      <xdr:rowOff>9525</xdr:rowOff>
    </xdr:to>
    <xdr:sp macro="" textlink="">
      <xdr:nvSpPr>
        <xdr:cNvPr id="38" name="Freeform 6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/>
        </xdr:cNvSpPr>
      </xdr:nvSpPr>
      <xdr:spPr bwMode="auto">
        <a:xfrm>
          <a:off x="5457825" y="33413700"/>
          <a:ext cx="20574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93</xdr:row>
      <xdr:rowOff>0</xdr:rowOff>
    </xdr:from>
    <xdr:to>
      <xdr:col>6</xdr:col>
      <xdr:colOff>314325</xdr:colOff>
      <xdr:row>93</xdr:row>
      <xdr:rowOff>9525</xdr:rowOff>
    </xdr:to>
    <xdr:sp macro="" textlink="">
      <xdr:nvSpPr>
        <xdr:cNvPr id="2" name="Freeform 1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/>
        </xdr:cNvSpPr>
      </xdr:nvSpPr>
      <xdr:spPr bwMode="auto">
        <a:xfrm>
          <a:off x="4743450" y="10639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104775</xdr:colOff>
      <xdr:row>97</xdr:row>
      <xdr:rowOff>0</xdr:rowOff>
    </xdr:from>
    <xdr:to>
      <xdr:col>6</xdr:col>
      <xdr:colOff>314325</xdr:colOff>
      <xdr:row>97</xdr:row>
      <xdr:rowOff>9525</xdr:rowOff>
    </xdr:to>
    <xdr:sp macro="" textlink="">
      <xdr:nvSpPr>
        <xdr:cNvPr id="3" name="Freeform 1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 bwMode="auto">
        <a:xfrm>
          <a:off x="4743450" y="110585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339</xdr:row>
      <xdr:rowOff>0</xdr:rowOff>
    </xdr:from>
    <xdr:to>
      <xdr:col>7</xdr:col>
      <xdr:colOff>438150</xdr:colOff>
      <xdr:row>339</xdr:row>
      <xdr:rowOff>9525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/>
        </xdr:cNvSpPr>
      </xdr:nvSpPr>
      <xdr:spPr bwMode="auto">
        <a:xfrm>
          <a:off x="5440680" y="36408360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19050</xdr:rowOff>
    </xdr:from>
    <xdr:to>
      <xdr:col>1</xdr:col>
      <xdr:colOff>741045</xdr:colOff>
      <xdr:row>5</xdr:row>
      <xdr:rowOff>57150</xdr:rowOff>
    </xdr:to>
    <xdr:pic>
      <xdr:nvPicPr>
        <xdr:cNvPr id="7204" name="Picture 1">
          <a:extLst>
            <a:ext uri="{FF2B5EF4-FFF2-40B4-BE49-F238E27FC236}">
              <a16:creationId xmlns:a16="http://schemas.microsoft.com/office/drawing/2014/main" id="{00000000-0008-0000-0A00-00002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23850"/>
          <a:ext cx="7429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60960</xdr:colOff>
      <xdr:row>5</xdr:row>
      <xdr:rowOff>38100</xdr:rowOff>
    </xdr:to>
    <xdr:pic>
      <xdr:nvPicPr>
        <xdr:cNvPr id="7205" name="Picture 2">
          <a:extLst>
            <a:ext uri="{FF2B5EF4-FFF2-40B4-BE49-F238E27FC236}">
              <a16:creationId xmlns:a16="http://schemas.microsoft.com/office/drawing/2014/main" id="{00000000-0008-0000-0A00-00002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304800"/>
          <a:ext cx="7429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</xdr:col>
      <xdr:colOff>777240</xdr:colOff>
      <xdr:row>5</xdr:row>
      <xdr:rowOff>53340</xdr:rowOff>
    </xdr:to>
    <xdr:pic>
      <xdr:nvPicPr>
        <xdr:cNvPr id="8379" name="Picture 1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04800"/>
          <a:ext cx="762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99060</xdr:colOff>
      <xdr:row>5</xdr:row>
      <xdr:rowOff>53340</xdr:rowOff>
    </xdr:to>
    <xdr:pic>
      <xdr:nvPicPr>
        <xdr:cNvPr id="8380" name="Picture 3">
          <a:extLst>
            <a:ext uri="{FF2B5EF4-FFF2-40B4-BE49-F238E27FC236}">
              <a16:creationId xmlns:a16="http://schemas.microsoft.com/office/drawing/2014/main" id="{00000000-0008-0000-0B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304800"/>
          <a:ext cx="762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104775</xdr:colOff>
      <xdr:row>31</xdr:row>
      <xdr:rowOff>9525</xdr:rowOff>
    </xdr:from>
    <xdr:to>
      <xdr:col>9</xdr:col>
      <xdr:colOff>209550</xdr:colOff>
      <xdr:row>31</xdr:row>
      <xdr:rowOff>9525</xdr:rowOff>
    </xdr:to>
    <xdr:sp macro="" textlink="">
      <xdr:nvSpPr>
        <xdr:cNvPr id="8381" name="Line 10">
          <a:extLst>
            <a:ext uri="{FF2B5EF4-FFF2-40B4-BE49-F238E27FC236}">
              <a16:creationId xmlns:a16="http://schemas.microsoft.com/office/drawing/2014/main" id="{00000000-0008-0000-0B00-0000BD200000}"/>
            </a:ext>
          </a:extLst>
        </xdr:cNvPr>
        <xdr:cNvSpPr>
          <a:spLocks noChangeShapeType="1"/>
        </xdr:cNvSpPr>
      </xdr:nvSpPr>
      <xdr:spPr bwMode="auto">
        <a:xfrm>
          <a:off x="6419850" y="53721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23</xdr:row>
      <xdr:rowOff>9525</xdr:rowOff>
    </xdr:from>
    <xdr:to>
      <xdr:col>9</xdr:col>
      <xdr:colOff>209550</xdr:colOff>
      <xdr:row>23</xdr:row>
      <xdr:rowOff>9525</xdr:rowOff>
    </xdr:to>
    <xdr:sp macro="" textlink="">
      <xdr:nvSpPr>
        <xdr:cNvPr id="8385" name="Line 23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SpPr>
          <a:spLocks noChangeShapeType="1"/>
        </xdr:cNvSpPr>
      </xdr:nvSpPr>
      <xdr:spPr bwMode="auto">
        <a:xfrm>
          <a:off x="6419850" y="46291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93</xdr:row>
      <xdr:rowOff>9525</xdr:rowOff>
    </xdr:from>
    <xdr:to>
      <xdr:col>9</xdr:col>
      <xdr:colOff>209550</xdr:colOff>
      <xdr:row>93</xdr:row>
      <xdr:rowOff>9525</xdr:rowOff>
    </xdr:to>
    <xdr:sp macro="" textlink="">
      <xdr:nvSpPr>
        <xdr:cNvPr id="8386" name="Line 29">
          <a:extLst>
            <a:ext uri="{FF2B5EF4-FFF2-40B4-BE49-F238E27FC236}">
              <a16:creationId xmlns:a16="http://schemas.microsoft.com/office/drawing/2014/main" id="{00000000-0008-0000-0B00-0000C2200000}"/>
            </a:ext>
          </a:extLst>
        </xdr:cNvPr>
        <xdr:cNvSpPr>
          <a:spLocks noChangeShapeType="1"/>
        </xdr:cNvSpPr>
      </xdr:nvSpPr>
      <xdr:spPr bwMode="auto">
        <a:xfrm>
          <a:off x="6419850" y="145351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33</xdr:row>
      <xdr:rowOff>9525</xdr:rowOff>
    </xdr:from>
    <xdr:to>
      <xdr:col>9</xdr:col>
      <xdr:colOff>209550</xdr:colOff>
      <xdr:row>33</xdr:row>
      <xdr:rowOff>9525</xdr:rowOff>
    </xdr:to>
    <xdr:sp macro="" textlink="">
      <xdr:nvSpPr>
        <xdr:cNvPr id="8387" name="Line 31">
          <a:extLst>
            <a:ext uri="{FF2B5EF4-FFF2-40B4-BE49-F238E27FC236}">
              <a16:creationId xmlns:a16="http://schemas.microsoft.com/office/drawing/2014/main" id="{00000000-0008-0000-0B00-0000C3200000}"/>
            </a:ext>
          </a:extLst>
        </xdr:cNvPr>
        <xdr:cNvSpPr>
          <a:spLocks noChangeShapeType="1"/>
        </xdr:cNvSpPr>
      </xdr:nvSpPr>
      <xdr:spPr bwMode="auto">
        <a:xfrm>
          <a:off x="6419850" y="56197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35</xdr:row>
      <xdr:rowOff>9525</xdr:rowOff>
    </xdr:from>
    <xdr:to>
      <xdr:col>9</xdr:col>
      <xdr:colOff>209550</xdr:colOff>
      <xdr:row>35</xdr:row>
      <xdr:rowOff>9525</xdr:rowOff>
    </xdr:to>
    <xdr:sp macro="" textlink="">
      <xdr:nvSpPr>
        <xdr:cNvPr id="8388" name="Line 32">
          <a:extLst>
            <a:ext uri="{FF2B5EF4-FFF2-40B4-BE49-F238E27FC236}">
              <a16:creationId xmlns:a16="http://schemas.microsoft.com/office/drawing/2014/main" id="{00000000-0008-0000-0B00-0000C4200000}"/>
            </a:ext>
          </a:extLst>
        </xdr:cNvPr>
        <xdr:cNvSpPr>
          <a:spLocks noChangeShapeType="1"/>
        </xdr:cNvSpPr>
      </xdr:nvSpPr>
      <xdr:spPr bwMode="auto">
        <a:xfrm>
          <a:off x="6419850" y="58674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41</xdr:row>
      <xdr:rowOff>9525</xdr:rowOff>
    </xdr:from>
    <xdr:to>
      <xdr:col>9</xdr:col>
      <xdr:colOff>209550</xdr:colOff>
      <xdr:row>41</xdr:row>
      <xdr:rowOff>9525</xdr:rowOff>
    </xdr:to>
    <xdr:sp macro="" textlink="">
      <xdr:nvSpPr>
        <xdr:cNvPr id="8391" name="Line 35">
          <a:extLst>
            <a:ext uri="{FF2B5EF4-FFF2-40B4-BE49-F238E27FC236}">
              <a16:creationId xmlns:a16="http://schemas.microsoft.com/office/drawing/2014/main" id="{00000000-0008-0000-0B00-0000C7200000}"/>
            </a:ext>
          </a:extLst>
        </xdr:cNvPr>
        <xdr:cNvSpPr>
          <a:spLocks noChangeShapeType="1"/>
        </xdr:cNvSpPr>
      </xdr:nvSpPr>
      <xdr:spPr bwMode="auto">
        <a:xfrm>
          <a:off x="6419850" y="78486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53</xdr:row>
      <xdr:rowOff>9525</xdr:rowOff>
    </xdr:from>
    <xdr:to>
      <xdr:col>9</xdr:col>
      <xdr:colOff>209550</xdr:colOff>
      <xdr:row>53</xdr:row>
      <xdr:rowOff>9525</xdr:rowOff>
    </xdr:to>
    <xdr:sp macro="" textlink="">
      <xdr:nvSpPr>
        <xdr:cNvPr id="8392" name="Line 36">
          <a:extLst>
            <a:ext uri="{FF2B5EF4-FFF2-40B4-BE49-F238E27FC236}">
              <a16:creationId xmlns:a16="http://schemas.microsoft.com/office/drawing/2014/main" id="{00000000-0008-0000-0B00-0000C8200000}"/>
            </a:ext>
          </a:extLst>
        </xdr:cNvPr>
        <xdr:cNvSpPr>
          <a:spLocks noChangeShapeType="1"/>
        </xdr:cNvSpPr>
      </xdr:nvSpPr>
      <xdr:spPr bwMode="auto">
        <a:xfrm>
          <a:off x="6419850" y="100774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57</xdr:row>
      <xdr:rowOff>9525</xdr:rowOff>
    </xdr:from>
    <xdr:to>
      <xdr:col>9</xdr:col>
      <xdr:colOff>209550</xdr:colOff>
      <xdr:row>57</xdr:row>
      <xdr:rowOff>9525</xdr:rowOff>
    </xdr:to>
    <xdr:sp macro="" textlink="">
      <xdr:nvSpPr>
        <xdr:cNvPr id="8393" name="Line 37">
          <a:extLst>
            <a:ext uri="{FF2B5EF4-FFF2-40B4-BE49-F238E27FC236}">
              <a16:creationId xmlns:a16="http://schemas.microsoft.com/office/drawing/2014/main" id="{00000000-0008-0000-0B00-0000C9200000}"/>
            </a:ext>
          </a:extLst>
        </xdr:cNvPr>
        <xdr:cNvSpPr>
          <a:spLocks noChangeShapeType="1"/>
        </xdr:cNvSpPr>
      </xdr:nvSpPr>
      <xdr:spPr bwMode="auto">
        <a:xfrm>
          <a:off x="6419850" y="105727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61</xdr:row>
      <xdr:rowOff>9525</xdr:rowOff>
    </xdr:from>
    <xdr:to>
      <xdr:col>9</xdr:col>
      <xdr:colOff>209550</xdr:colOff>
      <xdr:row>61</xdr:row>
      <xdr:rowOff>9525</xdr:rowOff>
    </xdr:to>
    <xdr:sp macro="" textlink="">
      <xdr:nvSpPr>
        <xdr:cNvPr id="8394" name="Line 38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SpPr>
          <a:spLocks noChangeShapeType="1"/>
        </xdr:cNvSpPr>
      </xdr:nvSpPr>
      <xdr:spPr bwMode="auto">
        <a:xfrm>
          <a:off x="6419850" y="110680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91</xdr:row>
      <xdr:rowOff>9525</xdr:rowOff>
    </xdr:from>
    <xdr:to>
      <xdr:col>9</xdr:col>
      <xdr:colOff>209550</xdr:colOff>
      <xdr:row>91</xdr:row>
      <xdr:rowOff>9525</xdr:rowOff>
    </xdr:to>
    <xdr:sp macro="" textlink="">
      <xdr:nvSpPr>
        <xdr:cNvPr id="8395" name="Line 39">
          <a:extLst>
            <a:ext uri="{FF2B5EF4-FFF2-40B4-BE49-F238E27FC236}">
              <a16:creationId xmlns:a16="http://schemas.microsoft.com/office/drawing/2014/main" id="{00000000-0008-0000-0B00-0000CB200000}"/>
            </a:ext>
          </a:extLst>
        </xdr:cNvPr>
        <xdr:cNvSpPr>
          <a:spLocks noChangeShapeType="1"/>
        </xdr:cNvSpPr>
      </xdr:nvSpPr>
      <xdr:spPr bwMode="auto">
        <a:xfrm>
          <a:off x="6419850" y="142875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65</xdr:row>
      <xdr:rowOff>0</xdr:rowOff>
    </xdr:from>
    <xdr:to>
      <xdr:col>7</xdr:col>
      <xdr:colOff>419100</xdr:colOff>
      <xdr:row>65</xdr:row>
      <xdr:rowOff>9525</xdr:rowOff>
    </xdr:to>
    <xdr:sp macro="" textlink="">
      <xdr:nvSpPr>
        <xdr:cNvPr id="18" name="Freeform 6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/>
        </xdr:cNvSpPr>
      </xdr:nvSpPr>
      <xdr:spPr bwMode="auto">
        <a:xfrm>
          <a:off x="5434965" y="10096500"/>
          <a:ext cx="21336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209550</xdr:colOff>
      <xdr:row>81</xdr:row>
      <xdr:rowOff>0</xdr:rowOff>
    </xdr:from>
    <xdr:to>
      <xdr:col>7</xdr:col>
      <xdr:colOff>419100</xdr:colOff>
      <xdr:row>81</xdr:row>
      <xdr:rowOff>9525</xdr:rowOff>
    </xdr:to>
    <xdr:sp macro="" textlink="">
      <xdr:nvSpPr>
        <xdr:cNvPr id="19" name="Freeform 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/>
        </xdr:cNvSpPr>
      </xdr:nvSpPr>
      <xdr:spPr bwMode="auto">
        <a:xfrm>
          <a:off x="5415915" y="10096500"/>
          <a:ext cx="21336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209550</xdr:colOff>
      <xdr:row>89</xdr:row>
      <xdr:rowOff>0</xdr:rowOff>
    </xdr:from>
    <xdr:to>
      <xdr:col>7</xdr:col>
      <xdr:colOff>419100</xdr:colOff>
      <xdr:row>89</xdr:row>
      <xdr:rowOff>9525</xdr:rowOff>
    </xdr:to>
    <xdr:sp macro="" textlink="">
      <xdr:nvSpPr>
        <xdr:cNvPr id="21" name="Freeform 6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>
          <a:spLocks/>
        </xdr:cNvSpPr>
      </xdr:nvSpPr>
      <xdr:spPr bwMode="auto">
        <a:xfrm>
          <a:off x="5415915" y="10096500"/>
          <a:ext cx="21336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209550</xdr:colOff>
      <xdr:row>109</xdr:row>
      <xdr:rowOff>0</xdr:rowOff>
    </xdr:from>
    <xdr:to>
      <xdr:col>7</xdr:col>
      <xdr:colOff>419100</xdr:colOff>
      <xdr:row>109</xdr:row>
      <xdr:rowOff>9525</xdr:rowOff>
    </xdr:to>
    <xdr:sp macro="" textlink="">
      <xdr:nvSpPr>
        <xdr:cNvPr id="22" name="Freeform 6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>
          <a:spLocks/>
        </xdr:cNvSpPr>
      </xdr:nvSpPr>
      <xdr:spPr bwMode="auto">
        <a:xfrm>
          <a:off x="5415915" y="10096500"/>
          <a:ext cx="213360" cy="1143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</xdr:col>
      <xdr:colOff>762000</xdr:colOff>
      <xdr:row>5</xdr:row>
      <xdr:rowOff>76200</xdr:rowOff>
    </xdr:to>
    <xdr:pic>
      <xdr:nvPicPr>
        <xdr:cNvPr id="9252" name="Picture 1">
          <a:extLst>
            <a:ext uri="{FF2B5EF4-FFF2-40B4-BE49-F238E27FC236}">
              <a16:creationId xmlns:a16="http://schemas.microsoft.com/office/drawing/2014/main" id="{00000000-0008-0000-0C00-00002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"/>
          <a:ext cx="762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99060</xdr:colOff>
      <xdr:row>5</xdr:row>
      <xdr:rowOff>53340</xdr:rowOff>
    </xdr:to>
    <xdr:pic>
      <xdr:nvPicPr>
        <xdr:cNvPr id="9253" name="Picture 2">
          <a:extLst>
            <a:ext uri="{FF2B5EF4-FFF2-40B4-BE49-F238E27FC236}">
              <a16:creationId xmlns:a16="http://schemas.microsoft.com/office/drawing/2014/main" id="{00000000-0008-0000-0C00-00002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304800"/>
          <a:ext cx="762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9525</xdr:rowOff>
    </xdr:from>
    <xdr:to>
      <xdr:col>1</xdr:col>
      <xdr:colOff>762000</xdr:colOff>
      <xdr:row>5</xdr:row>
      <xdr:rowOff>38100</xdr:rowOff>
    </xdr:to>
    <xdr:pic>
      <xdr:nvPicPr>
        <xdr:cNvPr id="10467" name="Picture 1">
          <a:extLst>
            <a:ext uri="{FF2B5EF4-FFF2-40B4-BE49-F238E27FC236}">
              <a16:creationId xmlns:a16="http://schemas.microsoft.com/office/drawing/2014/main" id="{00000000-0008-0000-0D00-0000E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14325"/>
          <a:ext cx="733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80010</xdr:colOff>
      <xdr:row>5</xdr:row>
      <xdr:rowOff>17145</xdr:rowOff>
    </xdr:to>
    <xdr:pic>
      <xdr:nvPicPr>
        <xdr:cNvPr id="10468" name="Picture 2">
          <a:extLst>
            <a:ext uri="{FF2B5EF4-FFF2-40B4-BE49-F238E27FC236}">
              <a16:creationId xmlns:a16="http://schemas.microsoft.com/office/drawing/2014/main" id="{00000000-0008-0000-0D00-0000E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304800"/>
          <a:ext cx="733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104775</xdr:colOff>
      <xdr:row>517</xdr:row>
      <xdr:rowOff>9525</xdr:rowOff>
    </xdr:from>
    <xdr:to>
      <xdr:col>9</xdr:col>
      <xdr:colOff>209550</xdr:colOff>
      <xdr:row>517</xdr:row>
      <xdr:rowOff>9525</xdr:rowOff>
    </xdr:to>
    <xdr:sp macro="" textlink="">
      <xdr:nvSpPr>
        <xdr:cNvPr id="10470" name="Line 6">
          <a:extLst>
            <a:ext uri="{FF2B5EF4-FFF2-40B4-BE49-F238E27FC236}">
              <a16:creationId xmlns:a16="http://schemas.microsoft.com/office/drawing/2014/main" id="{00000000-0008-0000-0D00-0000E6280000}"/>
            </a:ext>
          </a:extLst>
        </xdr:cNvPr>
        <xdr:cNvSpPr>
          <a:spLocks noChangeShapeType="1"/>
        </xdr:cNvSpPr>
      </xdr:nvSpPr>
      <xdr:spPr bwMode="auto">
        <a:xfrm>
          <a:off x="6419850" y="494538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47</xdr:row>
      <xdr:rowOff>19050</xdr:rowOff>
    </xdr:from>
    <xdr:to>
      <xdr:col>9</xdr:col>
      <xdr:colOff>400050</xdr:colOff>
      <xdr:row>47</xdr:row>
      <xdr:rowOff>28575</xdr:rowOff>
    </xdr:to>
    <xdr:sp macro="" textlink="">
      <xdr:nvSpPr>
        <xdr:cNvPr id="10471" name="Freeform 6">
          <a:extLst>
            <a:ext uri="{FF2B5EF4-FFF2-40B4-BE49-F238E27FC236}">
              <a16:creationId xmlns:a16="http://schemas.microsoft.com/office/drawing/2014/main" id="{00000000-0008-0000-0D00-0000E7280000}"/>
            </a:ext>
          </a:extLst>
        </xdr:cNvPr>
        <xdr:cNvSpPr>
          <a:spLocks/>
        </xdr:cNvSpPr>
      </xdr:nvSpPr>
      <xdr:spPr bwMode="auto">
        <a:xfrm>
          <a:off x="6505575" y="41433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37</xdr:row>
      <xdr:rowOff>19050</xdr:rowOff>
    </xdr:from>
    <xdr:to>
      <xdr:col>9</xdr:col>
      <xdr:colOff>400050</xdr:colOff>
      <xdr:row>37</xdr:row>
      <xdr:rowOff>28575</xdr:rowOff>
    </xdr:to>
    <xdr:sp macro="" textlink="">
      <xdr:nvSpPr>
        <xdr:cNvPr id="10472" name="Freeform 6">
          <a:extLst>
            <a:ext uri="{FF2B5EF4-FFF2-40B4-BE49-F238E27FC236}">
              <a16:creationId xmlns:a16="http://schemas.microsoft.com/office/drawing/2014/main" id="{00000000-0008-0000-0D00-0000E8280000}"/>
            </a:ext>
          </a:extLst>
        </xdr:cNvPr>
        <xdr:cNvSpPr>
          <a:spLocks/>
        </xdr:cNvSpPr>
      </xdr:nvSpPr>
      <xdr:spPr bwMode="auto">
        <a:xfrm>
          <a:off x="6505575" y="29051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190500</xdr:colOff>
      <xdr:row>59</xdr:row>
      <xdr:rowOff>19050</xdr:rowOff>
    </xdr:from>
    <xdr:to>
      <xdr:col>7</xdr:col>
      <xdr:colOff>400050</xdr:colOff>
      <xdr:row>59</xdr:row>
      <xdr:rowOff>28575</xdr:rowOff>
    </xdr:to>
    <xdr:sp macro="" textlink="">
      <xdr:nvSpPr>
        <xdr:cNvPr id="10473" name="Freeform 6">
          <a:extLst>
            <a:ext uri="{FF2B5EF4-FFF2-40B4-BE49-F238E27FC236}">
              <a16:creationId xmlns:a16="http://schemas.microsoft.com/office/drawing/2014/main" id="{00000000-0008-0000-0D00-0000E9280000}"/>
            </a:ext>
          </a:extLst>
        </xdr:cNvPr>
        <xdr:cNvSpPr>
          <a:spLocks/>
        </xdr:cNvSpPr>
      </xdr:nvSpPr>
      <xdr:spPr bwMode="auto">
        <a:xfrm>
          <a:off x="5276850" y="53816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59</xdr:row>
      <xdr:rowOff>19050</xdr:rowOff>
    </xdr:from>
    <xdr:to>
      <xdr:col>9</xdr:col>
      <xdr:colOff>400050</xdr:colOff>
      <xdr:row>59</xdr:row>
      <xdr:rowOff>28575</xdr:rowOff>
    </xdr:to>
    <xdr:sp macro="" textlink="">
      <xdr:nvSpPr>
        <xdr:cNvPr id="10474" name="Freeform 6">
          <a:extLst>
            <a:ext uri="{FF2B5EF4-FFF2-40B4-BE49-F238E27FC236}">
              <a16:creationId xmlns:a16="http://schemas.microsoft.com/office/drawing/2014/main" id="{00000000-0008-0000-0D00-0000EA280000}"/>
            </a:ext>
          </a:extLst>
        </xdr:cNvPr>
        <xdr:cNvSpPr>
          <a:spLocks/>
        </xdr:cNvSpPr>
      </xdr:nvSpPr>
      <xdr:spPr bwMode="auto">
        <a:xfrm>
          <a:off x="6505575" y="53816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225</xdr:row>
      <xdr:rowOff>19050</xdr:rowOff>
    </xdr:from>
    <xdr:to>
      <xdr:col>9</xdr:col>
      <xdr:colOff>400050</xdr:colOff>
      <xdr:row>225</xdr:row>
      <xdr:rowOff>28575</xdr:rowOff>
    </xdr:to>
    <xdr:sp macro="" textlink="">
      <xdr:nvSpPr>
        <xdr:cNvPr id="10475" name="Freeform 6">
          <a:extLst>
            <a:ext uri="{FF2B5EF4-FFF2-40B4-BE49-F238E27FC236}">
              <a16:creationId xmlns:a16="http://schemas.microsoft.com/office/drawing/2014/main" id="{00000000-0008-0000-0D00-0000EB280000}"/>
            </a:ext>
          </a:extLst>
        </xdr:cNvPr>
        <xdr:cNvSpPr>
          <a:spLocks/>
        </xdr:cNvSpPr>
      </xdr:nvSpPr>
      <xdr:spPr bwMode="auto">
        <a:xfrm>
          <a:off x="6505575" y="23212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359</xdr:row>
      <xdr:rowOff>19050</xdr:rowOff>
    </xdr:from>
    <xdr:to>
      <xdr:col>9</xdr:col>
      <xdr:colOff>400050</xdr:colOff>
      <xdr:row>359</xdr:row>
      <xdr:rowOff>28575</xdr:rowOff>
    </xdr:to>
    <xdr:sp macro="" textlink="">
      <xdr:nvSpPr>
        <xdr:cNvPr id="10477" name="Freeform 6">
          <a:extLst>
            <a:ext uri="{FF2B5EF4-FFF2-40B4-BE49-F238E27FC236}">
              <a16:creationId xmlns:a16="http://schemas.microsoft.com/office/drawing/2014/main" id="{00000000-0008-0000-0D00-0000ED280000}"/>
            </a:ext>
          </a:extLst>
        </xdr:cNvPr>
        <xdr:cNvSpPr>
          <a:spLocks/>
        </xdr:cNvSpPr>
      </xdr:nvSpPr>
      <xdr:spPr bwMode="auto">
        <a:xfrm>
          <a:off x="6505575" y="343566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361</xdr:row>
      <xdr:rowOff>19050</xdr:rowOff>
    </xdr:from>
    <xdr:to>
      <xdr:col>9</xdr:col>
      <xdr:colOff>400050</xdr:colOff>
      <xdr:row>361</xdr:row>
      <xdr:rowOff>28575</xdr:rowOff>
    </xdr:to>
    <xdr:sp macro="" textlink="">
      <xdr:nvSpPr>
        <xdr:cNvPr id="10478" name="Freeform 6">
          <a:extLst>
            <a:ext uri="{FF2B5EF4-FFF2-40B4-BE49-F238E27FC236}">
              <a16:creationId xmlns:a16="http://schemas.microsoft.com/office/drawing/2014/main" id="{00000000-0008-0000-0D00-0000EE280000}"/>
            </a:ext>
          </a:extLst>
        </xdr:cNvPr>
        <xdr:cNvSpPr>
          <a:spLocks/>
        </xdr:cNvSpPr>
      </xdr:nvSpPr>
      <xdr:spPr bwMode="auto">
        <a:xfrm>
          <a:off x="6505575" y="346043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561</xdr:row>
      <xdr:rowOff>9525</xdr:rowOff>
    </xdr:from>
    <xdr:to>
      <xdr:col>9</xdr:col>
      <xdr:colOff>209550</xdr:colOff>
      <xdr:row>561</xdr:row>
      <xdr:rowOff>9525</xdr:rowOff>
    </xdr:to>
    <xdr:sp macro="" textlink="">
      <xdr:nvSpPr>
        <xdr:cNvPr id="10479" name="Line 6">
          <a:extLst>
            <a:ext uri="{FF2B5EF4-FFF2-40B4-BE49-F238E27FC236}">
              <a16:creationId xmlns:a16="http://schemas.microsoft.com/office/drawing/2014/main" id="{00000000-0008-0000-0D00-0000EF280000}"/>
            </a:ext>
          </a:extLst>
        </xdr:cNvPr>
        <xdr:cNvSpPr>
          <a:spLocks noChangeShapeType="1"/>
        </xdr:cNvSpPr>
      </xdr:nvSpPr>
      <xdr:spPr bwMode="auto">
        <a:xfrm>
          <a:off x="6419850" y="529209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179</xdr:row>
      <xdr:rowOff>19050</xdr:rowOff>
    </xdr:from>
    <xdr:to>
      <xdr:col>9</xdr:col>
      <xdr:colOff>400050</xdr:colOff>
      <xdr:row>179</xdr:row>
      <xdr:rowOff>28575</xdr:rowOff>
    </xdr:to>
    <xdr:sp macro="" textlink="">
      <xdr:nvSpPr>
        <xdr:cNvPr id="10481" name="Freeform 6">
          <a:extLst>
            <a:ext uri="{FF2B5EF4-FFF2-40B4-BE49-F238E27FC236}">
              <a16:creationId xmlns:a16="http://schemas.microsoft.com/office/drawing/2014/main" id="{00000000-0008-0000-0D00-0000F1280000}"/>
            </a:ext>
          </a:extLst>
        </xdr:cNvPr>
        <xdr:cNvSpPr>
          <a:spLocks/>
        </xdr:cNvSpPr>
      </xdr:nvSpPr>
      <xdr:spPr bwMode="auto">
        <a:xfrm>
          <a:off x="6505575" y="175164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433</xdr:row>
      <xdr:rowOff>19050</xdr:rowOff>
    </xdr:from>
    <xdr:to>
      <xdr:col>8</xdr:col>
      <xdr:colOff>400050</xdr:colOff>
      <xdr:row>433</xdr:row>
      <xdr:rowOff>28575</xdr:rowOff>
    </xdr:to>
    <xdr:sp macro="" textlink="">
      <xdr:nvSpPr>
        <xdr:cNvPr id="10482" name="Freeform 6">
          <a:extLst>
            <a:ext uri="{FF2B5EF4-FFF2-40B4-BE49-F238E27FC236}">
              <a16:creationId xmlns:a16="http://schemas.microsoft.com/office/drawing/2014/main" id="{00000000-0008-0000-0D00-0000F2280000}"/>
            </a:ext>
          </a:extLst>
        </xdr:cNvPr>
        <xdr:cNvSpPr>
          <a:spLocks/>
        </xdr:cNvSpPr>
      </xdr:nvSpPr>
      <xdr:spPr bwMode="auto">
        <a:xfrm>
          <a:off x="5895975" y="403002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445</xdr:row>
      <xdr:rowOff>19050</xdr:rowOff>
    </xdr:from>
    <xdr:to>
      <xdr:col>9</xdr:col>
      <xdr:colOff>400050</xdr:colOff>
      <xdr:row>445</xdr:row>
      <xdr:rowOff>28575</xdr:rowOff>
    </xdr:to>
    <xdr:sp macro="" textlink="">
      <xdr:nvSpPr>
        <xdr:cNvPr id="10483" name="Freeform 6">
          <a:extLst>
            <a:ext uri="{FF2B5EF4-FFF2-40B4-BE49-F238E27FC236}">
              <a16:creationId xmlns:a16="http://schemas.microsoft.com/office/drawing/2014/main" id="{00000000-0008-0000-0D00-0000F3280000}"/>
            </a:ext>
          </a:extLst>
        </xdr:cNvPr>
        <xdr:cNvSpPr>
          <a:spLocks/>
        </xdr:cNvSpPr>
      </xdr:nvSpPr>
      <xdr:spPr bwMode="auto">
        <a:xfrm>
          <a:off x="6505575" y="417861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499</xdr:row>
      <xdr:rowOff>19050</xdr:rowOff>
    </xdr:from>
    <xdr:to>
      <xdr:col>8</xdr:col>
      <xdr:colOff>400050</xdr:colOff>
      <xdr:row>499</xdr:row>
      <xdr:rowOff>28575</xdr:rowOff>
    </xdr:to>
    <xdr:sp macro="" textlink="">
      <xdr:nvSpPr>
        <xdr:cNvPr id="10484" name="Freeform 6">
          <a:extLst>
            <a:ext uri="{FF2B5EF4-FFF2-40B4-BE49-F238E27FC236}">
              <a16:creationId xmlns:a16="http://schemas.microsoft.com/office/drawing/2014/main" id="{00000000-0008-0000-0D00-0000F4280000}"/>
            </a:ext>
          </a:extLst>
        </xdr:cNvPr>
        <xdr:cNvSpPr>
          <a:spLocks/>
        </xdr:cNvSpPr>
      </xdr:nvSpPr>
      <xdr:spPr bwMode="auto">
        <a:xfrm>
          <a:off x="5895975" y="472344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499</xdr:row>
      <xdr:rowOff>9525</xdr:rowOff>
    </xdr:from>
    <xdr:to>
      <xdr:col>9</xdr:col>
      <xdr:colOff>209550</xdr:colOff>
      <xdr:row>499</xdr:row>
      <xdr:rowOff>9525</xdr:rowOff>
    </xdr:to>
    <xdr:sp macro="" textlink="">
      <xdr:nvSpPr>
        <xdr:cNvPr id="10485" name="Line 6">
          <a:extLst>
            <a:ext uri="{FF2B5EF4-FFF2-40B4-BE49-F238E27FC236}">
              <a16:creationId xmlns:a16="http://schemas.microsoft.com/office/drawing/2014/main" id="{00000000-0008-0000-0D00-0000F5280000}"/>
            </a:ext>
          </a:extLst>
        </xdr:cNvPr>
        <xdr:cNvSpPr>
          <a:spLocks noChangeShapeType="1"/>
        </xdr:cNvSpPr>
      </xdr:nvSpPr>
      <xdr:spPr bwMode="auto">
        <a:xfrm>
          <a:off x="6419850" y="472249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561</xdr:row>
      <xdr:rowOff>19050</xdr:rowOff>
    </xdr:from>
    <xdr:to>
      <xdr:col>8</xdr:col>
      <xdr:colOff>400050</xdr:colOff>
      <xdr:row>561</xdr:row>
      <xdr:rowOff>28575</xdr:rowOff>
    </xdr:to>
    <xdr:sp macro="" textlink="">
      <xdr:nvSpPr>
        <xdr:cNvPr id="10486" name="Freeform 6">
          <a:extLst>
            <a:ext uri="{FF2B5EF4-FFF2-40B4-BE49-F238E27FC236}">
              <a16:creationId xmlns:a16="http://schemas.microsoft.com/office/drawing/2014/main" id="{00000000-0008-0000-0D00-0000F6280000}"/>
            </a:ext>
          </a:extLst>
        </xdr:cNvPr>
        <xdr:cNvSpPr>
          <a:spLocks/>
        </xdr:cNvSpPr>
      </xdr:nvSpPr>
      <xdr:spPr bwMode="auto">
        <a:xfrm>
          <a:off x="5895975" y="529304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190500</xdr:colOff>
      <xdr:row>521</xdr:row>
      <xdr:rowOff>19050</xdr:rowOff>
    </xdr:from>
    <xdr:to>
      <xdr:col>8</xdr:col>
      <xdr:colOff>400050</xdr:colOff>
      <xdr:row>521</xdr:row>
      <xdr:rowOff>28575</xdr:rowOff>
    </xdr:to>
    <xdr:sp macro="" textlink="">
      <xdr:nvSpPr>
        <xdr:cNvPr id="22" name="Freeform 6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>
          <a:spLocks/>
        </xdr:cNvSpPr>
      </xdr:nvSpPr>
      <xdr:spPr bwMode="auto">
        <a:xfrm>
          <a:off x="5895975" y="539210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401</xdr:row>
      <xdr:rowOff>19050</xdr:rowOff>
    </xdr:from>
    <xdr:to>
      <xdr:col>9</xdr:col>
      <xdr:colOff>400050</xdr:colOff>
      <xdr:row>401</xdr:row>
      <xdr:rowOff>28575</xdr:rowOff>
    </xdr:to>
    <xdr:sp macro="" textlink="">
      <xdr:nvSpPr>
        <xdr:cNvPr id="23" name="Freeform 6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>
          <a:spLocks/>
        </xdr:cNvSpPr>
      </xdr:nvSpPr>
      <xdr:spPr bwMode="auto">
        <a:xfrm>
          <a:off x="6505575" y="450056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19050</xdr:rowOff>
    </xdr:from>
    <xdr:to>
      <xdr:col>1</xdr:col>
      <xdr:colOff>744855</xdr:colOff>
      <xdr:row>5</xdr:row>
      <xdr:rowOff>57150</xdr:rowOff>
    </xdr:to>
    <xdr:pic>
      <xdr:nvPicPr>
        <xdr:cNvPr id="11300" name="Picture 1">
          <a:extLst>
            <a:ext uri="{FF2B5EF4-FFF2-40B4-BE49-F238E27FC236}">
              <a16:creationId xmlns:a16="http://schemas.microsoft.com/office/drawing/2014/main" id="{00000000-0008-0000-0E00-000024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23850"/>
          <a:ext cx="733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80010</xdr:colOff>
      <xdr:row>5</xdr:row>
      <xdr:rowOff>20955</xdr:rowOff>
    </xdr:to>
    <xdr:pic>
      <xdr:nvPicPr>
        <xdr:cNvPr id="11301" name="Picture 2">
          <a:extLst>
            <a:ext uri="{FF2B5EF4-FFF2-40B4-BE49-F238E27FC236}">
              <a16:creationId xmlns:a16="http://schemas.microsoft.com/office/drawing/2014/main" id="{00000000-0008-0000-0E00-000025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304800"/>
          <a:ext cx="733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0</xdr:rowOff>
    </xdr:from>
    <xdr:to>
      <xdr:col>1</xdr:col>
      <xdr:colOff>742950</xdr:colOff>
      <xdr:row>5</xdr:row>
      <xdr:rowOff>15240</xdr:rowOff>
    </xdr:to>
    <xdr:pic>
      <xdr:nvPicPr>
        <xdr:cNvPr id="12395" name="Picture 1">
          <a:extLst>
            <a:ext uri="{FF2B5EF4-FFF2-40B4-BE49-F238E27FC236}">
              <a16:creationId xmlns:a16="http://schemas.microsoft.com/office/drawing/2014/main" id="{00000000-0008-0000-0F00-00006B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85725</xdr:colOff>
      <xdr:row>5</xdr:row>
      <xdr:rowOff>15240</xdr:rowOff>
    </xdr:to>
    <xdr:pic>
      <xdr:nvPicPr>
        <xdr:cNvPr id="12396" name="Picture 2">
          <a:extLst>
            <a:ext uri="{FF2B5EF4-FFF2-40B4-BE49-F238E27FC236}">
              <a16:creationId xmlns:a16="http://schemas.microsoft.com/office/drawing/2014/main" id="{00000000-0008-0000-0F00-00006C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30480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104775</xdr:colOff>
      <xdr:row>13</xdr:row>
      <xdr:rowOff>9525</xdr:rowOff>
    </xdr:from>
    <xdr:to>
      <xdr:col>9</xdr:col>
      <xdr:colOff>209550</xdr:colOff>
      <xdr:row>13</xdr:row>
      <xdr:rowOff>9525</xdr:rowOff>
    </xdr:to>
    <xdr:sp macro="" textlink="">
      <xdr:nvSpPr>
        <xdr:cNvPr id="12397" name="Line 309">
          <a:extLst>
            <a:ext uri="{FF2B5EF4-FFF2-40B4-BE49-F238E27FC236}">
              <a16:creationId xmlns:a16="http://schemas.microsoft.com/office/drawing/2014/main" id="{00000000-0008-0000-0F00-00006D300000}"/>
            </a:ext>
          </a:extLst>
        </xdr:cNvPr>
        <xdr:cNvSpPr>
          <a:spLocks noChangeShapeType="1"/>
        </xdr:cNvSpPr>
      </xdr:nvSpPr>
      <xdr:spPr bwMode="auto">
        <a:xfrm>
          <a:off x="6410325" y="190500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104775</xdr:colOff>
      <xdr:row>15</xdr:row>
      <xdr:rowOff>9525</xdr:rowOff>
    </xdr:from>
    <xdr:to>
      <xdr:col>9</xdr:col>
      <xdr:colOff>209550</xdr:colOff>
      <xdr:row>15</xdr:row>
      <xdr:rowOff>9525</xdr:rowOff>
    </xdr:to>
    <xdr:sp macro="" textlink="">
      <xdr:nvSpPr>
        <xdr:cNvPr id="12398" name="Line 309">
          <a:extLst>
            <a:ext uri="{FF2B5EF4-FFF2-40B4-BE49-F238E27FC236}">
              <a16:creationId xmlns:a16="http://schemas.microsoft.com/office/drawing/2014/main" id="{00000000-0008-0000-0F00-00006E300000}"/>
            </a:ext>
          </a:extLst>
        </xdr:cNvPr>
        <xdr:cNvSpPr>
          <a:spLocks noChangeShapeType="1"/>
        </xdr:cNvSpPr>
      </xdr:nvSpPr>
      <xdr:spPr bwMode="auto">
        <a:xfrm>
          <a:off x="6410325" y="21526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67</xdr:row>
      <xdr:rowOff>19050</xdr:rowOff>
    </xdr:from>
    <xdr:to>
      <xdr:col>9</xdr:col>
      <xdr:colOff>400050</xdr:colOff>
      <xdr:row>67</xdr:row>
      <xdr:rowOff>28575</xdr:rowOff>
    </xdr:to>
    <xdr:sp macro="" textlink="">
      <xdr:nvSpPr>
        <xdr:cNvPr id="12399" name="Freeform 6">
          <a:extLst>
            <a:ext uri="{FF2B5EF4-FFF2-40B4-BE49-F238E27FC236}">
              <a16:creationId xmlns:a16="http://schemas.microsoft.com/office/drawing/2014/main" id="{00000000-0008-0000-0F00-00006F300000}"/>
            </a:ext>
          </a:extLst>
        </xdr:cNvPr>
        <xdr:cNvSpPr>
          <a:spLocks/>
        </xdr:cNvSpPr>
      </xdr:nvSpPr>
      <xdr:spPr bwMode="auto">
        <a:xfrm>
          <a:off x="6496050" y="63722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69</xdr:row>
      <xdr:rowOff>19050</xdr:rowOff>
    </xdr:from>
    <xdr:to>
      <xdr:col>9</xdr:col>
      <xdr:colOff>400050</xdr:colOff>
      <xdr:row>69</xdr:row>
      <xdr:rowOff>28575</xdr:rowOff>
    </xdr:to>
    <xdr:sp macro="" textlink="">
      <xdr:nvSpPr>
        <xdr:cNvPr id="12400" name="Freeform 6">
          <a:extLst>
            <a:ext uri="{FF2B5EF4-FFF2-40B4-BE49-F238E27FC236}">
              <a16:creationId xmlns:a16="http://schemas.microsoft.com/office/drawing/2014/main" id="{00000000-0008-0000-0F00-000070300000}"/>
            </a:ext>
          </a:extLst>
        </xdr:cNvPr>
        <xdr:cNvSpPr>
          <a:spLocks/>
        </xdr:cNvSpPr>
      </xdr:nvSpPr>
      <xdr:spPr bwMode="auto">
        <a:xfrm>
          <a:off x="6496050" y="66198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190500</xdr:colOff>
      <xdr:row>71</xdr:row>
      <xdr:rowOff>19050</xdr:rowOff>
    </xdr:from>
    <xdr:to>
      <xdr:col>9</xdr:col>
      <xdr:colOff>400050</xdr:colOff>
      <xdr:row>71</xdr:row>
      <xdr:rowOff>28575</xdr:rowOff>
    </xdr:to>
    <xdr:sp macro="" textlink="">
      <xdr:nvSpPr>
        <xdr:cNvPr id="12401" name="Freeform 6">
          <a:extLst>
            <a:ext uri="{FF2B5EF4-FFF2-40B4-BE49-F238E27FC236}">
              <a16:creationId xmlns:a16="http://schemas.microsoft.com/office/drawing/2014/main" id="{00000000-0008-0000-0F00-000071300000}"/>
            </a:ext>
          </a:extLst>
        </xdr:cNvPr>
        <xdr:cNvSpPr>
          <a:spLocks/>
        </xdr:cNvSpPr>
      </xdr:nvSpPr>
      <xdr:spPr bwMode="auto">
        <a:xfrm>
          <a:off x="6496050" y="686752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99</xdr:row>
      <xdr:rowOff>9525</xdr:rowOff>
    </xdr:from>
    <xdr:to>
      <xdr:col>9</xdr:col>
      <xdr:colOff>209550</xdr:colOff>
      <xdr:row>99</xdr:row>
      <xdr:rowOff>9525</xdr:rowOff>
    </xdr:to>
    <xdr:sp macro="" textlink="">
      <xdr:nvSpPr>
        <xdr:cNvPr id="12402" name="Line 309">
          <a:extLst>
            <a:ext uri="{FF2B5EF4-FFF2-40B4-BE49-F238E27FC236}">
              <a16:creationId xmlns:a16="http://schemas.microsoft.com/office/drawing/2014/main" id="{00000000-0008-0000-0F00-000072300000}"/>
            </a:ext>
          </a:extLst>
        </xdr:cNvPr>
        <xdr:cNvSpPr>
          <a:spLocks noChangeShapeType="1"/>
        </xdr:cNvSpPr>
      </xdr:nvSpPr>
      <xdr:spPr bwMode="auto">
        <a:xfrm>
          <a:off x="6410325" y="10572750"/>
          <a:ext cx="104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171</xdr:row>
      <xdr:rowOff>19050</xdr:rowOff>
    </xdr:from>
    <xdr:to>
      <xdr:col>9</xdr:col>
      <xdr:colOff>400050</xdr:colOff>
      <xdr:row>171</xdr:row>
      <xdr:rowOff>28575</xdr:rowOff>
    </xdr:to>
    <xdr:sp macro="" textlink="">
      <xdr:nvSpPr>
        <xdr:cNvPr id="12403" name="Freeform 6">
          <a:extLst>
            <a:ext uri="{FF2B5EF4-FFF2-40B4-BE49-F238E27FC236}">
              <a16:creationId xmlns:a16="http://schemas.microsoft.com/office/drawing/2014/main" id="{00000000-0008-0000-0F00-000073300000}"/>
            </a:ext>
          </a:extLst>
        </xdr:cNvPr>
        <xdr:cNvSpPr>
          <a:spLocks/>
        </xdr:cNvSpPr>
      </xdr:nvSpPr>
      <xdr:spPr bwMode="auto">
        <a:xfrm>
          <a:off x="6496050" y="19002375"/>
          <a:ext cx="209550" cy="9525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123825</xdr:colOff>
      <xdr:row>120</xdr:row>
      <xdr:rowOff>104775</xdr:rowOff>
    </xdr:from>
    <xdr:to>
      <xdr:col>6</xdr:col>
      <xdr:colOff>333375</xdr:colOff>
      <xdr:row>121</xdr:row>
      <xdr:rowOff>5715</xdr:rowOff>
    </xdr:to>
    <xdr:sp macro="" textlink="">
      <xdr:nvSpPr>
        <xdr:cNvPr id="12" name="Freeform 6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/>
        </xdr:cNvSpPr>
      </xdr:nvSpPr>
      <xdr:spPr bwMode="auto">
        <a:xfrm>
          <a:off x="4876800" y="13287375"/>
          <a:ext cx="209550" cy="15240"/>
        </a:xfrm>
        <a:custGeom>
          <a:avLst/>
          <a:gdLst>
            <a:gd name="T0" fmla="*/ 0 w 22"/>
            <a:gd name="T1" fmla="*/ 0 h 1"/>
            <a:gd name="T2" fmla="*/ 2147483647 w 22"/>
            <a:gd name="T3" fmla="*/ 0 h 1"/>
            <a:gd name="T4" fmla="*/ 0 60000 65536"/>
            <a:gd name="T5" fmla="*/ 0 60000 65536"/>
            <a:gd name="T6" fmla="*/ 0 w 22"/>
            <a:gd name="T7" fmla="*/ 0 h 1"/>
            <a:gd name="T8" fmla="*/ 22 w 2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2" h="1">
              <a:moveTo>
                <a:pt x="0" y="0"/>
              </a:moveTo>
              <a:lnTo>
                <a:pt x="22" y="0"/>
              </a:lnTo>
            </a:path>
          </a:pathLst>
        </a:custGeom>
        <a:noFill/>
        <a:ln w="19050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3:Q75"/>
  <sheetViews>
    <sheetView showGridLines="0" showZeros="0" view="pageBreakPreview" zoomScaleNormal="80" workbookViewId="0">
      <selection activeCell="B3" sqref="B3:O5"/>
    </sheetView>
  </sheetViews>
  <sheetFormatPr defaultColWidth="9.109375" defaultRowHeight="12.6" x14ac:dyDescent="0.25"/>
  <cols>
    <col min="1" max="1" width="9.109375" style="1"/>
    <col min="2" max="3" width="15.6640625" style="1" customWidth="1"/>
    <col min="4" max="4" width="10.109375" style="1" bestFit="1" customWidth="1"/>
    <col min="5" max="5" width="9.109375" style="1"/>
    <col min="6" max="6" width="9.6640625" style="1" customWidth="1"/>
    <col min="7" max="8" width="8.44140625" style="1" customWidth="1"/>
    <col min="9" max="12" width="9.109375" style="1"/>
    <col min="13" max="13" width="3.109375" style="1" customWidth="1"/>
    <col min="14" max="14" width="13.44140625" style="1" customWidth="1"/>
    <col min="15" max="15" width="13.33203125" style="1" bestFit="1" customWidth="1"/>
    <col min="16" max="18" width="9.109375" style="1"/>
    <col min="19" max="19" width="8" style="1" customWidth="1"/>
    <col min="20" max="16384" width="9.109375" style="1"/>
  </cols>
  <sheetData>
    <row r="3" spans="2:15" ht="9" customHeight="1" x14ac:dyDescent="0.25">
      <c r="B3" s="151" t="s">
        <v>699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2:15" ht="9" customHeight="1" x14ac:dyDescent="0.25"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</row>
    <row r="5" spans="2:15" ht="9" customHeight="1" x14ac:dyDescent="0.25"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</row>
    <row r="6" spans="2:15" ht="15" customHeight="1" x14ac:dyDescent="0.25">
      <c r="B6" s="3" t="s">
        <v>85</v>
      </c>
    </row>
    <row r="7" spans="2:15" ht="2.1" customHeight="1" x14ac:dyDescent="0.25">
      <c r="B7" s="2"/>
    </row>
    <row r="8" spans="2:15" ht="14.1" customHeight="1" x14ac:dyDescent="0.25">
      <c r="B8" s="4" t="s">
        <v>97</v>
      </c>
      <c r="C8" s="5"/>
      <c r="D8" s="6"/>
      <c r="E8" s="4"/>
      <c r="F8" s="5"/>
      <c r="G8" s="6"/>
      <c r="H8" s="4"/>
      <c r="I8" s="5"/>
      <c r="J8" s="4"/>
      <c r="K8" s="4"/>
      <c r="L8" s="4"/>
      <c r="M8" s="4"/>
      <c r="N8" s="6" t="s">
        <v>83</v>
      </c>
      <c r="O8" s="6"/>
    </row>
    <row r="9" spans="2:15" ht="8.1" customHeight="1" x14ac:dyDescent="0.25">
      <c r="B9" s="145" t="s">
        <v>98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54">
        <f>+'T. Fr'!K1045+'T.Fr. B.'!K843+'T.Fr.R.'!K497</f>
        <v>2434</v>
      </c>
      <c r="O9" s="143"/>
    </row>
    <row r="10" spans="2:15" ht="8.1" customHeight="1" x14ac:dyDescent="0.25"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55"/>
      <c r="O10" s="144"/>
    </row>
    <row r="11" spans="2:15" ht="8.1" customHeight="1" x14ac:dyDescent="0.25">
      <c r="B11" s="145" t="s">
        <v>99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3">
        <f>+'T. Pt'!K311</f>
        <v>273</v>
      </c>
      <c r="O11" s="143"/>
    </row>
    <row r="12" spans="2:15" ht="8.1" customHeight="1" x14ac:dyDescent="0.25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4"/>
      <c r="O12" s="144"/>
    </row>
    <row r="13" spans="2:15" ht="8.1" customHeight="1" x14ac:dyDescent="0.25">
      <c r="B13" s="145" t="s">
        <v>101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3">
        <f>+'T. Es'!K555</f>
        <v>510</v>
      </c>
      <c r="O13" s="143"/>
    </row>
    <row r="14" spans="2:15" ht="8.1" customHeight="1" x14ac:dyDescent="0.25"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4"/>
      <c r="O14" s="144"/>
    </row>
    <row r="15" spans="2:15" ht="8.1" customHeight="1" x14ac:dyDescent="0.25">
      <c r="B15" s="145" t="s">
        <v>105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3">
        <f>+'T. It'!K993</f>
        <v>796</v>
      </c>
      <c r="O15" s="143"/>
    </row>
    <row r="16" spans="2:15" ht="8.1" customHeight="1" x14ac:dyDescent="0.25"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4"/>
      <c r="O16" s="144"/>
    </row>
    <row r="17" spans="2:17" ht="8.1" customHeight="1" x14ac:dyDescent="0.25">
      <c r="B17" s="145" t="s">
        <v>102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3" t="e">
        <f>+#REF!</f>
        <v>#REF!</v>
      </c>
      <c r="O17" s="143"/>
    </row>
    <row r="18" spans="2:17" ht="8.1" customHeight="1" x14ac:dyDescent="0.25"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4"/>
      <c r="O18" s="144"/>
    </row>
    <row r="19" spans="2:17" ht="8.1" customHeight="1" x14ac:dyDescent="0.25">
      <c r="B19" s="145" t="s">
        <v>103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3" t="e">
        <f>+#REF!</f>
        <v>#REF!</v>
      </c>
      <c r="O19" s="143"/>
    </row>
    <row r="20" spans="2:17" ht="8.1" customHeight="1" x14ac:dyDescent="0.25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4"/>
      <c r="O20" s="144"/>
    </row>
    <row r="21" spans="2:17" ht="8.1" customHeight="1" x14ac:dyDescent="0.25">
      <c r="B21" s="145" t="s">
        <v>106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3">
        <f>+'T. US'!K643</f>
        <v>603</v>
      </c>
      <c r="O21" s="143"/>
    </row>
    <row r="22" spans="2:17" ht="8.1" customHeight="1" x14ac:dyDescent="0.25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4"/>
      <c r="O22" s="144"/>
    </row>
    <row r="23" spans="2:17" ht="8.1" customHeight="1" x14ac:dyDescent="0.25">
      <c r="B23" s="145" t="s">
        <v>107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3">
        <f>+'T. Aust'!K199</f>
        <v>190</v>
      </c>
      <c r="O23" s="143"/>
    </row>
    <row r="24" spans="2:17" ht="8.1" customHeight="1" x14ac:dyDescent="0.25"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4"/>
      <c r="O24" s="144"/>
    </row>
    <row r="25" spans="2:17" ht="8.1" customHeight="1" x14ac:dyDescent="0.25">
      <c r="B25" s="145" t="s">
        <v>108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3" t="e">
        <f>+#REF!</f>
        <v>#REF!</v>
      </c>
      <c r="O25" s="143"/>
      <c r="Q25" s="147"/>
    </row>
    <row r="26" spans="2:17" ht="8.1" customHeight="1" x14ac:dyDescent="0.25"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4"/>
      <c r="O26" s="144"/>
      <c r="Q26" s="147"/>
    </row>
    <row r="27" spans="2:17" ht="8.1" customHeight="1" x14ac:dyDescent="0.25">
      <c r="B27" s="145" t="s">
        <v>109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3" t="e">
        <f>+#REF!</f>
        <v>#REF!</v>
      </c>
      <c r="O27" s="143"/>
    </row>
    <row r="28" spans="2:17" ht="8.1" customHeight="1" x14ac:dyDescent="0.25"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4"/>
      <c r="O28" s="144"/>
    </row>
    <row r="29" spans="2:17" ht="8.1" customHeight="1" x14ac:dyDescent="0.25">
      <c r="B29" s="145" t="s">
        <v>104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3" t="e">
        <f>+#REF!</f>
        <v>#REF!</v>
      </c>
      <c r="O29" s="143"/>
    </row>
    <row r="30" spans="2:17" ht="8.1" customHeight="1" x14ac:dyDescent="0.25"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4"/>
      <c r="O30" s="144"/>
    </row>
    <row r="31" spans="2:17" ht="8.1" customHeight="1" x14ac:dyDescent="0.25">
      <c r="B31" s="145" t="s">
        <v>208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3" t="e">
        <f>+#REF!+#REF!</f>
        <v>#REF!</v>
      </c>
      <c r="O31" s="143"/>
    </row>
    <row r="32" spans="2:17" ht="8.1" customHeight="1" x14ac:dyDescent="0.25"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4"/>
      <c r="O32" s="144"/>
    </row>
    <row r="33" spans="2:15" ht="9" customHeight="1" x14ac:dyDescent="0.25">
      <c r="B33" s="139" t="s">
        <v>111</v>
      </c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41" t="e">
        <f>SUM(N9:N32)</f>
        <v>#REF!</v>
      </c>
      <c r="O33" s="143"/>
    </row>
    <row r="34" spans="2:15" ht="9" customHeight="1" x14ac:dyDescent="0.25"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2"/>
      <c r="O34" s="144"/>
    </row>
    <row r="35" spans="2:15" ht="2.1" customHeight="1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0"/>
      <c r="O35"/>
    </row>
    <row r="36" spans="2:15" ht="15" customHeight="1" x14ac:dyDescent="0.25">
      <c r="B36" s="12" t="s">
        <v>88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O36"/>
    </row>
    <row r="37" spans="2:15" ht="2.1" customHeight="1" x14ac:dyDescent="0.25"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O37"/>
    </row>
    <row r="38" spans="2:15" ht="14.1" customHeight="1" x14ac:dyDescent="0.25">
      <c r="B38" s="4" t="s">
        <v>97</v>
      </c>
      <c r="C38" s="5"/>
      <c r="D38" s="6"/>
      <c r="E38" s="4"/>
      <c r="F38" s="5"/>
      <c r="G38" s="6"/>
      <c r="H38" s="4"/>
      <c r="I38" s="5"/>
      <c r="J38" s="4"/>
      <c r="K38" s="4"/>
      <c r="L38" s="4"/>
      <c r="M38" s="4"/>
      <c r="N38" s="6" t="s">
        <v>83</v>
      </c>
      <c r="O38" s="4"/>
    </row>
    <row r="39" spans="2:15" ht="8.1" customHeight="1" x14ac:dyDescent="0.25">
      <c r="B39" s="145" t="s">
        <v>98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3">
        <f>+'B. Fr'!K31+'B.Fr.B.'!K427+'B.Fr.R.'!K131</f>
        <v>355</v>
      </c>
      <c r="O39" s="143"/>
    </row>
    <row r="40" spans="2:15" ht="8.1" customHeight="1" x14ac:dyDescent="0.25"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4"/>
      <c r="O40" s="144"/>
    </row>
    <row r="41" spans="2:15" ht="8.1" customHeight="1" x14ac:dyDescent="0.25">
      <c r="B41" s="145" t="s">
        <v>99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3">
        <f>+'B. Pt'!K113</f>
        <v>119</v>
      </c>
      <c r="O41" s="143"/>
    </row>
    <row r="42" spans="2:15" ht="8.1" customHeight="1" x14ac:dyDescent="0.25"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4"/>
      <c r="O42" s="144"/>
    </row>
    <row r="43" spans="2:15" ht="8.1" customHeight="1" x14ac:dyDescent="0.25">
      <c r="B43" s="145" t="s">
        <v>101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3">
        <f>+'B. Es'!K35</f>
        <v>18</v>
      </c>
      <c r="O43" s="143"/>
    </row>
    <row r="44" spans="2:15" ht="8.1" customHeight="1" x14ac:dyDescent="0.25"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4"/>
      <c r="O44" s="144"/>
    </row>
    <row r="45" spans="2:15" ht="8.1" customHeight="1" x14ac:dyDescent="0.25">
      <c r="B45" s="145" t="s">
        <v>105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3">
        <f>+'B. It'!K43</f>
        <v>26</v>
      </c>
      <c r="O45" s="143"/>
    </row>
    <row r="46" spans="2:15" ht="8.1" customHeight="1" x14ac:dyDescent="0.25"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4"/>
      <c r="O46" s="144"/>
    </row>
    <row r="47" spans="2:15" ht="8.1" customHeight="1" x14ac:dyDescent="0.25">
      <c r="B47" s="145" t="s">
        <v>102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3" t="e">
        <f>+#REF!</f>
        <v>#REF!</v>
      </c>
      <c r="O47" s="143"/>
    </row>
    <row r="48" spans="2:15" ht="8.1" customHeight="1" x14ac:dyDescent="0.25"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4"/>
      <c r="O48" s="144"/>
    </row>
    <row r="49" spans="2:17" ht="8.1" customHeight="1" x14ac:dyDescent="0.25">
      <c r="B49" s="145" t="s">
        <v>103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3" t="e">
        <f>+#REF!</f>
        <v>#REF!</v>
      </c>
      <c r="O49" s="143"/>
    </row>
    <row r="50" spans="2:17" ht="8.1" customHeight="1" x14ac:dyDescent="0.25"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4"/>
      <c r="O50" s="144"/>
    </row>
    <row r="51" spans="2:17" ht="8.1" customHeight="1" x14ac:dyDescent="0.25">
      <c r="B51" s="145" t="s">
        <v>106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3">
        <f>+'B. US'!K123</f>
        <v>74</v>
      </c>
      <c r="O51" s="143"/>
    </row>
    <row r="52" spans="2:17" ht="8.1" customHeight="1" x14ac:dyDescent="0.25"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4"/>
      <c r="O52" s="144"/>
    </row>
    <row r="53" spans="2:17" ht="8.1" customHeight="1" x14ac:dyDescent="0.25">
      <c r="B53" s="145" t="s">
        <v>107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3" t="e">
        <f>+#REF!</f>
        <v>#REF!</v>
      </c>
      <c r="O53" s="143"/>
    </row>
    <row r="54" spans="2:17" ht="8.1" customHeight="1" x14ac:dyDescent="0.25"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4"/>
      <c r="O54" s="144"/>
    </row>
    <row r="55" spans="2:17" ht="8.1" customHeight="1" x14ac:dyDescent="0.25">
      <c r="B55" s="145" t="s">
        <v>108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3" t="e">
        <f>+#REF!</f>
        <v>#REF!</v>
      </c>
      <c r="O55" s="143"/>
      <c r="Q55" s="147"/>
    </row>
    <row r="56" spans="2:17" ht="8.1" customHeight="1" x14ac:dyDescent="0.25"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4"/>
      <c r="O56" s="144"/>
      <c r="Q56" s="147"/>
    </row>
    <row r="57" spans="2:17" ht="8.1" customHeight="1" x14ac:dyDescent="0.25">
      <c r="B57" s="145" t="s">
        <v>109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3" t="e">
        <f>+#REF!</f>
        <v>#REF!</v>
      </c>
      <c r="O57" s="143"/>
    </row>
    <row r="58" spans="2:17" ht="8.1" customHeight="1" x14ac:dyDescent="0.25"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4"/>
      <c r="O58" s="144"/>
    </row>
    <row r="59" spans="2:17" ht="8.1" customHeight="1" x14ac:dyDescent="0.25">
      <c r="B59" s="145" t="s">
        <v>104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3" t="e">
        <f>+#REF!</f>
        <v>#REF!</v>
      </c>
      <c r="O59" s="143"/>
    </row>
    <row r="60" spans="2:17" ht="8.1" customHeight="1" x14ac:dyDescent="0.25"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4"/>
      <c r="O60" s="144"/>
    </row>
    <row r="61" spans="2:17" ht="8.1" customHeight="1" x14ac:dyDescent="0.25">
      <c r="B61" s="145" t="s">
        <v>208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3" t="e">
        <f>+#REF!+#REF!</f>
        <v>#REF!</v>
      </c>
      <c r="O61" s="143"/>
    </row>
    <row r="62" spans="2:17" ht="8.1" customHeight="1" x14ac:dyDescent="0.25"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4"/>
      <c r="O62" s="144"/>
    </row>
    <row r="63" spans="2:17" ht="8.1" customHeight="1" x14ac:dyDescent="0.25">
      <c r="B63" s="139" t="s">
        <v>112</v>
      </c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41" t="e">
        <f>SUM(N39:N62)</f>
        <v>#REF!</v>
      </c>
      <c r="O63" s="143"/>
    </row>
    <row r="64" spans="2:17" ht="8.1" customHeight="1" x14ac:dyDescent="0.25"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2"/>
      <c r="O64" s="144"/>
    </row>
    <row r="65" spans="2:17" ht="8.1" customHeight="1" x14ac:dyDescent="0.25">
      <c r="B65" s="139" t="s">
        <v>28</v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41" t="e">
        <f>+#REF!+#REF!+#REF!+#REF!+#REF!+#REF!+#REF!</f>
        <v>#REF!</v>
      </c>
      <c r="O65" s="10"/>
    </row>
    <row r="66" spans="2:17" ht="8.1" customHeight="1" x14ac:dyDescent="0.25"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2"/>
      <c r="O66" s="10"/>
    </row>
    <row r="67" spans="2:17" ht="8.1" customHeight="1" x14ac:dyDescent="0.25">
      <c r="B67" s="139" t="s">
        <v>4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41" t="e">
        <f>+#REF!</f>
        <v>#REF!</v>
      </c>
      <c r="O67" s="143"/>
    </row>
    <row r="68" spans="2:17" ht="8.1" customHeight="1" x14ac:dyDescent="0.25"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2"/>
      <c r="O68" s="144"/>
    </row>
    <row r="69" spans="2:17" ht="8.1" customHeight="1" x14ac:dyDescent="0.25">
      <c r="B69" s="139" t="s">
        <v>5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41" t="e">
        <f>+#REF!+#REF!+#REF!</f>
        <v>#REF!</v>
      </c>
      <c r="O69" s="143"/>
    </row>
    <row r="70" spans="2:17" ht="8.1" customHeight="1" x14ac:dyDescent="0.25"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2"/>
      <c r="O70" s="144"/>
    </row>
    <row r="71" spans="2:17" ht="8.1" customHeight="1" x14ac:dyDescent="0.25">
      <c r="B71" s="139" t="s">
        <v>6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48"/>
      <c r="M71" s="139"/>
      <c r="N71" s="141" t="e">
        <f>+N33+N63+N65+N67+N69</f>
        <v>#REF!</v>
      </c>
      <c r="O71" s="152" t="e">
        <f>-N71+8256</f>
        <v>#REF!</v>
      </c>
      <c r="Q71" s="147"/>
    </row>
    <row r="72" spans="2:17" ht="8.1" customHeight="1" x14ac:dyDescent="0.25"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2"/>
      <c r="O72" s="153"/>
      <c r="Q72" s="147"/>
    </row>
    <row r="74" spans="2:17" x14ac:dyDescent="0.25">
      <c r="O74" s="149" t="e">
        <f>-N71+8256</f>
        <v>#REF!</v>
      </c>
    </row>
    <row r="75" spans="2:17" x14ac:dyDescent="0.25">
      <c r="O75" s="150"/>
    </row>
  </sheetData>
  <mergeCells count="94">
    <mergeCell ref="O31:O32"/>
    <mergeCell ref="O33:O34"/>
    <mergeCell ref="O39:O40"/>
    <mergeCell ref="N59:N60"/>
    <mergeCell ref="O61:O62"/>
    <mergeCell ref="N61:N62"/>
    <mergeCell ref="N31:N32"/>
    <mergeCell ref="N53:N54"/>
    <mergeCell ref="O51:O52"/>
    <mergeCell ref="O53:O54"/>
    <mergeCell ref="N21:N22"/>
    <mergeCell ref="N23:N24"/>
    <mergeCell ref="O74:O75"/>
    <mergeCell ref="B3:O5"/>
    <mergeCell ref="O55:O56"/>
    <mergeCell ref="O71:O72"/>
    <mergeCell ref="O57:O58"/>
    <mergeCell ref="O59:O60"/>
    <mergeCell ref="N9:N10"/>
    <mergeCell ref="N13:N14"/>
    <mergeCell ref="O41:O42"/>
    <mergeCell ref="O43:O44"/>
    <mergeCell ref="O45:O46"/>
    <mergeCell ref="O47:O48"/>
    <mergeCell ref="N43:N44"/>
    <mergeCell ref="N11:N12"/>
    <mergeCell ref="O9:O10"/>
    <mergeCell ref="O11:O12"/>
    <mergeCell ref="O13:O14"/>
    <mergeCell ref="O15:O16"/>
    <mergeCell ref="N15:N16"/>
    <mergeCell ref="O27:O28"/>
    <mergeCell ref="O29:O30"/>
    <mergeCell ref="B19:M20"/>
    <mergeCell ref="B13:M14"/>
    <mergeCell ref="B15:M16"/>
    <mergeCell ref="B17:M18"/>
    <mergeCell ref="N19:N20"/>
    <mergeCell ref="N17:N18"/>
    <mergeCell ref="O17:O18"/>
    <mergeCell ref="O19:O20"/>
    <mergeCell ref="O21:O22"/>
    <mergeCell ref="O23:O24"/>
    <mergeCell ref="O25:O26"/>
    <mergeCell ref="N29:N30"/>
    <mergeCell ref="N25:N26"/>
    <mergeCell ref="N27:N28"/>
    <mergeCell ref="B9:M10"/>
    <mergeCell ref="B21:M22"/>
    <mergeCell ref="B23:M24"/>
    <mergeCell ref="B25:M26"/>
    <mergeCell ref="B27:M28"/>
    <mergeCell ref="B11:M12"/>
    <mergeCell ref="B33:M34"/>
    <mergeCell ref="B39:M40"/>
    <mergeCell ref="B41:M42"/>
    <mergeCell ref="N49:N50"/>
    <mergeCell ref="Q71:Q72"/>
    <mergeCell ref="N45:N46"/>
    <mergeCell ref="O49:O50"/>
    <mergeCell ref="N71:N72"/>
    <mergeCell ref="N63:N64"/>
    <mergeCell ref="N41:N42"/>
    <mergeCell ref="O63:O64"/>
    <mergeCell ref="B61:M62"/>
    <mergeCell ref="B63:M64"/>
    <mergeCell ref="B71:M72"/>
    <mergeCell ref="O67:O68"/>
    <mergeCell ref="N65:N66"/>
    <mergeCell ref="B45:M46"/>
    <mergeCell ref="B47:M48"/>
    <mergeCell ref="B43:M44"/>
    <mergeCell ref="B57:M58"/>
    <mergeCell ref="Q25:Q26"/>
    <mergeCell ref="Q55:Q56"/>
    <mergeCell ref="N51:N52"/>
    <mergeCell ref="B49:M50"/>
    <mergeCell ref="B51:M52"/>
    <mergeCell ref="N55:N56"/>
    <mergeCell ref="N47:N48"/>
    <mergeCell ref="N39:N40"/>
    <mergeCell ref="N57:N58"/>
    <mergeCell ref="N33:N34"/>
    <mergeCell ref="B29:M30"/>
    <mergeCell ref="B31:M32"/>
    <mergeCell ref="B69:M70"/>
    <mergeCell ref="N69:N70"/>
    <mergeCell ref="O69:O70"/>
    <mergeCell ref="B53:M54"/>
    <mergeCell ref="B65:M66"/>
    <mergeCell ref="B67:M68"/>
    <mergeCell ref="N67:N68"/>
    <mergeCell ref="B55:M56"/>
    <mergeCell ref="B59:M60"/>
  </mergeCells>
  <phoneticPr fontId="0" type="noConversion"/>
  <printOptions horizontalCentered="1"/>
  <pageMargins left="0.39370078740157483" right="0.19685039370078741" top="0.51181102362204722" bottom="0.23622047244094491" header="0" footer="0.19685039370078741"/>
  <pageSetup paperSize="9" scale="95" orientation="landscape" r:id="rId1"/>
  <headerFooter alignWithMargins="0">
    <oddFooter>&amp;L&amp;D&amp;R&amp;P/&amp;N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M1062"/>
  <sheetViews>
    <sheetView showGridLines="0" view="pageBreakPreview" topLeftCell="A211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9.6640625" style="89" bestFit="1" customWidth="1"/>
    <col min="13" max="13" width="9.6640625" style="90" bestFit="1" customWidth="1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C6" s="227" t="s">
        <v>430</v>
      </c>
      <c r="D6" s="227"/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C7" s="227"/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s="45" customFormat="1" ht="12" customHeight="1" x14ac:dyDescent="0.2">
      <c r="A9" s="43"/>
      <c r="B9" s="220" t="s">
        <v>82</v>
      </c>
      <c r="C9" s="220"/>
      <c r="D9" s="220"/>
      <c r="E9" s="220"/>
      <c r="F9" s="220"/>
      <c r="G9" s="220" t="s">
        <v>84</v>
      </c>
      <c r="H9" s="220" t="s">
        <v>90</v>
      </c>
      <c r="I9" s="220" t="s">
        <v>192</v>
      </c>
      <c r="J9" s="44" t="s">
        <v>91</v>
      </c>
      <c r="K9" s="220" t="s">
        <v>83</v>
      </c>
      <c r="L9" s="91"/>
      <c r="M9" s="92"/>
    </row>
    <row r="10" spans="1:13" s="45" customFormat="1" ht="12" customHeight="1" x14ac:dyDescent="0.2">
      <c r="A10" s="94"/>
      <c r="B10" s="221"/>
      <c r="C10" s="221"/>
      <c r="D10" s="221"/>
      <c r="E10" s="221"/>
      <c r="F10" s="221"/>
      <c r="G10" s="223"/>
      <c r="H10" s="221"/>
      <c r="I10" s="221"/>
      <c r="J10" s="46" t="s">
        <v>90</v>
      </c>
      <c r="K10" s="221"/>
      <c r="L10" s="91"/>
      <c r="M10" s="92"/>
    </row>
    <row r="11" spans="1:13" s="45" customFormat="1" ht="8.5500000000000007" customHeight="1" x14ac:dyDescent="0.2">
      <c r="A11" s="242"/>
      <c r="B11" s="218" t="s">
        <v>86</v>
      </c>
      <c r="C11" s="218"/>
      <c r="D11" s="218"/>
      <c r="E11" s="218"/>
      <c r="F11" s="218"/>
      <c r="G11" s="73"/>
      <c r="H11" s="73"/>
      <c r="I11" s="73"/>
      <c r="J11" s="73"/>
      <c r="K11" s="73"/>
      <c r="L11" s="91"/>
      <c r="M11" s="92"/>
    </row>
    <row r="12" spans="1:13" s="45" customFormat="1" ht="8.5500000000000007" customHeight="1" x14ac:dyDescent="0.2">
      <c r="A12" s="242"/>
      <c r="B12" s="219"/>
      <c r="C12" s="219"/>
      <c r="D12" s="219"/>
      <c r="E12" s="219"/>
      <c r="F12" s="219"/>
      <c r="G12" s="74"/>
      <c r="H12" s="74"/>
      <c r="I12" s="74"/>
      <c r="J12" s="74"/>
      <c r="K12" s="74"/>
      <c r="L12" s="91"/>
      <c r="M12" s="92"/>
    </row>
    <row r="13" spans="1:13" s="45" customFormat="1" ht="8.5500000000000007" customHeight="1" x14ac:dyDescent="0.2">
      <c r="A13" s="242"/>
      <c r="B13" s="170" t="s">
        <v>942</v>
      </c>
      <c r="C13" s="170"/>
      <c r="D13" s="170"/>
      <c r="E13" s="170"/>
      <c r="F13" s="170"/>
      <c r="G13" s="47"/>
      <c r="H13" s="47"/>
      <c r="I13" s="48"/>
      <c r="J13" s="48"/>
      <c r="K13" s="222"/>
      <c r="L13" s="91"/>
      <c r="M13" s="92"/>
    </row>
    <row r="14" spans="1:13" s="45" customFormat="1" ht="8.5500000000000007" customHeight="1" x14ac:dyDescent="0.2">
      <c r="A14" s="242"/>
      <c r="B14" s="171"/>
      <c r="C14" s="171"/>
      <c r="D14" s="171"/>
      <c r="E14" s="171"/>
      <c r="F14" s="171"/>
      <c r="G14" s="54"/>
      <c r="H14" s="54"/>
      <c r="I14" s="49"/>
      <c r="J14" s="49"/>
      <c r="K14" s="165"/>
      <c r="L14" s="91"/>
      <c r="M14" s="92"/>
    </row>
    <row r="15" spans="1:13" s="45" customFormat="1" ht="8.5500000000000007" customHeight="1" x14ac:dyDescent="0.2">
      <c r="A15" s="126"/>
      <c r="B15" s="183" t="s">
        <v>144</v>
      </c>
      <c r="C15" s="183"/>
      <c r="D15" s="183"/>
      <c r="E15" s="183"/>
      <c r="F15" s="184"/>
      <c r="G15" s="166">
        <v>1955</v>
      </c>
      <c r="H15" s="167">
        <v>94</v>
      </c>
      <c r="I15" s="128"/>
      <c r="J15" s="162" t="s">
        <v>400</v>
      </c>
      <c r="K15" s="164">
        <v>1</v>
      </c>
      <c r="L15" s="91"/>
      <c r="M15" s="92"/>
    </row>
    <row r="16" spans="1:13" s="45" customFormat="1" ht="8.5500000000000007" customHeight="1" x14ac:dyDescent="0.2">
      <c r="A16" s="126"/>
      <c r="B16" s="185"/>
      <c r="C16" s="185"/>
      <c r="D16" s="185"/>
      <c r="E16" s="185"/>
      <c r="F16" s="186"/>
      <c r="G16" s="166"/>
      <c r="H16" s="168"/>
      <c r="I16" s="129"/>
      <c r="J16" s="163"/>
      <c r="K16" s="165"/>
      <c r="L16" s="91"/>
      <c r="M16" s="92"/>
    </row>
    <row r="17" spans="1:13" s="45" customFormat="1" ht="8.5500000000000007" customHeight="1" x14ac:dyDescent="0.2">
      <c r="A17" s="43"/>
      <c r="B17" s="156" t="s">
        <v>1358</v>
      </c>
      <c r="C17" s="156"/>
      <c r="D17" s="156"/>
      <c r="E17" s="156"/>
      <c r="F17" s="157"/>
      <c r="G17" s="166">
        <v>1970</v>
      </c>
      <c r="H17" s="167">
        <v>89</v>
      </c>
      <c r="I17" s="160"/>
      <c r="J17" s="160"/>
      <c r="K17" s="164">
        <v>1</v>
      </c>
      <c r="L17" s="91"/>
      <c r="M17" s="92"/>
    </row>
    <row r="18" spans="1:13" s="45" customFormat="1" ht="8.5500000000000007" customHeight="1" x14ac:dyDescent="0.2">
      <c r="A18" s="43"/>
      <c r="B18" s="158"/>
      <c r="C18" s="158"/>
      <c r="D18" s="158"/>
      <c r="E18" s="158"/>
      <c r="F18" s="159"/>
      <c r="G18" s="166"/>
      <c r="H18" s="168"/>
      <c r="I18" s="161"/>
      <c r="J18" s="161"/>
      <c r="K18" s="165"/>
      <c r="L18" s="91"/>
      <c r="M18" s="92"/>
    </row>
    <row r="19" spans="1:13" s="45" customFormat="1" ht="8.5500000000000007" customHeight="1" x14ac:dyDescent="0.2">
      <c r="A19" s="43"/>
      <c r="B19" s="156" t="s">
        <v>621</v>
      </c>
      <c r="C19" s="156"/>
      <c r="D19" s="156"/>
      <c r="E19" s="156"/>
      <c r="F19" s="157"/>
      <c r="G19" s="166">
        <v>1970</v>
      </c>
      <c r="H19" s="167">
        <v>89</v>
      </c>
      <c r="I19" s="160"/>
      <c r="J19" s="160"/>
      <c r="K19" s="164">
        <v>1</v>
      </c>
      <c r="L19" s="91"/>
      <c r="M19" s="92"/>
    </row>
    <row r="20" spans="1:13" s="45" customFormat="1" ht="8.5500000000000007" customHeight="1" x14ac:dyDescent="0.2">
      <c r="A20" s="43"/>
      <c r="B20" s="158"/>
      <c r="C20" s="158"/>
      <c r="D20" s="158"/>
      <c r="E20" s="158"/>
      <c r="F20" s="159"/>
      <c r="G20" s="166"/>
      <c r="H20" s="168"/>
      <c r="I20" s="161"/>
      <c r="J20" s="161"/>
      <c r="K20" s="165"/>
      <c r="L20" s="91"/>
      <c r="M20" s="92"/>
    </row>
    <row r="21" spans="1:13" s="45" customFormat="1" ht="8.5500000000000007" customHeight="1" x14ac:dyDescent="0.2">
      <c r="A21" s="43"/>
      <c r="B21" s="183" t="s">
        <v>144</v>
      </c>
      <c r="C21" s="183"/>
      <c r="D21" s="183"/>
      <c r="E21" s="183"/>
      <c r="F21" s="184"/>
      <c r="G21" s="166">
        <v>1982</v>
      </c>
      <c r="H21" s="167">
        <v>100</v>
      </c>
      <c r="I21" s="160">
        <v>98</v>
      </c>
      <c r="J21" s="162" t="s">
        <v>215</v>
      </c>
      <c r="K21" s="164">
        <v>2</v>
      </c>
      <c r="L21" s="91"/>
      <c r="M21" s="92"/>
    </row>
    <row r="22" spans="1:13" s="45" customFormat="1" ht="8.5500000000000007" customHeight="1" x14ac:dyDescent="0.2">
      <c r="A22" s="43"/>
      <c r="B22" s="185"/>
      <c r="C22" s="185"/>
      <c r="D22" s="185"/>
      <c r="E22" s="185"/>
      <c r="F22" s="186"/>
      <c r="G22" s="166"/>
      <c r="H22" s="168"/>
      <c r="I22" s="161"/>
      <c r="J22" s="163"/>
      <c r="K22" s="165"/>
      <c r="L22" s="91"/>
      <c r="M22" s="92"/>
    </row>
    <row r="23" spans="1:13" s="45" customFormat="1" ht="8.5500000000000007" customHeight="1" x14ac:dyDescent="0.2">
      <c r="A23" s="43"/>
      <c r="B23" s="183" t="s">
        <v>144</v>
      </c>
      <c r="C23" s="183"/>
      <c r="D23" s="183"/>
      <c r="E23" s="183"/>
      <c r="F23" s="184"/>
      <c r="G23" s="166">
        <v>1989</v>
      </c>
      <c r="H23" s="167">
        <v>89</v>
      </c>
      <c r="I23" s="160"/>
      <c r="J23" s="162" t="s">
        <v>400</v>
      </c>
      <c r="K23" s="164">
        <v>1</v>
      </c>
      <c r="L23" s="91"/>
      <c r="M23" s="92"/>
    </row>
    <row r="24" spans="1:13" s="45" customFormat="1" ht="8.5500000000000007" customHeight="1" x14ac:dyDescent="0.2">
      <c r="A24" s="43"/>
      <c r="B24" s="185"/>
      <c r="C24" s="185"/>
      <c r="D24" s="185"/>
      <c r="E24" s="185"/>
      <c r="F24" s="186"/>
      <c r="G24" s="166"/>
      <c r="H24" s="168"/>
      <c r="I24" s="161"/>
      <c r="J24" s="163"/>
      <c r="K24" s="165"/>
      <c r="L24" s="91"/>
      <c r="M24" s="92"/>
    </row>
    <row r="25" spans="1:13" s="45" customFormat="1" ht="8.5500000000000007" customHeight="1" x14ac:dyDescent="0.2">
      <c r="A25" s="43"/>
      <c r="B25" s="183" t="s">
        <v>144</v>
      </c>
      <c r="C25" s="183"/>
      <c r="D25" s="183"/>
      <c r="E25" s="183"/>
      <c r="F25" s="184"/>
      <c r="G25" s="166">
        <v>1990</v>
      </c>
      <c r="H25" s="167" t="s">
        <v>623</v>
      </c>
      <c r="I25" s="160">
        <v>100</v>
      </c>
      <c r="J25" s="162" t="s">
        <v>25</v>
      </c>
      <c r="K25" s="164">
        <v>5</v>
      </c>
      <c r="L25" s="91"/>
      <c r="M25" s="92"/>
    </row>
    <row r="26" spans="1:13" s="45" customFormat="1" ht="8.5500000000000007" customHeight="1" x14ac:dyDescent="0.2">
      <c r="A26" s="43"/>
      <c r="B26" s="185"/>
      <c r="C26" s="185"/>
      <c r="D26" s="185"/>
      <c r="E26" s="185"/>
      <c r="F26" s="186"/>
      <c r="G26" s="166"/>
      <c r="H26" s="168"/>
      <c r="I26" s="161"/>
      <c r="J26" s="163"/>
      <c r="K26" s="165"/>
      <c r="L26" s="91"/>
      <c r="M26" s="92"/>
    </row>
    <row r="27" spans="1:13" s="45" customFormat="1" ht="8.5500000000000007" customHeight="1" x14ac:dyDescent="0.2">
      <c r="A27" s="43"/>
      <c r="B27" s="156" t="s">
        <v>621</v>
      </c>
      <c r="C27" s="156"/>
      <c r="D27" s="156"/>
      <c r="E27" s="156"/>
      <c r="F27" s="157"/>
      <c r="G27" s="166">
        <v>1990</v>
      </c>
      <c r="H27" s="167" t="s">
        <v>623</v>
      </c>
      <c r="I27" s="160">
        <v>100</v>
      </c>
      <c r="J27" s="162" t="s">
        <v>25</v>
      </c>
      <c r="K27" s="164">
        <v>1</v>
      </c>
      <c r="L27" s="91"/>
      <c r="M27" s="92"/>
    </row>
    <row r="28" spans="1:13" s="45" customFormat="1" ht="8.5500000000000007" customHeight="1" x14ac:dyDescent="0.2">
      <c r="A28" s="43"/>
      <c r="B28" s="158"/>
      <c r="C28" s="158"/>
      <c r="D28" s="158"/>
      <c r="E28" s="158"/>
      <c r="F28" s="159"/>
      <c r="G28" s="166"/>
      <c r="H28" s="168"/>
      <c r="I28" s="161"/>
      <c r="J28" s="163"/>
      <c r="K28" s="165"/>
      <c r="L28" s="91"/>
      <c r="M28" s="92"/>
    </row>
    <row r="29" spans="1:13" s="45" customFormat="1" ht="8.5500000000000007" customHeight="1" x14ac:dyDescent="0.2">
      <c r="A29" s="43"/>
      <c r="B29" s="183" t="s">
        <v>144</v>
      </c>
      <c r="C29" s="183"/>
      <c r="D29" s="183"/>
      <c r="E29" s="183"/>
      <c r="F29" s="184"/>
      <c r="G29" s="166">
        <v>1994</v>
      </c>
      <c r="H29" s="167">
        <v>94</v>
      </c>
      <c r="I29" s="160">
        <v>91</v>
      </c>
      <c r="J29" s="162" t="s">
        <v>323</v>
      </c>
      <c r="K29" s="164">
        <v>1</v>
      </c>
      <c r="L29" s="91"/>
      <c r="M29" s="92"/>
    </row>
    <row r="30" spans="1:13" s="45" customFormat="1" ht="8.5500000000000007" customHeight="1" x14ac:dyDescent="0.2">
      <c r="A30" s="43"/>
      <c r="B30" s="185"/>
      <c r="C30" s="185"/>
      <c r="D30" s="185"/>
      <c r="E30" s="185"/>
      <c r="F30" s="186"/>
      <c r="G30" s="166"/>
      <c r="H30" s="168"/>
      <c r="I30" s="161"/>
      <c r="J30" s="163"/>
      <c r="K30" s="165"/>
      <c r="L30" s="91"/>
      <c r="M30" s="92"/>
    </row>
    <row r="31" spans="1:13" s="45" customFormat="1" ht="8.5500000000000007" customHeight="1" x14ac:dyDescent="0.2">
      <c r="A31" s="43"/>
      <c r="B31" s="156" t="s">
        <v>163</v>
      </c>
      <c r="C31" s="156"/>
      <c r="D31" s="156"/>
      <c r="E31" s="156"/>
      <c r="F31" s="157"/>
      <c r="G31" s="166">
        <v>1995</v>
      </c>
      <c r="H31" s="167">
        <v>96</v>
      </c>
      <c r="I31" s="160">
        <v>94</v>
      </c>
      <c r="J31" s="162" t="s">
        <v>295</v>
      </c>
      <c r="K31" s="164">
        <v>5</v>
      </c>
      <c r="L31" s="91"/>
      <c r="M31" s="92"/>
    </row>
    <row r="32" spans="1:13" s="45" customFormat="1" ht="8.5500000000000007" customHeight="1" x14ac:dyDescent="0.2">
      <c r="A32" s="43"/>
      <c r="B32" s="158"/>
      <c r="C32" s="158"/>
      <c r="D32" s="158"/>
      <c r="E32" s="158"/>
      <c r="F32" s="159"/>
      <c r="G32" s="166"/>
      <c r="H32" s="168"/>
      <c r="I32" s="161"/>
      <c r="J32" s="163"/>
      <c r="K32" s="165"/>
      <c r="L32" s="91"/>
      <c r="M32" s="92"/>
    </row>
    <row r="33" spans="1:13" s="45" customFormat="1" ht="8.5500000000000007" customHeight="1" x14ac:dyDescent="0.2">
      <c r="A33" s="43"/>
      <c r="B33" s="156" t="s">
        <v>621</v>
      </c>
      <c r="C33" s="156"/>
      <c r="D33" s="156"/>
      <c r="E33" s="156"/>
      <c r="F33" s="157"/>
      <c r="G33" s="166">
        <v>1995</v>
      </c>
      <c r="H33" s="167">
        <v>96</v>
      </c>
      <c r="I33" s="160">
        <v>94</v>
      </c>
      <c r="J33" s="162" t="s">
        <v>295</v>
      </c>
      <c r="K33" s="164">
        <v>1</v>
      </c>
      <c r="L33" s="91"/>
      <c r="M33" s="92"/>
    </row>
    <row r="34" spans="1:13" s="45" customFormat="1" ht="8.5500000000000007" customHeight="1" x14ac:dyDescent="0.2">
      <c r="A34" s="43"/>
      <c r="B34" s="158"/>
      <c r="C34" s="158"/>
      <c r="D34" s="158"/>
      <c r="E34" s="158"/>
      <c r="F34" s="159"/>
      <c r="G34" s="166"/>
      <c r="H34" s="168"/>
      <c r="I34" s="161"/>
      <c r="J34" s="163"/>
      <c r="K34" s="165"/>
      <c r="L34" s="91"/>
      <c r="M34" s="92"/>
    </row>
    <row r="35" spans="1:13" s="45" customFormat="1" ht="8.5500000000000007" customHeight="1" x14ac:dyDescent="0.2">
      <c r="A35" s="43"/>
      <c r="B35" s="156" t="s">
        <v>163</v>
      </c>
      <c r="C35" s="156"/>
      <c r="D35" s="156"/>
      <c r="E35" s="156"/>
      <c r="F35" s="157"/>
      <c r="G35" s="166">
        <v>1996</v>
      </c>
      <c r="H35" s="167" t="s">
        <v>623</v>
      </c>
      <c r="I35" s="160">
        <v>96</v>
      </c>
      <c r="J35" s="162" t="s">
        <v>1890</v>
      </c>
      <c r="K35" s="164">
        <v>5</v>
      </c>
      <c r="L35" s="91"/>
      <c r="M35" s="92"/>
    </row>
    <row r="36" spans="1:13" s="45" customFormat="1" ht="8.5500000000000007" customHeight="1" x14ac:dyDescent="0.2">
      <c r="A36" s="43"/>
      <c r="B36" s="158"/>
      <c r="C36" s="158"/>
      <c r="D36" s="158"/>
      <c r="E36" s="158"/>
      <c r="F36" s="159"/>
      <c r="G36" s="166"/>
      <c r="H36" s="168"/>
      <c r="I36" s="161"/>
      <c r="J36" s="163"/>
      <c r="K36" s="165"/>
      <c r="L36" s="91"/>
      <c r="M36" s="92"/>
    </row>
    <row r="37" spans="1:13" s="45" customFormat="1" ht="8.5500000000000007" customHeight="1" x14ac:dyDescent="0.2">
      <c r="A37" s="43"/>
      <c r="B37" s="156" t="s">
        <v>621</v>
      </c>
      <c r="C37" s="156"/>
      <c r="D37" s="156"/>
      <c r="E37" s="156"/>
      <c r="F37" s="157"/>
      <c r="G37" s="166">
        <v>1996</v>
      </c>
      <c r="H37" s="167" t="s">
        <v>623</v>
      </c>
      <c r="I37" s="160">
        <v>96</v>
      </c>
      <c r="J37" s="162" t="s">
        <v>1890</v>
      </c>
      <c r="K37" s="164">
        <v>1</v>
      </c>
      <c r="L37" s="91"/>
      <c r="M37" s="92"/>
    </row>
    <row r="38" spans="1:13" s="45" customFormat="1" ht="8.5500000000000007" customHeight="1" x14ac:dyDescent="0.2">
      <c r="A38" s="43"/>
      <c r="B38" s="158"/>
      <c r="C38" s="158"/>
      <c r="D38" s="158"/>
      <c r="E38" s="158"/>
      <c r="F38" s="159"/>
      <c r="G38" s="166"/>
      <c r="H38" s="168"/>
      <c r="I38" s="161"/>
      <c r="J38" s="163"/>
      <c r="K38" s="165"/>
      <c r="L38" s="91"/>
      <c r="M38" s="92"/>
    </row>
    <row r="39" spans="1:13" s="45" customFormat="1" ht="8.5500000000000007" customHeight="1" x14ac:dyDescent="0.2">
      <c r="A39" s="43"/>
      <c r="B39" s="156" t="s">
        <v>163</v>
      </c>
      <c r="C39" s="156"/>
      <c r="D39" s="156"/>
      <c r="E39" s="156"/>
      <c r="F39" s="157"/>
      <c r="G39" s="166">
        <v>1998</v>
      </c>
      <c r="H39" s="167">
        <v>90</v>
      </c>
      <c r="I39" s="160">
        <v>90</v>
      </c>
      <c r="J39" s="211" t="s">
        <v>1889</v>
      </c>
      <c r="K39" s="164">
        <v>2</v>
      </c>
      <c r="L39" s="91"/>
      <c r="M39" s="92"/>
    </row>
    <row r="40" spans="1:13" s="45" customFormat="1" ht="8.5500000000000007" customHeight="1" x14ac:dyDescent="0.2">
      <c r="A40" s="43"/>
      <c r="B40" s="158"/>
      <c r="C40" s="158"/>
      <c r="D40" s="158"/>
      <c r="E40" s="158"/>
      <c r="F40" s="159"/>
      <c r="G40" s="166"/>
      <c r="H40" s="168"/>
      <c r="I40" s="161"/>
      <c r="J40" s="168"/>
      <c r="K40" s="165"/>
      <c r="L40" s="91"/>
      <c r="M40" s="92"/>
    </row>
    <row r="41" spans="1:13" s="45" customFormat="1" ht="8.5500000000000007" customHeight="1" x14ac:dyDescent="0.2">
      <c r="A41" s="43"/>
      <c r="B41" s="156" t="s">
        <v>163</v>
      </c>
      <c r="C41" s="156"/>
      <c r="D41" s="156"/>
      <c r="E41" s="156"/>
      <c r="F41" s="157"/>
      <c r="G41" s="166">
        <v>1999</v>
      </c>
      <c r="H41" s="167">
        <v>94</v>
      </c>
      <c r="I41" s="160">
        <v>93</v>
      </c>
      <c r="J41" s="211" t="s">
        <v>1888</v>
      </c>
      <c r="K41" s="164">
        <v>2</v>
      </c>
      <c r="L41" s="91"/>
      <c r="M41" s="92"/>
    </row>
    <row r="42" spans="1:13" s="45" customFormat="1" ht="8.5500000000000007" customHeight="1" x14ac:dyDescent="0.2">
      <c r="A42" s="43"/>
      <c r="B42" s="158"/>
      <c r="C42" s="158"/>
      <c r="D42" s="158"/>
      <c r="E42" s="158"/>
      <c r="F42" s="159"/>
      <c r="G42" s="166"/>
      <c r="H42" s="168"/>
      <c r="I42" s="161"/>
      <c r="J42" s="168"/>
      <c r="K42" s="165"/>
      <c r="L42" s="91"/>
      <c r="M42" s="92"/>
    </row>
    <row r="43" spans="1:13" s="45" customFormat="1" ht="8.5500000000000007" customHeight="1" x14ac:dyDescent="0.2">
      <c r="A43" s="43"/>
      <c r="B43" s="156" t="s">
        <v>163</v>
      </c>
      <c r="C43" s="156"/>
      <c r="D43" s="156"/>
      <c r="E43" s="156"/>
      <c r="F43" s="157"/>
      <c r="G43" s="166">
        <v>2001</v>
      </c>
      <c r="H43" s="167">
        <v>95</v>
      </c>
      <c r="I43" s="160">
        <v>95</v>
      </c>
      <c r="J43" s="211" t="s">
        <v>1887</v>
      </c>
      <c r="K43" s="164">
        <v>3</v>
      </c>
      <c r="L43" s="91"/>
      <c r="M43" s="92"/>
    </row>
    <row r="44" spans="1:13" s="45" customFormat="1" ht="8.5500000000000007" customHeight="1" x14ac:dyDescent="0.2">
      <c r="A44" s="43"/>
      <c r="B44" s="158"/>
      <c r="C44" s="158"/>
      <c r="D44" s="158"/>
      <c r="E44" s="158"/>
      <c r="F44" s="159"/>
      <c r="G44" s="166"/>
      <c r="H44" s="168"/>
      <c r="I44" s="161"/>
      <c r="J44" s="168"/>
      <c r="K44" s="165"/>
      <c r="L44" s="91"/>
      <c r="M44" s="92"/>
    </row>
    <row r="45" spans="1:13" s="45" customFormat="1" ht="8.5500000000000007" customHeight="1" x14ac:dyDescent="0.2">
      <c r="A45" s="43"/>
      <c r="B45" s="156" t="s">
        <v>163</v>
      </c>
      <c r="C45" s="156"/>
      <c r="D45" s="156"/>
      <c r="E45" s="156"/>
      <c r="F45" s="157"/>
      <c r="G45" s="166">
        <v>2002</v>
      </c>
      <c r="H45" s="167">
        <v>96</v>
      </c>
      <c r="I45" s="160">
        <v>96</v>
      </c>
      <c r="J45" s="162" t="s">
        <v>215</v>
      </c>
      <c r="K45" s="164">
        <v>2</v>
      </c>
      <c r="L45" s="91"/>
      <c r="M45" s="92"/>
    </row>
    <row r="46" spans="1:13" s="45" customFormat="1" ht="8.5500000000000007" customHeight="1" x14ac:dyDescent="0.2">
      <c r="A46" s="43"/>
      <c r="B46" s="158"/>
      <c r="C46" s="158"/>
      <c r="D46" s="158"/>
      <c r="E46" s="158"/>
      <c r="F46" s="159"/>
      <c r="G46" s="166"/>
      <c r="H46" s="168"/>
      <c r="I46" s="161"/>
      <c r="J46" s="163"/>
      <c r="K46" s="165"/>
      <c r="L46" s="91"/>
      <c r="M46" s="92"/>
    </row>
    <row r="47" spans="1:13" s="45" customFormat="1" ht="8.5500000000000007" customHeight="1" x14ac:dyDescent="0.2">
      <c r="A47" s="43"/>
      <c r="B47" s="156" t="s">
        <v>163</v>
      </c>
      <c r="C47" s="156"/>
      <c r="D47" s="156"/>
      <c r="E47" s="156"/>
      <c r="F47" s="157"/>
      <c r="G47" s="166">
        <v>2003</v>
      </c>
      <c r="H47" s="167">
        <v>100</v>
      </c>
      <c r="I47" s="160">
        <v>98</v>
      </c>
      <c r="J47" s="162" t="s">
        <v>323</v>
      </c>
      <c r="K47" s="164">
        <v>4</v>
      </c>
      <c r="L47" s="91"/>
      <c r="M47" s="92"/>
    </row>
    <row r="48" spans="1:13" s="45" customFormat="1" ht="8.5500000000000007" customHeight="1" x14ac:dyDescent="0.2">
      <c r="A48" s="43"/>
      <c r="B48" s="158"/>
      <c r="C48" s="158"/>
      <c r="D48" s="158"/>
      <c r="E48" s="158"/>
      <c r="F48" s="159"/>
      <c r="G48" s="166"/>
      <c r="H48" s="168"/>
      <c r="I48" s="161"/>
      <c r="J48" s="163"/>
      <c r="K48" s="165"/>
      <c r="L48" s="91"/>
      <c r="M48" s="92"/>
    </row>
    <row r="49" spans="1:13" s="45" customFormat="1" ht="8.5500000000000007" customHeight="1" x14ac:dyDescent="0.2">
      <c r="A49" s="43"/>
      <c r="B49" s="156" t="s">
        <v>621</v>
      </c>
      <c r="C49" s="156"/>
      <c r="D49" s="156"/>
      <c r="E49" s="156"/>
      <c r="F49" s="157"/>
      <c r="G49" s="166">
        <v>2011</v>
      </c>
      <c r="H49" s="167" t="s">
        <v>74</v>
      </c>
      <c r="I49" s="160"/>
      <c r="J49" s="162" t="s">
        <v>305</v>
      </c>
      <c r="K49" s="164">
        <v>1</v>
      </c>
      <c r="L49" s="91"/>
      <c r="M49" s="92"/>
    </row>
    <row r="50" spans="1:13" s="45" customFormat="1" ht="8.5500000000000007" customHeight="1" x14ac:dyDescent="0.2">
      <c r="A50" s="43"/>
      <c r="B50" s="158"/>
      <c r="C50" s="158"/>
      <c r="D50" s="158"/>
      <c r="E50" s="158"/>
      <c r="F50" s="159"/>
      <c r="G50" s="166"/>
      <c r="H50" s="168"/>
      <c r="I50" s="161"/>
      <c r="J50" s="163"/>
      <c r="K50" s="165"/>
      <c r="L50" s="91"/>
      <c r="M50" s="92"/>
    </row>
    <row r="51" spans="1:13" s="45" customFormat="1" ht="8.5500000000000007" customHeight="1" x14ac:dyDescent="0.2">
      <c r="A51" s="43"/>
      <c r="B51" s="172" t="s">
        <v>142</v>
      </c>
      <c r="C51" s="172"/>
      <c r="D51" s="172"/>
      <c r="E51" s="172"/>
      <c r="F51" s="173"/>
      <c r="G51" s="166">
        <v>1953</v>
      </c>
      <c r="H51" s="167">
        <v>100</v>
      </c>
      <c r="I51" s="160"/>
      <c r="J51" s="160"/>
      <c r="K51" s="164">
        <v>1</v>
      </c>
      <c r="L51" s="91"/>
      <c r="M51" s="92"/>
    </row>
    <row r="52" spans="1:13" s="45" customFormat="1" ht="8.5500000000000007" customHeight="1" x14ac:dyDescent="0.2">
      <c r="A52" s="43"/>
      <c r="B52" s="174"/>
      <c r="C52" s="174"/>
      <c r="D52" s="174"/>
      <c r="E52" s="174"/>
      <c r="F52" s="175"/>
      <c r="G52" s="166"/>
      <c r="H52" s="168"/>
      <c r="I52" s="161"/>
      <c r="J52" s="161"/>
      <c r="K52" s="165"/>
      <c r="L52" s="91"/>
      <c r="M52" s="92"/>
    </row>
    <row r="53" spans="1:13" s="45" customFormat="1" ht="8.5500000000000007" customHeight="1" x14ac:dyDescent="0.2">
      <c r="A53" s="43"/>
      <c r="B53" s="156" t="s">
        <v>142</v>
      </c>
      <c r="C53" s="156"/>
      <c r="D53" s="156"/>
      <c r="E53" s="156"/>
      <c r="F53" s="157"/>
      <c r="G53" s="166">
        <v>1955</v>
      </c>
      <c r="H53" s="160"/>
      <c r="I53" s="160"/>
      <c r="J53" s="160"/>
      <c r="K53" s="164">
        <v>1</v>
      </c>
      <c r="L53" s="91"/>
      <c r="M53" s="92"/>
    </row>
    <row r="54" spans="1:13" s="45" customFormat="1" ht="8.5500000000000007" customHeight="1" x14ac:dyDescent="0.2">
      <c r="A54" s="43"/>
      <c r="B54" s="158"/>
      <c r="C54" s="158"/>
      <c r="D54" s="158"/>
      <c r="E54" s="158"/>
      <c r="F54" s="159"/>
      <c r="G54" s="166"/>
      <c r="H54" s="161"/>
      <c r="I54" s="161"/>
      <c r="J54" s="161"/>
      <c r="K54" s="165"/>
      <c r="L54" s="91"/>
      <c r="M54" s="92"/>
    </row>
    <row r="55" spans="1:13" s="45" customFormat="1" ht="8.5500000000000007" customHeight="1" x14ac:dyDescent="0.2">
      <c r="A55" s="43"/>
      <c r="B55" s="156" t="s">
        <v>142</v>
      </c>
      <c r="C55" s="156"/>
      <c r="D55" s="156"/>
      <c r="E55" s="156"/>
      <c r="F55" s="157"/>
      <c r="G55" s="166">
        <v>1966</v>
      </c>
      <c r="H55" s="167">
        <v>84</v>
      </c>
      <c r="I55" s="160"/>
      <c r="J55" s="162"/>
      <c r="K55" s="164">
        <v>1</v>
      </c>
      <c r="L55" s="91"/>
      <c r="M55" s="92"/>
    </row>
    <row r="56" spans="1:13" s="45" customFormat="1" ht="8.5500000000000007" customHeight="1" x14ac:dyDescent="0.2">
      <c r="A56" s="43"/>
      <c r="B56" s="158"/>
      <c r="C56" s="158"/>
      <c r="D56" s="158"/>
      <c r="E56" s="158"/>
      <c r="F56" s="159"/>
      <c r="G56" s="166"/>
      <c r="H56" s="168"/>
      <c r="I56" s="161"/>
      <c r="J56" s="163"/>
      <c r="K56" s="165"/>
      <c r="L56" s="91"/>
      <c r="M56" s="92"/>
    </row>
    <row r="57" spans="1:13" s="45" customFormat="1" ht="8.5500000000000007" customHeight="1" x14ac:dyDescent="0.2">
      <c r="A57" s="43"/>
      <c r="B57" s="156" t="s">
        <v>142</v>
      </c>
      <c r="C57" s="156"/>
      <c r="D57" s="156"/>
      <c r="E57" s="156"/>
      <c r="F57" s="157"/>
      <c r="G57" s="166">
        <v>1976</v>
      </c>
      <c r="H57" s="167">
        <v>93</v>
      </c>
      <c r="I57" s="160"/>
      <c r="J57" s="162" t="s">
        <v>2005</v>
      </c>
      <c r="K57" s="164">
        <v>2</v>
      </c>
      <c r="L57" s="91"/>
      <c r="M57" s="92"/>
    </row>
    <row r="58" spans="1:13" s="45" customFormat="1" ht="8.5500000000000007" customHeight="1" x14ac:dyDescent="0.2">
      <c r="A58" s="43"/>
      <c r="B58" s="158"/>
      <c r="C58" s="158"/>
      <c r="D58" s="158"/>
      <c r="E58" s="158"/>
      <c r="F58" s="159"/>
      <c r="G58" s="166"/>
      <c r="H58" s="168"/>
      <c r="I58" s="161"/>
      <c r="J58" s="163"/>
      <c r="K58" s="165"/>
      <c r="L58" s="91"/>
      <c r="M58" s="92"/>
    </row>
    <row r="59" spans="1:13" s="45" customFormat="1" ht="8.5500000000000007" customHeight="1" x14ac:dyDescent="0.2">
      <c r="A59" s="43"/>
      <c r="B59" s="156" t="s">
        <v>142</v>
      </c>
      <c r="C59" s="156"/>
      <c r="D59" s="156"/>
      <c r="E59" s="156"/>
      <c r="F59" s="157"/>
      <c r="G59" s="166">
        <v>1979</v>
      </c>
      <c r="H59" s="167">
        <v>87</v>
      </c>
      <c r="I59" s="160"/>
      <c r="J59" s="162" t="s">
        <v>37</v>
      </c>
      <c r="K59" s="164">
        <v>1</v>
      </c>
      <c r="L59" s="91"/>
      <c r="M59" s="92"/>
    </row>
    <row r="60" spans="1:13" s="45" customFormat="1" ht="8.5500000000000007" customHeight="1" x14ac:dyDescent="0.2">
      <c r="A60" s="43"/>
      <c r="B60" s="158"/>
      <c r="C60" s="158"/>
      <c r="D60" s="158"/>
      <c r="E60" s="158"/>
      <c r="F60" s="159"/>
      <c r="G60" s="166"/>
      <c r="H60" s="168"/>
      <c r="I60" s="161"/>
      <c r="J60" s="163"/>
      <c r="K60" s="165"/>
      <c r="L60" s="91"/>
      <c r="M60" s="92"/>
    </row>
    <row r="61" spans="1:13" s="45" customFormat="1" ht="8.5500000000000007" customHeight="1" x14ac:dyDescent="0.2">
      <c r="A61" s="43"/>
      <c r="B61" s="156" t="s">
        <v>142</v>
      </c>
      <c r="C61" s="156"/>
      <c r="D61" s="156"/>
      <c r="E61" s="156"/>
      <c r="F61" s="157"/>
      <c r="G61" s="166">
        <v>1986</v>
      </c>
      <c r="H61" s="167" t="s">
        <v>623</v>
      </c>
      <c r="I61" s="160">
        <v>94</v>
      </c>
      <c r="J61" s="162" t="s">
        <v>342</v>
      </c>
      <c r="K61" s="164">
        <v>4</v>
      </c>
      <c r="L61" s="91"/>
      <c r="M61" s="92"/>
    </row>
    <row r="62" spans="1:13" s="45" customFormat="1" ht="8.5500000000000007" customHeight="1" x14ac:dyDescent="0.2">
      <c r="A62" s="43"/>
      <c r="B62" s="158"/>
      <c r="C62" s="158"/>
      <c r="D62" s="158"/>
      <c r="E62" s="158"/>
      <c r="F62" s="159"/>
      <c r="G62" s="166"/>
      <c r="H62" s="168"/>
      <c r="I62" s="161"/>
      <c r="J62" s="163"/>
      <c r="K62" s="165"/>
      <c r="L62" s="91"/>
      <c r="M62" s="92"/>
    </row>
    <row r="63" spans="1:13" s="45" customFormat="1" ht="8.5500000000000007" customHeight="1" x14ac:dyDescent="0.2">
      <c r="A63" s="43"/>
      <c r="B63" s="156" t="s">
        <v>142</v>
      </c>
      <c r="C63" s="156"/>
      <c r="D63" s="156"/>
      <c r="E63" s="156"/>
      <c r="F63" s="157"/>
      <c r="G63" s="166">
        <v>1989</v>
      </c>
      <c r="H63" s="167">
        <v>90</v>
      </c>
      <c r="I63" s="160"/>
      <c r="J63" s="162" t="s">
        <v>139</v>
      </c>
      <c r="K63" s="164">
        <v>3</v>
      </c>
      <c r="L63" s="91"/>
      <c r="M63" s="92"/>
    </row>
    <row r="64" spans="1:13" s="45" customFormat="1" ht="8.5500000000000007" customHeight="1" x14ac:dyDescent="0.2">
      <c r="A64" s="43"/>
      <c r="B64" s="158"/>
      <c r="C64" s="158"/>
      <c r="D64" s="158"/>
      <c r="E64" s="158"/>
      <c r="F64" s="159"/>
      <c r="G64" s="166"/>
      <c r="H64" s="168"/>
      <c r="I64" s="161"/>
      <c r="J64" s="163"/>
      <c r="K64" s="165"/>
      <c r="L64" s="91"/>
      <c r="M64" s="92"/>
    </row>
    <row r="65" spans="1:13" s="45" customFormat="1" ht="8.5500000000000007" customHeight="1" x14ac:dyDescent="0.2">
      <c r="A65" s="43"/>
      <c r="B65" s="156" t="s">
        <v>142</v>
      </c>
      <c r="C65" s="156"/>
      <c r="D65" s="156"/>
      <c r="E65" s="156"/>
      <c r="F65" s="157"/>
      <c r="G65" s="166">
        <v>1990</v>
      </c>
      <c r="H65" s="167">
        <v>96</v>
      </c>
      <c r="I65" s="160">
        <v>95</v>
      </c>
      <c r="J65" s="162" t="s">
        <v>67</v>
      </c>
      <c r="K65" s="164">
        <v>5</v>
      </c>
      <c r="L65" s="91"/>
      <c r="M65" s="92"/>
    </row>
    <row r="66" spans="1:13" s="45" customFormat="1" ht="8.5500000000000007" customHeight="1" x14ac:dyDescent="0.2">
      <c r="A66" s="43"/>
      <c r="B66" s="158"/>
      <c r="C66" s="158"/>
      <c r="D66" s="158"/>
      <c r="E66" s="158"/>
      <c r="F66" s="159"/>
      <c r="G66" s="166"/>
      <c r="H66" s="168"/>
      <c r="I66" s="161"/>
      <c r="J66" s="163"/>
      <c r="K66" s="165"/>
      <c r="L66" s="91"/>
      <c r="M66" s="92"/>
    </row>
    <row r="67" spans="1:13" s="45" customFormat="1" ht="8.5500000000000007" customHeight="1" x14ac:dyDescent="0.2">
      <c r="A67" s="43"/>
      <c r="B67" s="213" t="s">
        <v>943</v>
      </c>
      <c r="C67" s="213"/>
      <c r="D67" s="213"/>
      <c r="E67" s="213"/>
      <c r="F67" s="213"/>
      <c r="G67" s="47"/>
      <c r="H67" s="47"/>
      <c r="I67" s="48"/>
      <c r="J67" s="48"/>
      <c r="K67" s="164"/>
      <c r="L67" s="91"/>
      <c r="M67" s="92"/>
    </row>
    <row r="68" spans="1:13" s="45" customFormat="1" ht="8.5500000000000007" customHeight="1" x14ac:dyDescent="0.2">
      <c r="A68" s="43"/>
      <c r="B68" s="171"/>
      <c r="C68" s="171"/>
      <c r="D68" s="171"/>
      <c r="E68" s="171"/>
      <c r="F68" s="171"/>
      <c r="G68" s="54"/>
      <c r="H68" s="54"/>
      <c r="I68" s="49"/>
      <c r="J68" s="49"/>
      <c r="K68" s="165"/>
      <c r="L68" s="91"/>
      <c r="M68" s="92"/>
    </row>
    <row r="69" spans="1:13" s="45" customFormat="1" ht="8.5500000000000007" customHeight="1" x14ac:dyDescent="0.2">
      <c r="A69" s="43"/>
      <c r="B69" s="156" t="s">
        <v>142</v>
      </c>
      <c r="C69" s="156"/>
      <c r="D69" s="156"/>
      <c r="E69" s="156"/>
      <c r="F69" s="157"/>
      <c r="G69" s="166">
        <v>1995</v>
      </c>
      <c r="H69" s="167">
        <v>95</v>
      </c>
      <c r="I69" s="160">
        <v>96</v>
      </c>
      <c r="J69" s="162" t="s">
        <v>193</v>
      </c>
      <c r="K69" s="164">
        <v>3</v>
      </c>
      <c r="L69" s="91"/>
      <c r="M69" s="92"/>
    </row>
    <row r="70" spans="1:13" s="45" customFormat="1" ht="8.5500000000000007" customHeight="1" x14ac:dyDescent="0.2">
      <c r="A70" s="43"/>
      <c r="B70" s="158"/>
      <c r="C70" s="158"/>
      <c r="D70" s="158"/>
      <c r="E70" s="158"/>
      <c r="F70" s="159"/>
      <c r="G70" s="166"/>
      <c r="H70" s="168"/>
      <c r="I70" s="161"/>
      <c r="J70" s="163"/>
      <c r="K70" s="165"/>
      <c r="L70" s="91"/>
      <c r="M70" s="92"/>
    </row>
    <row r="71" spans="1:13" s="45" customFormat="1" ht="8.5500000000000007" customHeight="1" x14ac:dyDescent="0.2">
      <c r="A71" s="43"/>
      <c r="B71" s="214" t="s">
        <v>622</v>
      </c>
      <c r="C71" s="214"/>
      <c r="D71" s="214"/>
      <c r="E71" s="214"/>
      <c r="F71" s="215"/>
      <c r="G71" s="166">
        <v>1995</v>
      </c>
      <c r="H71" s="167">
        <v>95</v>
      </c>
      <c r="I71" s="160">
        <v>96</v>
      </c>
      <c r="J71" s="162" t="s">
        <v>193</v>
      </c>
      <c r="K71" s="164">
        <v>1</v>
      </c>
      <c r="L71" s="91"/>
      <c r="M71" s="92"/>
    </row>
    <row r="72" spans="1:13" s="45" customFormat="1" ht="8.5500000000000007" customHeight="1" x14ac:dyDescent="0.2">
      <c r="A72" s="43"/>
      <c r="B72" s="216"/>
      <c r="C72" s="216"/>
      <c r="D72" s="216"/>
      <c r="E72" s="216"/>
      <c r="F72" s="217"/>
      <c r="G72" s="166"/>
      <c r="H72" s="168"/>
      <c r="I72" s="161"/>
      <c r="J72" s="163"/>
      <c r="K72" s="165"/>
      <c r="L72" s="91"/>
      <c r="M72" s="92"/>
    </row>
    <row r="73" spans="1:13" s="45" customFormat="1" ht="8.5500000000000007" customHeight="1" x14ac:dyDescent="0.2">
      <c r="A73" s="43"/>
      <c r="B73" s="156" t="s">
        <v>142</v>
      </c>
      <c r="C73" s="156"/>
      <c r="D73" s="156"/>
      <c r="E73" s="156"/>
      <c r="F73" s="157"/>
      <c r="G73" s="166">
        <v>1996</v>
      </c>
      <c r="H73" s="167">
        <v>98</v>
      </c>
      <c r="I73" s="160">
        <v>95</v>
      </c>
      <c r="J73" s="162" t="s">
        <v>266</v>
      </c>
      <c r="K73" s="164">
        <v>4</v>
      </c>
      <c r="L73" s="91"/>
      <c r="M73" s="92"/>
    </row>
    <row r="74" spans="1:13" s="45" customFormat="1" ht="8.5500000000000007" customHeight="1" x14ac:dyDescent="0.2">
      <c r="A74" s="43"/>
      <c r="B74" s="158"/>
      <c r="C74" s="158"/>
      <c r="D74" s="158"/>
      <c r="E74" s="158"/>
      <c r="F74" s="159"/>
      <c r="G74" s="166"/>
      <c r="H74" s="168"/>
      <c r="I74" s="161"/>
      <c r="J74" s="163"/>
      <c r="K74" s="165"/>
      <c r="L74" s="91"/>
      <c r="M74" s="92"/>
    </row>
    <row r="75" spans="1:13" s="45" customFormat="1" ht="8.5500000000000007" customHeight="1" x14ac:dyDescent="0.2">
      <c r="A75" s="43"/>
      <c r="B75" s="214" t="s">
        <v>142</v>
      </c>
      <c r="C75" s="214"/>
      <c r="D75" s="214"/>
      <c r="E75" s="214"/>
      <c r="F75" s="215"/>
      <c r="G75" s="166">
        <v>1998</v>
      </c>
      <c r="H75" s="167">
        <v>96</v>
      </c>
      <c r="I75" s="160">
        <v>95</v>
      </c>
      <c r="J75" s="211" t="s">
        <v>41</v>
      </c>
      <c r="K75" s="164">
        <v>5</v>
      </c>
      <c r="L75" s="91"/>
      <c r="M75" s="92"/>
    </row>
    <row r="76" spans="1:13" s="45" customFormat="1" ht="8.5500000000000007" customHeight="1" x14ac:dyDescent="0.2">
      <c r="A76" s="43"/>
      <c r="B76" s="216"/>
      <c r="C76" s="216"/>
      <c r="D76" s="216"/>
      <c r="E76" s="216"/>
      <c r="F76" s="217"/>
      <c r="G76" s="166"/>
      <c r="H76" s="168"/>
      <c r="I76" s="161"/>
      <c r="J76" s="168"/>
      <c r="K76" s="165"/>
      <c r="L76" s="91"/>
      <c r="M76" s="92"/>
    </row>
    <row r="77" spans="1:13" s="45" customFormat="1" ht="8.5500000000000007" customHeight="1" x14ac:dyDescent="0.2">
      <c r="A77" s="43"/>
      <c r="B77" s="214" t="s">
        <v>622</v>
      </c>
      <c r="C77" s="214"/>
      <c r="D77" s="214"/>
      <c r="E77" s="214"/>
      <c r="F77" s="215"/>
      <c r="G77" s="166">
        <v>1998</v>
      </c>
      <c r="H77" s="167">
        <v>96</v>
      </c>
      <c r="I77" s="160">
        <v>95</v>
      </c>
      <c r="J77" s="211" t="s">
        <v>41</v>
      </c>
      <c r="K77" s="164">
        <v>1</v>
      </c>
      <c r="L77" s="91"/>
      <c r="M77" s="92"/>
    </row>
    <row r="78" spans="1:13" s="45" customFormat="1" ht="8.5500000000000007" customHeight="1" x14ac:dyDescent="0.2">
      <c r="A78" s="43"/>
      <c r="B78" s="216"/>
      <c r="C78" s="216"/>
      <c r="D78" s="216"/>
      <c r="E78" s="216"/>
      <c r="F78" s="217"/>
      <c r="G78" s="166"/>
      <c r="H78" s="168"/>
      <c r="I78" s="161"/>
      <c r="J78" s="168"/>
      <c r="K78" s="165"/>
      <c r="L78" s="91"/>
      <c r="M78" s="92"/>
    </row>
    <row r="79" spans="1:13" s="45" customFormat="1" ht="8.5500000000000007" customHeight="1" x14ac:dyDescent="0.2">
      <c r="A79" s="43"/>
      <c r="B79" s="156" t="s">
        <v>142</v>
      </c>
      <c r="C79" s="156"/>
      <c r="D79" s="156"/>
      <c r="E79" s="156"/>
      <c r="F79" s="157"/>
      <c r="G79" s="166">
        <v>1999</v>
      </c>
      <c r="H79" s="167">
        <v>93</v>
      </c>
      <c r="I79" s="160">
        <v>95</v>
      </c>
      <c r="J79" s="162" t="s">
        <v>363</v>
      </c>
      <c r="K79" s="164">
        <v>2</v>
      </c>
      <c r="L79" s="91"/>
      <c r="M79" s="92"/>
    </row>
    <row r="80" spans="1:13" s="45" customFormat="1" ht="8.5500000000000007" customHeight="1" x14ac:dyDescent="0.2">
      <c r="A80" s="43"/>
      <c r="B80" s="158"/>
      <c r="C80" s="158"/>
      <c r="D80" s="158"/>
      <c r="E80" s="158"/>
      <c r="F80" s="159"/>
      <c r="G80" s="166"/>
      <c r="H80" s="168"/>
      <c r="I80" s="161"/>
      <c r="J80" s="163"/>
      <c r="K80" s="165"/>
      <c r="L80" s="91"/>
      <c r="M80" s="92"/>
    </row>
    <row r="81" spans="1:13" s="45" customFormat="1" ht="8.5500000000000007" customHeight="1" x14ac:dyDescent="0.2">
      <c r="A81" s="43"/>
      <c r="B81" s="156" t="s">
        <v>142</v>
      </c>
      <c r="C81" s="156"/>
      <c r="D81" s="156"/>
      <c r="E81" s="156"/>
      <c r="F81" s="157"/>
      <c r="G81" s="166">
        <v>2001</v>
      </c>
      <c r="H81" s="167">
        <v>94</v>
      </c>
      <c r="I81" s="160">
        <v>96</v>
      </c>
      <c r="J81" s="162" t="s">
        <v>231</v>
      </c>
      <c r="K81" s="164">
        <v>3</v>
      </c>
      <c r="L81" s="91"/>
      <c r="M81" s="92"/>
    </row>
    <row r="82" spans="1:13" s="45" customFormat="1" ht="8.5500000000000007" customHeight="1" x14ac:dyDescent="0.2">
      <c r="A82" s="43"/>
      <c r="B82" s="158"/>
      <c r="C82" s="158"/>
      <c r="D82" s="158"/>
      <c r="E82" s="158"/>
      <c r="F82" s="159"/>
      <c r="G82" s="166"/>
      <c r="H82" s="168"/>
      <c r="I82" s="161"/>
      <c r="J82" s="163"/>
      <c r="K82" s="165"/>
      <c r="L82" s="91"/>
      <c r="M82" s="92"/>
    </row>
    <row r="83" spans="1:13" s="45" customFormat="1" ht="8.5500000000000007" customHeight="1" x14ac:dyDescent="0.2">
      <c r="A83" s="43"/>
      <c r="B83" s="156" t="s">
        <v>142</v>
      </c>
      <c r="C83" s="156"/>
      <c r="D83" s="156"/>
      <c r="E83" s="156"/>
      <c r="F83" s="157"/>
      <c r="G83" s="166">
        <v>2002</v>
      </c>
      <c r="H83" s="167">
        <v>94</v>
      </c>
      <c r="I83" s="160">
        <v>95</v>
      </c>
      <c r="J83" s="162" t="s">
        <v>136</v>
      </c>
      <c r="K83" s="164">
        <v>2</v>
      </c>
      <c r="L83" s="91"/>
      <c r="M83" s="92"/>
    </row>
    <row r="84" spans="1:13" s="45" customFormat="1" ht="8.5500000000000007" customHeight="1" x14ac:dyDescent="0.2">
      <c r="A84" s="43"/>
      <c r="B84" s="158"/>
      <c r="C84" s="158"/>
      <c r="D84" s="158"/>
      <c r="E84" s="158"/>
      <c r="F84" s="159"/>
      <c r="G84" s="166"/>
      <c r="H84" s="168"/>
      <c r="I84" s="161"/>
      <c r="J84" s="163"/>
      <c r="K84" s="165"/>
      <c r="L84" s="91"/>
      <c r="M84" s="92"/>
    </row>
    <row r="85" spans="1:13" s="45" customFormat="1" ht="8.5500000000000007" customHeight="1" x14ac:dyDescent="0.2">
      <c r="A85" s="43"/>
      <c r="B85" s="156" t="s">
        <v>142</v>
      </c>
      <c r="C85" s="156"/>
      <c r="D85" s="156"/>
      <c r="E85" s="156"/>
      <c r="F85" s="157"/>
      <c r="G85" s="166">
        <v>2003</v>
      </c>
      <c r="H85" s="167">
        <v>100</v>
      </c>
      <c r="I85" s="160">
        <v>96</v>
      </c>
      <c r="J85" s="162" t="s">
        <v>684</v>
      </c>
      <c r="K85" s="164">
        <v>3</v>
      </c>
      <c r="L85" s="91"/>
      <c r="M85" s="92"/>
    </row>
    <row r="86" spans="1:13" s="45" customFormat="1" ht="8.5500000000000007" customHeight="1" x14ac:dyDescent="0.2">
      <c r="A86" s="43"/>
      <c r="B86" s="158"/>
      <c r="C86" s="158"/>
      <c r="D86" s="158"/>
      <c r="E86" s="158"/>
      <c r="F86" s="159"/>
      <c r="G86" s="166"/>
      <c r="H86" s="168"/>
      <c r="I86" s="161"/>
      <c r="J86" s="163"/>
      <c r="K86" s="165"/>
      <c r="L86" s="91"/>
      <c r="M86" s="92"/>
    </row>
    <row r="87" spans="1:13" s="45" customFormat="1" ht="8.5500000000000007" customHeight="1" x14ac:dyDescent="0.2">
      <c r="A87" s="43"/>
      <c r="B87" s="156" t="s">
        <v>142</v>
      </c>
      <c r="C87" s="156"/>
      <c r="D87" s="156"/>
      <c r="E87" s="156"/>
      <c r="F87" s="157"/>
      <c r="G87" s="166">
        <v>2006</v>
      </c>
      <c r="H87" s="167">
        <v>95</v>
      </c>
      <c r="I87" s="160">
        <v>95</v>
      </c>
      <c r="J87" s="162" t="s">
        <v>258</v>
      </c>
      <c r="K87" s="164">
        <v>1</v>
      </c>
      <c r="L87" s="91"/>
      <c r="M87" s="92"/>
    </row>
    <row r="88" spans="1:13" s="45" customFormat="1" ht="8.5500000000000007" customHeight="1" x14ac:dyDescent="0.2">
      <c r="A88" s="43"/>
      <c r="B88" s="158"/>
      <c r="C88" s="158"/>
      <c r="D88" s="158"/>
      <c r="E88" s="158"/>
      <c r="F88" s="159"/>
      <c r="G88" s="166"/>
      <c r="H88" s="168"/>
      <c r="I88" s="161"/>
      <c r="J88" s="163"/>
      <c r="K88" s="165"/>
      <c r="L88" s="91"/>
      <c r="M88" s="92"/>
    </row>
    <row r="89" spans="1:13" s="45" customFormat="1" ht="8.5500000000000007" customHeight="1" x14ac:dyDescent="0.2">
      <c r="A89" s="43"/>
      <c r="B89" s="156" t="s">
        <v>142</v>
      </c>
      <c r="C89" s="156"/>
      <c r="D89" s="156"/>
      <c r="E89" s="156"/>
      <c r="F89" s="157"/>
      <c r="G89" s="166">
        <v>2009</v>
      </c>
      <c r="H89" s="167">
        <v>97</v>
      </c>
      <c r="I89" s="160"/>
      <c r="J89" s="162" t="s">
        <v>1545</v>
      </c>
      <c r="K89" s="164">
        <v>1</v>
      </c>
      <c r="L89" s="91"/>
      <c r="M89" s="92"/>
    </row>
    <row r="90" spans="1:13" s="45" customFormat="1" ht="8.5500000000000007" customHeight="1" x14ac:dyDescent="0.2">
      <c r="A90" s="43"/>
      <c r="B90" s="158"/>
      <c r="C90" s="158"/>
      <c r="D90" s="158"/>
      <c r="E90" s="158"/>
      <c r="F90" s="159"/>
      <c r="G90" s="166"/>
      <c r="H90" s="168"/>
      <c r="I90" s="161"/>
      <c r="J90" s="163"/>
      <c r="K90" s="165"/>
      <c r="L90" s="91"/>
      <c r="M90" s="92"/>
    </row>
    <row r="91" spans="1:13" s="45" customFormat="1" ht="8.5500000000000007" customHeight="1" x14ac:dyDescent="0.2">
      <c r="A91" s="43"/>
      <c r="B91" s="172" t="s">
        <v>143</v>
      </c>
      <c r="C91" s="172"/>
      <c r="D91" s="172"/>
      <c r="E91" s="172"/>
      <c r="F91" s="173"/>
      <c r="G91" s="166">
        <v>1955</v>
      </c>
      <c r="H91" s="167">
        <v>98</v>
      </c>
      <c r="I91" s="160">
        <v>95</v>
      </c>
      <c r="J91" s="162" t="s">
        <v>1891</v>
      </c>
      <c r="K91" s="164">
        <v>1</v>
      </c>
      <c r="L91" s="91"/>
      <c r="M91" s="92"/>
    </row>
    <row r="92" spans="1:13" s="45" customFormat="1" ht="8.5500000000000007" customHeight="1" x14ac:dyDescent="0.2">
      <c r="A92" s="43"/>
      <c r="B92" s="174"/>
      <c r="C92" s="174"/>
      <c r="D92" s="174"/>
      <c r="E92" s="174"/>
      <c r="F92" s="175"/>
      <c r="G92" s="166"/>
      <c r="H92" s="168"/>
      <c r="I92" s="161"/>
      <c r="J92" s="163"/>
      <c r="K92" s="165"/>
      <c r="L92" s="91"/>
      <c r="M92" s="92"/>
    </row>
    <row r="93" spans="1:13" s="45" customFormat="1" ht="8.5500000000000007" customHeight="1" x14ac:dyDescent="0.2">
      <c r="A93" s="43"/>
      <c r="B93" s="156" t="s">
        <v>143</v>
      </c>
      <c r="C93" s="156"/>
      <c r="D93" s="156"/>
      <c r="E93" s="156"/>
      <c r="F93" s="157"/>
      <c r="G93" s="166">
        <v>1982</v>
      </c>
      <c r="H93" s="167">
        <v>100</v>
      </c>
      <c r="I93" s="160">
        <v>98</v>
      </c>
      <c r="J93" s="162" t="s">
        <v>215</v>
      </c>
      <c r="K93" s="164">
        <v>6</v>
      </c>
      <c r="L93" s="91"/>
      <c r="M93" s="92"/>
    </row>
    <row r="94" spans="1:13" s="45" customFormat="1" ht="8.5500000000000007" customHeight="1" x14ac:dyDescent="0.2">
      <c r="A94" s="43"/>
      <c r="B94" s="158"/>
      <c r="C94" s="158"/>
      <c r="D94" s="158"/>
      <c r="E94" s="158"/>
      <c r="F94" s="159"/>
      <c r="G94" s="166"/>
      <c r="H94" s="168"/>
      <c r="I94" s="161"/>
      <c r="J94" s="163"/>
      <c r="K94" s="165"/>
      <c r="L94" s="91"/>
      <c r="M94" s="92"/>
    </row>
    <row r="95" spans="1:13" s="45" customFormat="1" ht="8.5500000000000007" customHeight="1" x14ac:dyDescent="0.2">
      <c r="A95" s="43"/>
      <c r="B95" s="156" t="s">
        <v>143</v>
      </c>
      <c r="C95" s="156"/>
      <c r="D95" s="156"/>
      <c r="E95" s="156"/>
      <c r="F95" s="157"/>
      <c r="G95" s="166">
        <v>1986</v>
      </c>
      <c r="H95" s="167">
        <v>100</v>
      </c>
      <c r="I95" s="160">
        <v>99</v>
      </c>
      <c r="J95" s="162" t="s">
        <v>1626</v>
      </c>
      <c r="K95" s="164">
        <v>3</v>
      </c>
      <c r="L95" s="91"/>
      <c r="M95" s="92"/>
    </row>
    <row r="96" spans="1:13" s="45" customFormat="1" ht="8.5500000000000007" customHeight="1" x14ac:dyDescent="0.2">
      <c r="A96" s="43"/>
      <c r="B96" s="158"/>
      <c r="C96" s="158"/>
      <c r="D96" s="158"/>
      <c r="E96" s="158"/>
      <c r="F96" s="159"/>
      <c r="G96" s="166"/>
      <c r="H96" s="168"/>
      <c r="I96" s="161"/>
      <c r="J96" s="163"/>
      <c r="K96" s="165"/>
      <c r="L96" s="91"/>
      <c r="M96" s="92"/>
    </row>
    <row r="97" spans="1:13" s="45" customFormat="1" ht="8.5500000000000007" customHeight="1" x14ac:dyDescent="0.2">
      <c r="A97" s="43"/>
      <c r="B97" s="156" t="s">
        <v>624</v>
      </c>
      <c r="C97" s="156"/>
      <c r="D97" s="156"/>
      <c r="E97" s="156"/>
      <c r="F97" s="157"/>
      <c r="G97" s="166">
        <v>1986</v>
      </c>
      <c r="H97" s="167">
        <v>100</v>
      </c>
      <c r="I97" s="160">
        <v>99</v>
      </c>
      <c r="J97" s="162" t="s">
        <v>1626</v>
      </c>
      <c r="K97" s="164">
        <v>2</v>
      </c>
      <c r="L97" s="91"/>
      <c r="M97" s="92"/>
    </row>
    <row r="98" spans="1:13" s="45" customFormat="1" ht="8.5500000000000007" customHeight="1" x14ac:dyDescent="0.2">
      <c r="A98" s="43"/>
      <c r="B98" s="158"/>
      <c r="C98" s="158"/>
      <c r="D98" s="158"/>
      <c r="E98" s="158"/>
      <c r="F98" s="159"/>
      <c r="G98" s="166"/>
      <c r="H98" s="168"/>
      <c r="I98" s="161"/>
      <c r="J98" s="163"/>
      <c r="K98" s="165"/>
      <c r="L98" s="91"/>
      <c r="M98" s="92"/>
    </row>
    <row r="99" spans="1:13" s="45" customFormat="1" ht="8.5500000000000007" customHeight="1" x14ac:dyDescent="0.2">
      <c r="A99" s="43"/>
      <c r="B99" s="156" t="s">
        <v>145</v>
      </c>
      <c r="C99" s="156"/>
      <c r="D99" s="156"/>
      <c r="E99" s="156"/>
      <c r="F99" s="157"/>
      <c r="G99" s="166">
        <v>1989</v>
      </c>
      <c r="H99" s="167">
        <v>93</v>
      </c>
      <c r="I99" s="160"/>
      <c r="J99" s="162" t="s">
        <v>25</v>
      </c>
      <c r="K99" s="164">
        <v>1</v>
      </c>
      <c r="L99" s="91"/>
      <c r="M99" s="92"/>
    </row>
    <row r="100" spans="1:13" s="45" customFormat="1" ht="8.5500000000000007" customHeight="1" x14ac:dyDescent="0.2">
      <c r="A100" s="43"/>
      <c r="B100" s="158"/>
      <c r="C100" s="158"/>
      <c r="D100" s="158"/>
      <c r="E100" s="158"/>
      <c r="F100" s="159"/>
      <c r="G100" s="166"/>
      <c r="H100" s="168"/>
      <c r="I100" s="161"/>
      <c r="J100" s="163"/>
      <c r="K100" s="165"/>
      <c r="L100" s="91"/>
      <c r="M100" s="92"/>
    </row>
    <row r="101" spans="1:13" s="45" customFormat="1" ht="8.5500000000000007" customHeight="1" x14ac:dyDescent="0.2">
      <c r="A101" s="43"/>
      <c r="B101" s="156" t="s">
        <v>145</v>
      </c>
      <c r="C101" s="156"/>
      <c r="D101" s="156"/>
      <c r="E101" s="156"/>
      <c r="F101" s="157"/>
      <c r="G101" s="166">
        <v>1990</v>
      </c>
      <c r="H101" s="167">
        <v>90</v>
      </c>
      <c r="I101" s="160"/>
      <c r="J101" s="162" t="s">
        <v>1578</v>
      </c>
      <c r="K101" s="164">
        <v>1</v>
      </c>
      <c r="L101" s="91"/>
      <c r="M101" s="92"/>
    </row>
    <row r="102" spans="1:13" s="45" customFormat="1" ht="8.5500000000000007" customHeight="1" x14ac:dyDescent="0.2">
      <c r="A102" s="43"/>
      <c r="B102" s="158"/>
      <c r="C102" s="158"/>
      <c r="D102" s="158"/>
      <c r="E102" s="158"/>
      <c r="F102" s="159"/>
      <c r="G102" s="166"/>
      <c r="H102" s="168"/>
      <c r="I102" s="161"/>
      <c r="J102" s="163"/>
      <c r="K102" s="165"/>
      <c r="L102" s="91"/>
      <c r="M102" s="92"/>
    </row>
    <row r="103" spans="1:13" s="45" customFormat="1" ht="8.5500000000000007" customHeight="1" x14ac:dyDescent="0.2">
      <c r="A103" s="43"/>
      <c r="B103" s="156" t="s">
        <v>145</v>
      </c>
      <c r="C103" s="156"/>
      <c r="D103" s="156"/>
      <c r="E103" s="156"/>
      <c r="F103" s="157"/>
      <c r="G103" s="166">
        <v>1995</v>
      </c>
      <c r="H103" s="167" t="s">
        <v>625</v>
      </c>
      <c r="I103" s="160">
        <v>94</v>
      </c>
      <c r="J103" s="162" t="s">
        <v>1892</v>
      </c>
      <c r="K103" s="164">
        <v>9</v>
      </c>
      <c r="L103" s="91"/>
      <c r="M103" s="92"/>
    </row>
    <row r="104" spans="1:13" s="45" customFormat="1" ht="8.5500000000000007" customHeight="1" x14ac:dyDescent="0.2">
      <c r="A104" s="43"/>
      <c r="B104" s="158"/>
      <c r="C104" s="158"/>
      <c r="D104" s="158"/>
      <c r="E104" s="158"/>
      <c r="F104" s="159"/>
      <c r="G104" s="166"/>
      <c r="H104" s="168"/>
      <c r="I104" s="161"/>
      <c r="J104" s="163"/>
      <c r="K104" s="165"/>
      <c r="L104" s="91"/>
      <c r="M104" s="92"/>
    </row>
    <row r="105" spans="1:13" s="45" customFormat="1" ht="8.5500000000000007" customHeight="1" x14ac:dyDescent="0.2">
      <c r="A105" s="43"/>
      <c r="B105" s="156" t="s">
        <v>145</v>
      </c>
      <c r="C105" s="156"/>
      <c r="D105" s="156"/>
      <c r="E105" s="156"/>
      <c r="F105" s="157"/>
      <c r="G105" s="166">
        <v>1996</v>
      </c>
      <c r="H105" s="167" t="s">
        <v>654</v>
      </c>
      <c r="I105" s="160">
        <v>96</v>
      </c>
      <c r="J105" s="162" t="s">
        <v>1893</v>
      </c>
      <c r="K105" s="164">
        <v>2</v>
      </c>
      <c r="L105" s="91"/>
      <c r="M105" s="92"/>
    </row>
    <row r="106" spans="1:13" s="45" customFormat="1" ht="8.5500000000000007" customHeight="1" x14ac:dyDescent="0.2">
      <c r="A106" s="43"/>
      <c r="B106" s="158"/>
      <c r="C106" s="158"/>
      <c r="D106" s="158"/>
      <c r="E106" s="158"/>
      <c r="F106" s="159"/>
      <c r="G106" s="166"/>
      <c r="H106" s="168"/>
      <c r="I106" s="161"/>
      <c r="J106" s="163"/>
      <c r="K106" s="165"/>
      <c r="L106" s="91"/>
      <c r="M106" s="92"/>
    </row>
    <row r="107" spans="1:13" s="45" customFormat="1" ht="8.5500000000000007" customHeight="1" x14ac:dyDescent="0.2">
      <c r="A107" s="43"/>
      <c r="B107" s="156" t="s">
        <v>145</v>
      </c>
      <c r="C107" s="156"/>
      <c r="D107" s="156"/>
      <c r="E107" s="156"/>
      <c r="F107" s="157"/>
      <c r="G107" s="189">
        <v>1998</v>
      </c>
      <c r="H107" s="167">
        <v>97</v>
      </c>
      <c r="I107" s="160">
        <v>91</v>
      </c>
      <c r="J107" s="209" t="s">
        <v>1894</v>
      </c>
      <c r="K107" s="164">
        <v>6</v>
      </c>
      <c r="L107" s="91"/>
      <c r="M107" s="92"/>
    </row>
    <row r="108" spans="1:13" s="45" customFormat="1" ht="8.5500000000000007" customHeight="1" x14ac:dyDescent="0.2">
      <c r="A108" s="43"/>
      <c r="B108" s="158"/>
      <c r="C108" s="158"/>
      <c r="D108" s="158"/>
      <c r="E108" s="158"/>
      <c r="F108" s="159"/>
      <c r="G108" s="190"/>
      <c r="H108" s="168"/>
      <c r="I108" s="161"/>
      <c r="J108" s="210"/>
      <c r="K108" s="165"/>
      <c r="L108" s="91"/>
      <c r="M108" s="92"/>
    </row>
    <row r="109" spans="1:13" s="45" customFormat="1" ht="8.5500000000000007" customHeight="1" x14ac:dyDescent="0.2">
      <c r="A109" s="43"/>
      <c r="B109" s="156" t="s">
        <v>145</v>
      </c>
      <c r="C109" s="156"/>
      <c r="D109" s="156"/>
      <c r="E109" s="156"/>
      <c r="F109" s="157"/>
      <c r="G109" s="166">
        <v>1999</v>
      </c>
      <c r="H109" s="167">
        <v>92</v>
      </c>
      <c r="I109" s="160">
        <v>91</v>
      </c>
      <c r="J109" s="162" t="s">
        <v>321</v>
      </c>
      <c r="K109" s="164">
        <v>2</v>
      </c>
      <c r="L109" s="91"/>
      <c r="M109" s="92"/>
    </row>
    <row r="110" spans="1:13" s="45" customFormat="1" ht="8.5500000000000007" customHeight="1" x14ac:dyDescent="0.2">
      <c r="A110" s="43"/>
      <c r="B110" s="158"/>
      <c r="C110" s="158"/>
      <c r="D110" s="158"/>
      <c r="E110" s="158"/>
      <c r="F110" s="159"/>
      <c r="G110" s="166"/>
      <c r="H110" s="168"/>
      <c r="I110" s="161"/>
      <c r="J110" s="163"/>
      <c r="K110" s="165"/>
      <c r="L110" s="91"/>
      <c r="M110" s="92"/>
    </row>
    <row r="111" spans="1:13" s="45" customFormat="1" ht="8.5500000000000007" customHeight="1" x14ac:dyDescent="0.2">
      <c r="A111" s="43"/>
      <c r="B111" s="156" t="s">
        <v>145</v>
      </c>
      <c r="C111" s="156"/>
      <c r="D111" s="156"/>
      <c r="E111" s="156"/>
      <c r="F111" s="157"/>
      <c r="G111" s="166">
        <v>2000</v>
      </c>
      <c r="H111" s="167" t="s">
        <v>640</v>
      </c>
      <c r="I111" s="160">
        <v>93</v>
      </c>
      <c r="J111" s="209" t="s">
        <v>1892</v>
      </c>
      <c r="K111" s="164">
        <v>3</v>
      </c>
      <c r="L111" s="91"/>
      <c r="M111" s="92"/>
    </row>
    <row r="112" spans="1:13" s="45" customFormat="1" ht="8.5500000000000007" customHeight="1" x14ac:dyDescent="0.2">
      <c r="A112" s="43"/>
      <c r="B112" s="158"/>
      <c r="C112" s="158"/>
      <c r="D112" s="158"/>
      <c r="E112" s="158"/>
      <c r="F112" s="159"/>
      <c r="G112" s="166"/>
      <c r="H112" s="168"/>
      <c r="I112" s="161"/>
      <c r="J112" s="210"/>
      <c r="K112" s="165"/>
      <c r="L112" s="91"/>
      <c r="M112" s="92"/>
    </row>
    <row r="113" spans="1:13" s="45" customFormat="1" ht="8.5500000000000007" customHeight="1" x14ac:dyDescent="0.2">
      <c r="A113" s="43"/>
      <c r="B113" s="156" t="s">
        <v>143</v>
      </c>
      <c r="C113" s="156"/>
      <c r="D113" s="156"/>
      <c r="E113" s="156"/>
      <c r="F113" s="157"/>
      <c r="G113" s="166">
        <v>2001</v>
      </c>
      <c r="H113" s="167">
        <v>89</v>
      </c>
      <c r="I113" s="160">
        <v>94</v>
      </c>
      <c r="J113" s="162" t="s">
        <v>127</v>
      </c>
      <c r="K113" s="164">
        <v>2</v>
      </c>
      <c r="L113" s="91"/>
      <c r="M113" s="92"/>
    </row>
    <row r="114" spans="1:13" s="45" customFormat="1" ht="8.5500000000000007" customHeight="1" x14ac:dyDescent="0.2">
      <c r="A114" s="43"/>
      <c r="B114" s="158"/>
      <c r="C114" s="158"/>
      <c r="D114" s="158"/>
      <c r="E114" s="158"/>
      <c r="F114" s="159"/>
      <c r="G114" s="166"/>
      <c r="H114" s="168"/>
      <c r="I114" s="161"/>
      <c r="J114" s="163"/>
      <c r="K114" s="165"/>
      <c r="L114" s="91"/>
      <c r="M114" s="92"/>
    </row>
    <row r="115" spans="1:13" s="45" customFormat="1" ht="8.5500000000000007" customHeight="1" x14ac:dyDescent="0.2">
      <c r="A115" s="43"/>
      <c r="B115" s="156" t="s">
        <v>143</v>
      </c>
      <c r="C115" s="156"/>
      <c r="D115" s="156"/>
      <c r="E115" s="156"/>
      <c r="F115" s="157"/>
      <c r="G115" s="166">
        <v>2002</v>
      </c>
      <c r="H115" s="167">
        <v>91</v>
      </c>
      <c r="I115" s="160">
        <v>91</v>
      </c>
      <c r="J115" s="162" t="s">
        <v>325</v>
      </c>
      <c r="K115" s="164">
        <v>2</v>
      </c>
      <c r="L115" s="91"/>
      <c r="M115" s="92"/>
    </row>
    <row r="116" spans="1:13" s="45" customFormat="1" ht="8.5500000000000007" customHeight="1" x14ac:dyDescent="0.2">
      <c r="A116" s="43"/>
      <c r="B116" s="158"/>
      <c r="C116" s="158"/>
      <c r="D116" s="158"/>
      <c r="E116" s="158"/>
      <c r="F116" s="159"/>
      <c r="G116" s="166"/>
      <c r="H116" s="168"/>
      <c r="I116" s="161"/>
      <c r="J116" s="163"/>
      <c r="K116" s="165"/>
      <c r="L116" s="91"/>
      <c r="M116" s="92"/>
    </row>
    <row r="117" spans="1:13" s="45" customFormat="1" ht="8.5500000000000007" customHeight="1" x14ac:dyDescent="0.2">
      <c r="A117" s="43"/>
      <c r="B117" s="156" t="s">
        <v>143</v>
      </c>
      <c r="C117" s="156"/>
      <c r="D117" s="156"/>
      <c r="E117" s="156"/>
      <c r="F117" s="157"/>
      <c r="G117" s="166">
        <v>2003</v>
      </c>
      <c r="H117" s="167">
        <v>91</v>
      </c>
      <c r="I117" s="160">
        <v>94</v>
      </c>
      <c r="J117" s="162" t="s">
        <v>95</v>
      </c>
      <c r="K117" s="164">
        <v>6</v>
      </c>
      <c r="L117" s="91"/>
      <c r="M117" s="92"/>
    </row>
    <row r="118" spans="1:13" s="45" customFormat="1" ht="8.5500000000000007" customHeight="1" x14ac:dyDescent="0.2">
      <c r="A118" s="43"/>
      <c r="B118" s="158"/>
      <c r="C118" s="158"/>
      <c r="D118" s="158"/>
      <c r="E118" s="158"/>
      <c r="F118" s="159"/>
      <c r="G118" s="166"/>
      <c r="H118" s="168"/>
      <c r="I118" s="161"/>
      <c r="J118" s="163"/>
      <c r="K118" s="165"/>
      <c r="L118" s="91"/>
      <c r="M118" s="92"/>
    </row>
    <row r="119" spans="1:13" s="45" customFormat="1" ht="8.5500000000000007" customHeight="1" x14ac:dyDescent="0.2">
      <c r="A119" s="43"/>
      <c r="B119" s="156" t="s">
        <v>143</v>
      </c>
      <c r="C119" s="156"/>
      <c r="D119" s="156"/>
      <c r="E119" s="156"/>
      <c r="F119" s="157"/>
      <c r="G119" s="166">
        <v>2004</v>
      </c>
      <c r="H119" s="167">
        <v>92</v>
      </c>
      <c r="I119" s="160">
        <v>93</v>
      </c>
      <c r="J119" s="162" t="s">
        <v>264</v>
      </c>
      <c r="K119" s="164">
        <v>1</v>
      </c>
      <c r="L119" s="91"/>
      <c r="M119" s="92"/>
    </row>
    <row r="120" spans="1:13" s="45" customFormat="1" ht="8.5500000000000007" customHeight="1" x14ac:dyDescent="0.2">
      <c r="A120" s="43"/>
      <c r="B120" s="158"/>
      <c r="C120" s="158"/>
      <c r="D120" s="158"/>
      <c r="E120" s="158"/>
      <c r="F120" s="159"/>
      <c r="G120" s="166"/>
      <c r="H120" s="168"/>
      <c r="I120" s="161"/>
      <c r="J120" s="163"/>
      <c r="K120" s="165"/>
      <c r="L120" s="91"/>
      <c r="M120" s="92"/>
    </row>
    <row r="121" spans="1:13" s="45" customFormat="1" ht="8.5500000000000007" customHeight="1" x14ac:dyDescent="0.2">
      <c r="A121" s="43"/>
      <c r="B121" s="156" t="s">
        <v>143</v>
      </c>
      <c r="C121" s="156"/>
      <c r="D121" s="156"/>
      <c r="E121" s="156"/>
      <c r="F121" s="157"/>
      <c r="G121" s="166">
        <v>2005</v>
      </c>
      <c r="H121" s="167">
        <v>98</v>
      </c>
      <c r="I121" s="160">
        <v>95</v>
      </c>
      <c r="J121" s="162" t="s">
        <v>1557</v>
      </c>
      <c r="K121" s="164">
        <v>5</v>
      </c>
      <c r="L121" s="91"/>
      <c r="M121" s="92"/>
    </row>
    <row r="122" spans="1:13" s="45" customFormat="1" ht="8.5500000000000007" customHeight="1" x14ac:dyDescent="0.2">
      <c r="A122" s="43"/>
      <c r="B122" s="158"/>
      <c r="C122" s="158"/>
      <c r="D122" s="158"/>
      <c r="E122" s="158"/>
      <c r="F122" s="159"/>
      <c r="G122" s="166"/>
      <c r="H122" s="168"/>
      <c r="I122" s="161"/>
      <c r="J122" s="163"/>
      <c r="K122" s="165"/>
      <c r="L122" s="91"/>
      <c r="M122" s="92"/>
    </row>
    <row r="123" spans="1:13" s="45" customFormat="1" ht="8.5500000000000007" customHeight="1" x14ac:dyDescent="0.2">
      <c r="A123" s="43"/>
      <c r="B123" s="213" t="s">
        <v>943</v>
      </c>
      <c r="C123" s="213"/>
      <c r="D123" s="213"/>
      <c r="E123" s="213"/>
      <c r="F123" s="213"/>
      <c r="G123" s="47"/>
      <c r="H123" s="47"/>
      <c r="I123" s="48"/>
      <c r="J123" s="48"/>
      <c r="K123" s="164"/>
      <c r="L123" s="91"/>
      <c r="M123" s="92"/>
    </row>
    <row r="124" spans="1:13" s="45" customFormat="1" ht="8.5500000000000007" customHeight="1" x14ac:dyDescent="0.2">
      <c r="A124" s="43"/>
      <c r="B124" s="171"/>
      <c r="C124" s="171"/>
      <c r="D124" s="171"/>
      <c r="E124" s="171"/>
      <c r="F124" s="171"/>
      <c r="G124" s="54"/>
      <c r="H124" s="54"/>
      <c r="I124" s="49"/>
      <c r="J124" s="49"/>
      <c r="K124" s="165"/>
      <c r="L124" s="91"/>
      <c r="M124" s="92"/>
    </row>
    <row r="125" spans="1:13" s="45" customFormat="1" ht="8.5500000000000007" customHeight="1" x14ac:dyDescent="0.2">
      <c r="A125" s="43"/>
      <c r="B125" s="156" t="s">
        <v>143</v>
      </c>
      <c r="C125" s="156"/>
      <c r="D125" s="156"/>
      <c r="E125" s="156"/>
      <c r="F125" s="157"/>
      <c r="G125" s="166">
        <v>2006</v>
      </c>
      <c r="H125" s="167">
        <v>96</v>
      </c>
      <c r="I125" s="160">
        <v>94</v>
      </c>
      <c r="J125" s="162" t="s">
        <v>1895</v>
      </c>
      <c r="K125" s="164">
        <v>4</v>
      </c>
      <c r="L125" s="91"/>
      <c r="M125" s="92"/>
    </row>
    <row r="126" spans="1:13" s="45" customFormat="1" ht="8.5500000000000007" customHeight="1" x14ac:dyDescent="0.2">
      <c r="A126" s="43"/>
      <c r="B126" s="158"/>
      <c r="C126" s="158"/>
      <c r="D126" s="158"/>
      <c r="E126" s="158"/>
      <c r="F126" s="159"/>
      <c r="G126" s="166"/>
      <c r="H126" s="168"/>
      <c r="I126" s="161"/>
      <c r="J126" s="163"/>
      <c r="K126" s="165"/>
      <c r="L126" s="91"/>
      <c r="M126" s="92"/>
    </row>
    <row r="127" spans="1:13" s="45" customFormat="1" ht="8.5500000000000007" customHeight="1" x14ac:dyDescent="0.2">
      <c r="A127" s="43"/>
      <c r="B127" s="156" t="s">
        <v>143</v>
      </c>
      <c r="C127" s="156"/>
      <c r="D127" s="156"/>
      <c r="E127" s="156"/>
      <c r="F127" s="157"/>
      <c r="G127" s="166">
        <v>2008</v>
      </c>
      <c r="H127" s="167">
        <v>95</v>
      </c>
      <c r="I127" s="160"/>
      <c r="J127" s="162" t="s">
        <v>1627</v>
      </c>
      <c r="K127" s="164">
        <v>1</v>
      </c>
      <c r="L127" s="91"/>
      <c r="M127" s="92"/>
    </row>
    <row r="128" spans="1:13" s="45" customFormat="1" ht="8.5500000000000007" customHeight="1" x14ac:dyDescent="0.2">
      <c r="A128" s="43"/>
      <c r="B128" s="158"/>
      <c r="C128" s="158"/>
      <c r="D128" s="158"/>
      <c r="E128" s="158"/>
      <c r="F128" s="159"/>
      <c r="G128" s="166"/>
      <c r="H128" s="168"/>
      <c r="I128" s="161"/>
      <c r="J128" s="163"/>
      <c r="K128" s="165"/>
      <c r="L128" s="91"/>
      <c r="M128" s="92"/>
    </row>
    <row r="129" spans="1:13" s="45" customFormat="1" ht="8.5500000000000007" customHeight="1" x14ac:dyDescent="0.2">
      <c r="A129" s="43"/>
      <c r="B129" s="156" t="s">
        <v>143</v>
      </c>
      <c r="C129" s="156"/>
      <c r="D129" s="156"/>
      <c r="E129" s="156"/>
      <c r="F129" s="157"/>
      <c r="G129" s="166">
        <v>2009</v>
      </c>
      <c r="H129" s="167">
        <v>99</v>
      </c>
      <c r="I129" s="160"/>
      <c r="J129" s="162" t="s">
        <v>39</v>
      </c>
      <c r="K129" s="164">
        <v>5</v>
      </c>
      <c r="L129" s="91"/>
      <c r="M129" s="92"/>
    </row>
    <row r="130" spans="1:13" s="45" customFormat="1" ht="8.5500000000000007" customHeight="1" x14ac:dyDescent="0.2">
      <c r="A130" s="43"/>
      <c r="B130" s="158"/>
      <c r="C130" s="158"/>
      <c r="D130" s="158"/>
      <c r="E130" s="158"/>
      <c r="F130" s="159"/>
      <c r="G130" s="166"/>
      <c r="H130" s="168"/>
      <c r="I130" s="161"/>
      <c r="J130" s="163"/>
      <c r="K130" s="165"/>
      <c r="L130" s="91"/>
      <c r="M130" s="92"/>
    </row>
    <row r="131" spans="1:13" s="45" customFormat="1" ht="8.5500000000000007" customHeight="1" x14ac:dyDescent="0.2">
      <c r="A131" s="43"/>
      <c r="B131" s="156" t="s">
        <v>143</v>
      </c>
      <c r="C131" s="156"/>
      <c r="D131" s="156"/>
      <c r="E131" s="156"/>
      <c r="F131" s="157"/>
      <c r="G131" s="166">
        <v>2010</v>
      </c>
      <c r="H131" s="167">
        <v>98</v>
      </c>
      <c r="I131" s="160"/>
      <c r="J131" s="162" t="s">
        <v>1884</v>
      </c>
      <c r="K131" s="164">
        <v>1</v>
      </c>
      <c r="L131" s="91"/>
      <c r="M131" s="92"/>
    </row>
    <row r="132" spans="1:13" s="45" customFormat="1" ht="8.5500000000000007" customHeight="1" x14ac:dyDescent="0.2">
      <c r="A132" s="43"/>
      <c r="B132" s="158"/>
      <c r="C132" s="158"/>
      <c r="D132" s="158"/>
      <c r="E132" s="158"/>
      <c r="F132" s="159"/>
      <c r="G132" s="166"/>
      <c r="H132" s="168"/>
      <c r="I132" s="161"/>
      <c r="J132" s="163"/>
      <c r="K132" s="165"/>
      <c r="L132" s="91"/>
      <c r="M132" s="92"/>
    </row>
    <row r="133" spans="1:13" s="45" customFormat="1" ht="8.5500000000000007" customHeight="1" x14ac:dyDescent="0.2">
      <c r="A133" s="43"/>
      <c r="B133" s="156" t="s">
        <v>143</v>
      </c>
      <c r="C133" s="156"/>
      <c r="D133" s="156"/>
      <c r="E133" s="156"/>
      <c r="F133" s="157"/>
      <c r="G133" s="166">
        <v>2011</v>
      </c>
      <c r="H133" s="167">
        <v>92</v>
      </c>
      <c r="I133" s="160"/>
      <c r="J133" s="162" t="s">
        <v>419</v>
      </c>
      <c r="K133" s="164">
        <v>1</v>
      </c>
      <c r="L133" s="91"/>
      <c r="M133" s="92"/>
    </row>
    <row r="134" spans="1:13" s="45" customFormat="1" ht="8.5500000000000007" customHeight="1" x14ac:dyDescent="0.2">
      <c r="A134" s="43"/>
      <c r="B134" s="158"/>
      <c r="C134" s="158"/>
      <c r="D134" s="158"/>
      <c r="E134" s="158"/>
      <c r="F134" s="159"/>
      <c r="G134" s="166"/>
      <c r="H134" s="168"/>
      <c r="I134" s="161"/>
      <c r="J134" s="163"/>
      <c r="K134" s="165"/>
      <c r="L134" s="91"/>
      <c r="M134" s="92"/>
    </row>
    <row r="135" spans="1:13" s="45" customFormat="1" ht="8.5500000000000007" customHeight="1" x14ac:dyDescent="0.2">
      <c r="A135" s="43"/>
      <c r="B135" s="156" t="s">
        <v>143</v>
      </c>
      <c r="C135" s="156"/>
      <c r="D135" s="156"/>
      <c r="E135" s="156"/>
      <c r="F135" s="157"/>
      <c r="G135" s="166">
        <v>2012</v>
      </c>
      <c r="H135" s="167">
        <v>96</v>
      </c>
      <c r="I135" s="160"/>
      <c r="J135" s="162" t="s">
        <v>1553</v>
      </c>
      <c r="K135" s="164">
        <v>1</v>
      </c>
      <c r="L135" s="91"/>
      <c r="M135" s="92"/>
    </row>
    <row r="136" spans="1:13" s="45" customFormat="1" ht="8.5500000000000007" customHeight="1" x14ac:dyDescent="0.2">
      <c r="A136" s="43"/>
      <c r="B136" s="158"/>
      <c r="C136" s="158"/>
      <c r="D136" s="158"/>
      <c r="E136" s="158"/>
      <c r="F136" s="159"/>
      <c r="G136" s="166"/>
      <c r="H136" s="168"/>
      <c r="I136" s="161"/>
      <c r="J136" s="163"/>
      <c r="K136" s="165"/>
      <c r="L136" s="91"/>
      <c r="M136" s="92"/>
    </row>
    <row r="137" spans="1:13" s="45" customFormat="1" ht="8.5500000000000007" customHeight="1" x14ac:dyDescent="0.2">
      <c r="A137" s="43"/>
      <c r="B137" s="156" t="s">
        <v>143</v>
      </c>
      <c r="C137" s="156"/>
      <c r="D137" s="156"/>
      <c r="E137" s="156"/>
      <c r="F137" s="157"/>
      <c r="G137" s="166">
        <v>2013</v>
      </c>
      <c r="H137" s="167">
        <v>92</v>
      </c>
      <c r="I137" s="160"/>
      <c r="J137" s="162" t="s">
        <v>1312</v>
      </c>
      <c r="K137" s="164">
        <v>1</v>
      </c>
      <c r="L137" s="91"/>
      <c r="M137" s="92"/>
    </row>
    <row r="138" spans="1:13" s="45" customFormat="1" ht="8.5500000000000007" customHeight="1" x14ac:dyDescent="0.2">
      <c r="A138" s="43"/>
      <c r="B138" s="158"/>
      <c r="C138" s="158"/>
      <c r="D138" s="158"/>
      <c r="E138" s="158"/>
      <c r="F138" s="159"/>
      <c r="G138" s="166"/>
      <c r="H138" s="168"/>
      <c r="I138" s="161"/>
      <c r="J138" s="163"/>
      <c r="K138" s="165"/>
      <c r="L138" s="91"/>
      <c r="M138" s="92"/>
    </row>
    <row r="139" spans="1:13" s="45" customFormat="1" ht="8.5500000000000007" customHeight="1" x14ac:dyDescent="0.2">
      <c r="A139" s="43"/>
      <c r="B139" s="156" t="s">
        <v>143</v>
      </c>
      <c r="C139" s="156"/>
      <c r="D139" s="156"/>
      <c r="E139" s="156"/>
      <c r="F139" s="157"/>
      <c r="G139" s="166">
        <v>2014</v>
      </c>
      <c r="H139" s="167">
        <v>95</v>
      </c>
      <c r="I139" s="160"/>
      <c r="J139" s="162" t="s">
        <v>1628</v>
      </c>
      <c r="K139" s="164">
        <v>1</v>
      </c>
      <c r="L139" s="91"/>
      <c r="M139" s="92"/>
    </row>
    <row r="140" spans="1:13" s="45" customFormat="1" ht="8.5500000000000007" customHeight="1" x14ac:dyDescent="0.2">
      <c r="A140" s="43"/>
      <c r="B140" s="158"/>
      <c r="C140" s="158"/>
      <c r="D140" s="158"/>
      <c r="E140" s="158"/>
      <c r="F140" s="159"/>
      <c r="G140" s="166"/>
      <c r="H140" s="168"/>
      <c r="I140" s="161"/>
      <c r="J140" s="163"/>
      <c r="K140" s="165"/>
      <c r="L140" s="91"/>
      <c r="M140" s="92"/>
    </row>
    <row r="141" spans="1:13" s="45" customFormat="1" ht="8.5500000000000007" customHeight="1" x14ac:dyDescent="0.2">
      <c r="A141" s="43"/>
      <c r="B141" s="156" t="s">
        <v>143</v>
      </c>
      <c r="C141" s="156"/>
      <c r="D141" s="156"/>
      <c r="E141" s="156"/>
      <c r="F141" s="157"/>
      <c r="G141" s="166">
        <v>2015</v>
      </c>
      <c r="H141" s="167">
        <v>98</v>
      </c>
      <c r="I141" s="160"/>
      <c r="J141" s="162" t="s">
        <v>1789</v>
      </c>
      <c r="K141" s="164">
        <v>1</v>
      </c>
      <c r="L141" s="91"/>
      <c r="M141" s="92"/>
    </row>
    <row r="142" spans="1:13" s="45" customFormat="1" ht="8.5500000000000007" customHeight="1" x14ac:dyDescent="0.2">
      <c r="A142" s="43"/>
      <c r="B142" s="158"/>
      <c r="C142" s="158"/>
      <c r="D142" s="158"/>
      <c r="E142" s="158"/>
      <c r="F142" s="159"/>
      <c r="G142" s="166"/>
      <c r="H142" s="168"/>
      <c r="I142" s="161"/>
      <c r="J142" s="163"/>
      <c r="K142" s="165"/>
      <c r="L142" s="91"/>
      <c r="M142" s="92"/>
    </row>
    <row r="143" spans="1:13" s="45" customFormat="1" ht="8.5500000000000007" customHeight="1" x14ac:dyDescent="0.2">
      <c r="A143" s="43"/>
      <c r="B143" s="156" t="s">
        <v>624</v>
      </c>
      <c r="C143" s="156"/>
      <c r="D143" s="156"/>
      <c r="E143" s="156"/>
      <c r="F143" s="157"/>
      <c r="G143" s="166">
        <v>2015</v>
      </c>
      <c r="H143" s="167">
        <v>98</v>
      </c>
      <c r="I143" s="160"/>
      <c r="J143" s="162" t="s">
        <v>1789</v>
      </c>
      <c r="K143" s="164">
        <v>1</v>
      </c>
      <c r="L143" s="91"/>
      <c r="M143" s="92"/>
    </row>
    <row r="144" spans="1:13" s="45" customFormat="1" ht="8.5500000000000007" customHeight="1" x14ac:dyDescent="0.2">
      <c r="A144" s="43"/>
      <c r="B144" s="158"/>
      <c r="C144" s="158"/>
      <c r="D144" s="158"/>
      <c r="E144" s="158"/>
      <c r="F144" s="159"/>
      <c r="G144" s="166"/>
      <c r="H144" s="168"/>
      <c r="I144" s="161"/>
      <c r="J144" s="163"/>
      <c r="K144" s="165"/>
      <c r="L144" s="91"/>
      <c r="M144" s="92"/>
    </row>
    <row r="145" spans="1:13" s="45" customFormat="1" ht="8.5500000000000007" customHeight="1" x14ac:dyDescent="0.2">
      <c r="A145" s="43"/>
      <c r="B145" s="156" t="s">
        <v>143</v>
      </c>
      <c r="C145" s="156"/>
      <c r="D145" s="156"/>
      <c r="E145" s="156"/>
      <c r="F145" s="157"/>
      <c r="G145" s="166">
        <v>2016</v>
      </c>
      <c r="H145" s="167">
        <v>100</v>
      </c>
      <c r="I145" s="160"/>
      <c r="J145" s="162" t="s">
        <v>1896</v>
      </c>
      <c r="K145" s="164">
        <v>1</v>
      </c>
      <c r="L145" s="91"/>
      <c r="M145" s="92"/>
    </row>
    <row r="146" spans="1:13" s="45" customFormat="1" ht="8.5500000000000007" customHeight="1" x14ac:dyDescent="0.2">
      <c r="A146" s="43"/>
      <c r="B146" s="158"/>
      <c r="C146" s="158"/>
      <c r="D146" s="158"/>
      <c r="E146" s="158"/>
      <c r="F146" s="159"/>
      <c r="G146" s="166"/>
      <c r="H146" s="168"/>
      <c r="I146" s="161"/>
      <c r="J146" s="163"/>
      <c r="K146" s="165"/>
      <c r="L146" s="91"/>
      <c r="M146" s="92"/>
    </row>
    <row r="147" spans="1:13" s="45" customFormat="1" ht="8.5500000000000007" customHeight="1" x14ac:dyDescent="0.2">
      <c r="A147" s="43"/>
      <c r="B147" s="172" t="s">
        <v>428</v>
      </c>
      <c r="C147" s="172"/>
      <c r="D147" s="172"/>
      <c r="E147" s="172"/>
      <c r="F147" s="173"/>
      <c r="G147" s="166">
        <v>1982</v>
      </c>
      <c r="H147" s="167">
        <v>94</v>
      </c>
      <c r="I147" s="160">
        <v>94</v>
      </c>
      <c r="J147" s="162" t="s">
        <v>1004</v>
      </c>
      <c r="K147" s="164">
        <v>3</v>
      </c>
      <c r="L147" s="91"/>
      <c r="M147" s="92"/>
    </row>
    <row r="148" spans="1:13" s="45" customFormat="1" ht="8.5500000000000007" customHeight="1" x14ac:dyDescent="0.2">
      <c r="A148" s="43"/>
      <c r="B148" s="174"/>
      <c r="C148" s="174"/>
      <c r="D148" s="174"/>
      <c r="E148" s="174"/>
      <c r="F148" s="175"/>
      <c r="G148" s="166"/>
      <c r="H148" s="168"/>
      <c r="I148" s="161"/>
      <c r="J148" s="163"/>
      <c r="K148" s="165"/>
      <c r="L148" s="91"/>
      <c r="M148" s="92"/>
    </row>
    <row r="149" spans="1:13" s="45" customFormat="1" ht="8.5500000000000007" customHeight="1" x14ac:dyDescent="0.2">
      <c r="A149" s="43"/>
      <c r="B149" s="156" t="s">
        <v>428</v>
      </c>
      <c r="C149" s="156"/>
      <c r="D149" s="156"/>
      <c r="E149" s="156"/>
      <c r="F149" s="157"/>
      <c r="G149" s="166">
        <v>1985</v>
      </c>
      <c r="H149" s="167">
        <v>94</v>
      </c>
      <c r="I149" s="160"/>
      <c r="J149" s="162" t="s">
        <v>1897</v>
      </c>
      <c r="K149" s="164">
        <v>2</v>
      </c>
      <c r="L149" s="91"/>
      <c r="M149" s="92"/>
    </row>
    <row r="150" spans="1:13" s="45" customFormat="1" ht="8.5500000000000007" customHeight="1" x14ac:dyDescent="0.2">
      <c r="A150" s="43"/>
      <c r="B150" s="158"/>
      <c r="C150" s="158"/>
      <c r="D150" s="158"/>
      <c r="E150" s="158"/>
      <c r="F150" s="159"/>
      <c r="G150" s="166"/>
      <c r="H150" s="168"/>
      <c r="I150" s="161"/>
      <c r="J150" s="163"/>
      <c r="K150" s="165"/>
      <c r="L150" s="91"/>
      <c r="M150" s="92"/>
    </row>
    <row r="151" spans="1:13" s="45" customFormat="1" ht="8.5500000000000007" customHeight="1" x14ac:dyDescent="0.2">
      <c r="A151" s="43"/>
      <c r="B151" s="156" t="s">
        <v>428</v>
      </c>
      <c r="C151" s="156"/>
      <c r="D151" s="156"/>
      <c r="E151" s="156"/>
      <c r="F151" s="157"/>
      <c r="G151" s="166">
        <v>1986</v>
      </c>
      <c r="H151" s="167">
        <v>94</v>
      </c>
      <c r="I151" s="160"/>
      <c r="J151" s="162" t="s">
        <v>1309</v>
      </c>
      <c r="K151" s="164">
        <v>5</v>
      </c>
      <c r="L151" s="91"/>
      <c r="M151" s="92"/>
    </row>
    <row r="152" spans="1:13" s="45" customFormat="1" ht="8.5500000000000007" customHeight="1" x14ac:dyDescent="0.2">
      <c r="A152" s="43"/>
      <c r="B152" s="158"/>
      <c r="C152" s="158"/>
      <c r="D152" s="158"/>
      <c r="E152" s="158"/>
      <c r="F152" s="159"/>
      <c r="G152" s="166"/>
      <c r="H152" s="168"/>
      <c r="I152" s="161"/>
      <c r="J152" s="163"/>
      <c r="K152" s="165"/>
      <c r="L152" s="91"/>
      <c r="M152" s="92"/>
    </row>
    <row r="153" spans="1:13" s="45" customFormat="1" ht="8.5500000000000007" customHeight="1" x14ac:dyDescent="0.2">
      <c r="A153" s="43"/>
      <c r="B153" s="156" t="s">
        <v>428</v>
      </c>
      <c r="C153" s="156"/>
      <c r="D153" s="156"/>
      <c r="E153" s="156"/>
      <c r="F153" s="157"/>
      <c r="G153" s="166">
        <v>1989</v>
      </c>
      <c r="H153" s="167">
        <v>99</v>
      </c>
      <c r="I153" s="160">
        <v>96</v>
      </c>
      <c r="J153" s="162" t="s">
        <v>39</v>
      </c>
      <c r="K153" s="164">
        <v>6</v>
      </c>
      <c r="L153" s="91"/>
      <c r="M153" s="92"/>
    </row>
    <row r="154" spans="1:13" s="45" customFormat="1" ht="8.5500000000000007" customHeight="1" x14ac:dyDescent="0.2">
      <c r="A154" s="43"/>
      <c r="B154" s="158"/>
      <c r="C154" s="158"/>
      <c r="D154" s="158"/>
      <c r="E154" s="158"/>
      <c r="F154" s="159"/>
      <c r="G154" s="166"/>
      <c r="H154" s="168"/>
      <c r="I154" s="161"/>
      <c r="J154" s="163"/>
      <c r="K154" s="165"/>
      <c r="L154" s="91"/>
      <c r="M154" s="92"/>
    </row>
    <row r="155" spans="1:13" s="45" customFormat="1" ht="8.5500000000000007" customHeight="1" x14ac:dyDescent="0.2">
      <c r="A155" s="43"/>
      <c r="B155" s="156" t="s">
        <v>428</v>
      </c>
      <c r="C155" s="156"/>
      <c r="D155" s="156"/>
      <c r="E155" s="156"/>
      <c r="F155" s="157"/>
      <c r="G155" s="166">
        <v>1990</v>
      </c>
      <c r="H155" s="167">
        <v>97</v>
      </c>
      <c r="I155" s="160">
        <v>94</v>
      </c>
      <c r="J155" s="162" t="s">
        <v>7</v>
      </c>
      <c r="K155" s="164">
        <v>7</v>
      </c>
      <c r="L155" s="91"/>
      <c r="M155" s="92"/>
    </row>
    <row r="156" spans="1:13" s="45" customFormat="1" ht="8.5500000000000007" customHeight="1" x14ac:dyDescent="0.2">
      <c r="A156" s="43"/>
      <c r="B156" s="158"/>
      <c r="C156" s="158"/>
      <c r="D156" s="158"/>
      <c r="E156" s="158"/>
      <c r="F156" s="159"/>
      <c r="G156" s="166"/>
      <c r="H156" s="168"/>
      <c r="I156" s="161"/>
      <c r="J156" s="163"/>
      <c r="K156" s="165"/>
      <c r="L156" s="91"/>
      <c r="M156" s="92"/>
    </row>
    <row r="157" spans="1:13" s="45" customFormat="1" ht="8.5500000000000007" customHeight="1" x14ac:dyDescent="0.2">
      <c r="A157" s="43"/>
      <c r="B157" s="156" t="s">
        <v>727</v>
      </c>
      <c r="C157" s="156"/>
      <c r="D157" s="156"/>
      <c r="E157" s="156"/>
      <c r="F157" s="157"/>
      <c r="G157" s="166">
        <v>1990</v>
      </c>
      <c r="H157" s="167">
        <v>97</v>
      </c>
      <c r="I157" s="160">
        <v>94</v>
      </c>
      <c r="J157" s="162" t="s">
        <v>7</v>
      </c>
      <c r="K157" s="164">
        <v>2</v>
      </c>
      <c r="L157" s="91"/>
      <c r="M157" s="92"/>
    </row>
    <row r="158" spans="1:13" s="45" customFormat="1" ht="8.5500000000000007" customHeight="1" x14ac:dyDescent="0.2">
      <c r="A158" s="43"/>
      <c r="B158" s="158"/>
      <c r="C158" s="158"/>
      <c r="D158" s="158"/>
      <c r="E158" s="158"/>
      <c r="F158" s="159"/>
      <c r="G158" s="166"/>
      <c r="H158" s="168"/>
      <c r="I158" s="161"/>
      <c r="J158" s="163"/>
      <c r="K158" s="165"/>
      <c r="L158" s="91"/>
      <c r="M158" s="92"/>
    </row>
    <row r="159" spans="1:13" s="45" customFormat="1" ht="8.5500000000000007" customHeight="1" x14ac:dyDescent="0.2">
      <c r="A159" s="43"/>
      <c r="B159" s="156" t="s">
        <v>428</v>
      </c>
      <c r="C159" s="156"/>
      <c r="D159" s="156"/>
      <c r="E159" s="156"/>
      <c r="F159" s="157"/>
      <c r="G159" s="166">
        <v>1996</v>
      </c>
      <c r="H159" s="167">
        <v>91</v>
      </c>
      <c r="I159" s="160">
        <v>92</v>
      </c>
      <c r="J159" s="162" t="s">
        <v>305</v>
      </c>
      <c r="K159" s="164">
        <v>1</v>
      </c>
      <c r="L159" s="91"/>
      <c r="M159" s="92"/>
    </row>
    <row r="160" spans="1:13" s="45" customFormat="1" ht="8.5500000000000007" customHeight="1" x14ac:dyDescent="0.2">
      <c r="A160" s="43"/>
      <c r="B160" s="158"/>
      <c r="C160" s="158"/>
      <c r="D160" s="158"/>
      <c r="E160" s="158"/>
      <c r="F160" s="159"/>
      <c r="G160" s="166"/>
      <c r="H160" s="168"/>
      <c r="I160" s="161"/>
      <c r="J160" s="163"/>
      <c r="K160" s="165"/>
      <c r="L160" s="91"/>
      <c r="M160" s="92"/>
    </row>
    <row r="161" spans="1:13" s="45" customFormat="1" ht="8.5500000000000007" customHeight="1" x14ac:dyDescent="0.2">
      <c r="A161" s="43"/>
      <c r="B161" s="156" t="s">
        <v>727</v>
      </c>
      <c r="C161" s="156"/>
      <c r="D161" s="156"/>
      <c r="E161" s="156"/>
      <c r="F161" s="157"/>
      <c r="G161" s="166">
        <v>1996</v>
      </c>
      <c r="H161" s="167">
        <v>91</v>
      </c>
      <c r="I161" s="160">
        <v>92</v>
      </c>
      <c r="J161" s="162" t="s">
        <v>305</v>
      </c>
      <c r="K161" s="164">
        <v>1</v>
      </c>
      <c r="L161" s="91"/>
      <c r="M161" s="92"/>
    </row>
    <row r="162" spans="1:13" s="45" customFormat="1" ht="8.5500000000000007" customHeight="1" x14ac:dyDescent="0.2">
      <c r="A162" s="43"/>
      <c r="B162" s="158"/>
      <c r="C162" s="158"/>
      <c r="D162" s="158"/>
      <c r="E162" s="158"/>
      <c r="F162" s="159"/>
      <c r="G162" s="166"/>
      <c r="H162" s="168"/>
      <c r="I162" s="161"/>
      <c r="J162" s="163"/>
      <c r="K162" s="165"/>
      <c r="L162" s="91"/>
      <c r="M162" s="92"/>
    </row>
    <row r="163" spans="1:13" s="45" customFormat="1" ht="8.5500000000000007" customHeight="1" x14ac:dyDescent="0.2">
      <c r="A163" s="43"/>
      <c r="B163" s="156" t="s">
        <v>968</v>
      </c>
      <c r="C163" s="156"/>
      <c r="D163" s="156"/>
      <c r="E163" s="156"/>
      <c r="F163" s="157"/>
      <c r="G163" s="166">
        <v>2000</v>
      </c>
      <c r="H163" s="167">
        <v>97</v>
      </c>
      <c r="I163" s="160"/>
      <c r="J163" s="162" t="s">
        <v>130</v>
      </c>
      <c r="K163" s="164">
        <v>5</v>
      </c>
      <c r="L163" s="91"/>
      <c r="M163" s="92"/>
    </row>
    <row r="164" spans="1:13" s="45" customFormat="1" ht="8.5500000000000007" customHeight="1" x14ac:dyDescent="0.2">
      <c r="A164" s="43"/>
      <c r="B164" s="158"/>
      <c r="C164" s="158"/>
      <c r="D164" s="158"/>
      <c r="E164" s="158"/>
      <c r="F164" s="159"/>
      <c r="G164" s="166"/>
      <c r="H164" s="168"/>
      <c r="I164" s="161"/>
      <c r="J164" s="163"/>
      <c r="K164" s="165"/>
      <c r="L164" s="91"/>
      <c r="M164" s="92"/>
    </row>
    <row r="165" spans="1:13" s="45" customFormat="1" ht="8.5500000000000007" customHeight="1" x14ac:dyDescent="0.2">
      <c r="A165" s="43"/>
      <c r="B165" s="156" t="s">
        <v>968</v>
      </c>
      <c r="C165" s="156"/>
      <c r="D165" s="156"/>
      <c r="E165" s="156"/>
      <c r="F165" s="157"/>
      <c r="G165" s="166">
        <v>2009</v>
      </c>
      <c r="H165" s="167">
        <v>96</v>
      </c>
      <c r="I165" s="160"/>
      <c r="J165" s="162" t="s">
        <v>685</v>
      </c>
      <c r="K165" s="164">
        <v>5</v>
      </c>
      <c r="L165" s="91"/>
      <c r="M165" s="92"/>
    </row>
    <row r="166" spans="1:13" s="45" customFormat="1" ht="8.5500000000000007" customHeight="1" x14ac:dyDescent="0.2">
      <c r="A166" s="43"/>
      <c r="B166" s="158"/>
      <c r="C166" s="158"/>
      <c r="D166" s="158"/>
      <c r="E166" s="158"/>
      <c r="F166" s="159"/>
      <c r="G166" s="166"/>
      <c r="H166" s="168"/>
      <c r="I166" s="161"/>
      <c r="J166" s="163"/>
      <c r="K166" s="165"/>
      <c r="L166" s="91"/>
      <c r="M166" s="92"/>
    </row>
    <row r="167" spans="1:13" s="45" customFormat="1" ht="8.5500000000000007" customHeight="1" x14ac:dyDescent="0.2">
      <c r="A167" s="43"/>
      <c r="B167" s="172" t="s">
        <v>164</v>
      </c>
      <c r="C167" s="172"/>
      <c r="D167" s="172"/>
      <c r="E167" s="172"/>
      <c r="F167" s="173"/>
      <c r="G167" s="166">
        <v>2005</v>
      </c>
      <c r="H167" s="167">
        <v>93</v>
      </c>
      <c r="I167" s="160">
        <v>93</v>
      </c>
      <c r="J167" s="211" t="s">
        <v>216</v>
      </c>
      <c r="K167" s="164">
        <v>1</v>
      </c>
      <c r="L167" s="91"/>
      <c r="M167" s="92"/>
    </row>
    <row r="168" spans="1:13" s="45" customFormat="1" ht="8.5500000000000007" customHeight="1" x14ac:dyDescent="0.2">
      <c r="A168" s="43"/>
      <c r="B168" s="174"/>
      <c r="C168" s="174"/>
      <c r="D168" s="174"/>
      <c r="E168" s="174"/>
      <c r="F168" s="175"/>
      <c r="G168" s="166"/>
      <c r="H168" s="168"/>
      <c r="I168" s="161"/>
      <c r="J168" s="168"/>
      <c r="K168" s="165"/>
      <c r="L168" s="91"/>
      <c r="M168" s="92"/>
    </row>
    <row r="169" spans="1:13" s="45" customFormat="1" ht="8.5500000000000007" customHeight="1" x14ac:dyDescent="0.2">
      <c r="A169" s="43"/>
      <c r="B169" s="172" t="s">
        <v>165</v>
      </c>
      <c r="C169" s="172"/>
      <c r="D169" s="172"/>
      <c r="E169" s="172"/>
      <c r="F169" s="173"/>
      <c r="G169" s="166">
        <v>1982</v>
      </c>
      <c r="H169" s="167">
        <v>100</v>
      </c>
      <c r="I169" s="160">
        <v>95</v>
      </c>
      <c r="J169" s="211" t="s">
        <v>1004</v>
      </c>
      <c r="K169" s="164">
        <v>5</v>
      </c>
      <c r="L169" s="91"/>
      <c r="M169" s="92"/>
    </row>
    <row r="170" spans="1:13" s="45" customFormat="1" ht="8.5500000000000007" customHeight="1" x14ac:dyDescent="0.2">
      <c r="A170" s="43"/>
      <c r="B170" s="174"/>
      <c r="C170" s="174"/>
      <c r="D170" s="174"/>
      <c r="E170" s="174"/>
      <c r="F170" s="175"/>
      <c r="G170" s="166"/>
      <c r="H170" s="168"/>
      <c r="I170" s="161"/>
      <c r="J170" s="168"/>
      <c r="K170" s="165"/>
      <c r="L170" s="91"/>
      <c r="M170" s="92"/>
    </row>
    <row r="171" spans="1:13" s="45" customFormat="1" ht="8.5500000000000007" customHeight="1" x14ac:dyDescent="0.2">
      <c r="A171" s="43"/>
      <c r="B171" s="156" t="s">
        <v>165</v>
      </c>
      <c r="C171" s="156"/>
      <c r="D171" s="156"/>
      <c r="E171" s="156"/>
      <c r="F171" s="157"/>
      <c r="G171" s="166">
        <v>1986</v>
      </c>
      <c r="H171" s="167">
        <v>95</v>
      </c>
      <c r="I171" s="160">
        <v>97</v>
      </c>
      <c r="J171" s="211" t="s">
        <v>267</v>
      </c>
      <c r="K171" s="164">
        <v>1</v>
      </c>
      <c r="L171" s="91"/>
      <c r="M171" s="92"/>
    </row>
    <row r="172" spans="1:13" s="45" customFormat="1" ht="8.5500000000000007" customHeight="1" x14ac:dyDescent="0.2">
      <c r="A172" s="43"/>
      <c r="B172" s="158"/>
      <c r="C172" s="158"/>
      <c r="D172" s="158"/>
      <c r="E172" s="158"/>
      <c r="F172" s="159"/>
      <c r="G172" s="166"/>
      <c r="H172" s="168"/>
      <c r="I172" s="161"/>
      <c r="J172" s="168"/>
      <c r="K172" s="165"/>
      <c r="L172" s="91"/>
      <c r="M172" s="92"/>
    </row>
    <row r="173" spans="1:13" s="45" customFormat="1" ht="8.5500000000000007" customHeight="1" x14ac:dyDescent="0.2">
      <c r="A173" s="43"/>
      <c r="B173" s="156" t="s">
        <v>165</v>
      </c>
      <c r="C173" s="156"/>
      <c r="D173" s="156"/>
      <c r="E173" s="156"/>
      <c r="F173" s="157"/>
      <c r="G173" s="166">
        <v>1995</v>
      </c>
      <c r="H173" s="167">
        <v>96</v>
      </c>
      <c r="I173" s="160">
        <v>94</v>
      </c>
      <c r="J173" s="211" t="s">
        <v>1898</v>
      </c>
      <c r="K173" s="164">
        <v>4</v>
      </c>
      <c r="L173" s="91"/>
      <c r="M173" s="92"/>
    </row>
    <row r="174" spans="1:13" s="45" customFormat="1" ht="8.5500000000000007" customHeight="1" x14ac:dyDescent="0.2">
      <c r="A174" s="43"/>
      <c r="B174" s="158"/>
      <c r="C174" s="158"/>
      <c r="D174" s="158"/>
      <c r="E174" s="158"/>
      <c r="F174" s="159"/>
      <c r="G174" s="166"/>
      <c r="H174" s="168"/>
      <c r="I174" s="161"/>
      <c r="J174" s="168"/>
      <c r="K174" s="165"/>
      <c r="L174" s="91"/>
      <c r="M174" s="92"/>
    </row>
    <row r="175" spans="1:13" s="45" customFormat="1" ht="8.5500000000000007" customHeight="1" x14ac:dyDescent="0.2">
      <c r="A175" s="43"/>
      <c r="B175" s="156" t="s">
        <v>631</v>
      </c>
      <c r="C175" s="156"/>
      <c r="D175" s="156"/>
      <c r="E175" s="156"/>
      <c r="F175" s="157"/>
      <c r="G175" s="166">
        <v>1995</v>
      </c>
      <c r="H175" s="167">
        <v>96</v>
      </c>
      <c r="I175" s="160">
        <v>94</v>
      </c>
      <c r="J175" s="211" t="s">
        <v>1898</v>
      </c>
      <c r="K175" s="164">
        <v>1</v>
      </c>
      <c r="L175" s="91"/>
      <c r="M175" s="92"/>
    </row>
    <row r="176" spans="1:13" s="45" customFormat="1" ht="8.5500000000000007" customHeight="1" x14ac:dyDescent="0.2">
      <c r="A176" s="43"/>
      <c r="B176" s="158"/>
      <c r="C176" s="158"/>
      <c r="D176" s="158"/>
      <c r="E176" s="158"/>
      <c r="F176" s="159"/>
      <c r="G176" s="166"/>
      <c r="H176" s="168"/>
      <c r="I176" s="161"/>
      <c r="J176" s="168"/>
      <c r="K176" s="165"/>
      <c r="L176" s="91"/>
      <c r="M176" s="92"/>
    </row>
    <row r="177" spans="1:13" s="45" customFormat="1" ht="8.5500000000000007" customHeight="1" x14ac:dyDescent="0.2">
      <c r="A177" s="43"/>
      <c r="B177" s="156" t="s">
        <v>631</v>
      </c>
      <c r="C177" s="156"/>
      <c r="D177" s="156"/>
      <c r="E177" s="156"/>
      <c r="F177" s="157"/>
      <c r="G177" s="166">
        <v>1996</v>
      </c>
      <c r="H177" s="167">
        <v>97</v>
      </c>
      <c r="I177" s="160">
        <v>92</v>
      </c>
      <c r="J177" s="211" t="s">
        <v>1899</v>
      </c>
      <c r="K177" s="164">
        <v>1</v>
      </c>
      <c r="L177" s="91"/>
      <c r="M177" s="92"/>
    </row>
    <row r="178" spans="1:13" s="45" customFormat="1" ht="8.5500000000000007" customHeight="1" x14ac:dyDescent="0.2">
      <c r="A178" s="43"/>
      <c r="B178" s="158"/>
      <c r="C178" s="158"/>
      <c r="D178" s="158"/>
      <c r="E178" s="158"/>
      <c r="F178" s="159"/>
      <c r="G178" s="166"/>
      <c r="H178" s="168"/>
      <c r="I178" s="161"/>
      <c r="J178" s="168"/>
      <c r="K178" s="165"/>
      <c r="L178" s="91"/>
      <c r="M178" s="92"/>
    </row>
    <row r="179" spans="1:13" s="45" customFormat="1" ht="8.5500000000000007" customHeight="1" x14ac:dyDescent="0.2">
      <c r="A179" s="43"/>
      <c r="B179" s="170" t="s">
        <v>943</v>
      </c>
      <c r="C179" s="170"/>
      <c r="D179" s="170"/>
      <c r="E179" s="170"/>
      <c r="F179" s="170"/>
      <c r="G179" s="47"/>
      <c r="H179" s="47"/>
      <c r="I179" s="48"/>
      <c r="J179" s="48"/>
      <c r="K179" s="164"/>
      <c r="L179" s="91"/>
      <c r="M179" s="92"/>
    </row>
    <row r="180" spans="1:13" s="45" customFormat="1" ht="8.5500000000000007" customHeight="1" x14ac:dyDescent="0.2">
      <c r="A180" s="43"/>
      <c r="B180" s="171"/>
      <c r="C180" s="171"/>
      <c r="D180" s="171"/>
      <c r="E180" s="171"/>
      <c r="F180" s="171"/>
      <c r="G180" s="54"/>
      <c r="H180" s="54"/>
      <c r="I180" s="49"/>
      <c r="J180" s="49"/>
      <c r="K180" s="165"/>
      <c r="L180" s="91"/>
      <c r="M180" s="92"/>
    </row>
    <row r="181" spans="1:13" s="45" customFormat="1" ht="8.5500000000000007" customHeight="1" x14ac:dyDescent="0.2">
      <c r="A181" s="43"/>
      <c r="B181" s="156" t="s">
        <v>165</v>
      </c>
      <c r="C181" s="156"/>
      <c r="D181" s="156"/>
      <c r="E181" s="156"/>
      <c r="F181" s="157"/>
      <c r="G181" s="166">
        <v>1996</v>
      </c>
      <c r="H181" s="167">
        <v>97</v>
      </c>
      <c r="I181" s="160">
        <v>92</v>
      </c>
      <c r="J181" s="211" t="s">
        <v>1899</v>
      </c>
      <c r="K181" s="164">
        <v>1</v>
      </c>
      <c r="L181" s="91"/>
      <c r="M181" s="92"/>
    </row>
    <row r="182" spans="1:13" s="45" customFormat="1" ht="8.5500000000000007" customHeight="1" x14ac:dyDescent="0.2">
      <c r="A182" s="43"/>
      <c r="B182" s="158"/>
      <c r="C182" s="158"/>
      <c r="D182" s="158"/>
      <c r="E182" s="158"/>
      <c r="F182" s="159"/>
      <c r="G182" s="166"/>
      <c r="H182" s="168"/>
      <c r="I182" s="161"/>
      <c r="J182" s="168"/>
      <c r="K182" s="165"/>
      <c r="L182" s="91"/>
      <c r="M182" s="92"/>
    </row>
    <row r="183" spans="1:13" s="45" customFormat="1" ht="8.5500000000000007" customHeight="1" x14ac:dyDescent="0.2">
      <c r="A183" s="43"/>
      <c r="B183" s="156" t="s">
        <v>146</v>
      </c>
      <c r="C183" s="156"/>
      <c r="D183" s="156"/>
      <c r="E183" s="156"/>
      <c r="F183" s="157"/>
      <c r="G183" s="166">
        <v>2000</v>
      </c>
      <c r="H183" s="167">
        <v>96</v>
      </c>
      <c r="I183" s="160">
        <v>95</v>
      </c>
      <c r="J183" s="162" t="s">
        <v>266</v>
      </c>
      <c r="K183" s="164">
        <v>6</v>
      </c>
      <c r="L183" s="91"/>
      <c r="M183" s="92"/>
    </row>
    <row r="184" spans="1:13" s="45" customFormat="1" ht="8.5500000000000007" customHeight="1" x14ac:dyDescent="0.2">
      <c r="A184" s="43"/>
      <c r="B184" s="158"/>
      <c r="C184" s="158"/>
      <c r="D184" s="158"/>
      <c r="E184" s="158"/>
      <c r="F184" s="159"/>
      <c r="G184" s="166"/>
      <c r="H184" s="168"/>
      <c r="I184" s="161"/>
      <c r="J184" s="163"/>
      <c r="K184" s="165"/>
      <c r="L184" s="91"/>
      <c r="M184" s="92"/>
    </row>
    <row r="185" spans="1:13" s="45" customFormat="1" ht="8.5500000000000007" customHeight="1" x14ac:dyDescent="0.2">
      <c r="A185" s="43"/>
      <c r="B185" s="156" t="s">
        <v>146</v>
      </c>
      <c r="C185" s="156"/>
      <c r="D185" s="156"/>
      <c r="E185" s="156"/>
      <c r="F185" s="157"/>
      <c r="G185" s="166">
        <v>2001</v>
      </c>
      <c r="H185" s="167">
        <v>93</v>
      </c>
      <c r="I185" s="160">
        <v>92</v>
      </c>
      <c r="J185" s="162" t="s">
        <v>129</v>
      </c>
      <c r="K185" s="164">
        <v>2</v>
      </c>
      <c r="L185" s="91"/>
      <c r="M185" s="92"/>
    </row>
    <row r="186" spans="1:13" s="45" customFormat="1" ht="8.5500000000000007" customHeight="1" x14ac:dyDescent="0.2">
      <c r="A186" s="43"/>
      <c r="B186" s="158"/>
      <c r="C186" s="158"/>
      <c r="D186" s="158"/>
      <c r="E186" s="158"/>
      <c r="F186" s="159"/>
      <c r="G186" s="166"/>
      <c r="H186" s="168"/>
      <c r="I186" s="161"/>
      <c r="J186" s="163"/>
      <c r="K186" s="165"/>
      <c r="L186" s="91"/>
      <c r="M186" s="92"/>
    </row>
    <row r="187" spans="1:13" s="45" customFormat="1" ht="8.5500000000000007" customHeight="1" x14ac:dyDescent="0.2">
      <c r="A187" s="43"/>
      <c r="B187" s="156" t="s">
        <v>146</v>
      </c>
      <c r="C187" s="156"/>
      <c r="D187" s="156"/>
      <c r="E187" s="156"/>
      <c r="F187" s="157"/>
      <c r="G187" s="166">
        <v>2002</v>
      </c>
      <c r="H187" s="167">
        <v>94</v>
      </c>
      <c r="I187" s="160">
        <v>91</v>
      </c>
      <c r="J187" s="162" t="s">
        <v>256</v>
      </c>
      <c r="K187" s="164">
        <v>3</v>
      </c>
      <c r="L187" s="91"/>
      <c r="M187" s="92"/>
    </row>
    <row r="188" spans="1:13" s="45" customFormat="1" ht="8.5500000000000007" customHeight="1" x14ac:dyDescent="0.2">
      <c r="A188" s="43"/>
      <c r="B188" s="158"/>
      <c r="C188" s="158"/>
      <c r="D188" s="158"/>
      <c r="E188" s="158"/>
      <c r="F188" s="159"/>
      <c r="G188" s="166"/>
      <c r="H188" s="168"/>
      <c r="I188" s="161"/>
      <c r="J188" s="163"/>
      <c r="K188" s="165"/>
      <c r="L188" s="91"/>
      <c r="M188" s="92"/>
    </row>
    <row r="189" spans="1:13" s="45" customFormat="1" ht="8.5500000000000007" customHeight="1" x14ac:dyDescent="0.2">
      <c r="A189" s="43"/>
      <c r="B189" s="156" t="s">
        <v>146</v>
      </c>
      <c r="C189" s="156"/>
      <c r="D189" s="156"/>
      <c r="E189" s="156"/>
      <c r="F189" s="157"/>
      <c r="G189" s="166">
        <v>2003</v>
      </c>
      <c r="H189" s="167">
        <v>95</v>
      </c>
      <c r="I189" s="160">
        <v>93</v>
      </c>
      <c r="J189" s="211" t="s">
        <v>1900</v>
      </c>
      <c r="K189" s="164">
        <v>1</v>
      </c>
      <c r="L189" s="91"/>
      <c r="M189" s="92"/>
    </row>
    <row r="190" spans="1:13" s="45" customFormat="1" ht="8.5500000000000007" customHeight="1" x14ac:dyDescent="0.2">
      <c r="A190" s="43"/>
      <c r="B190" s="158"/>
      <c r="C190" s="158"/>
      <c r="D190" s="158"/>
      <c r="E190" s="158"/>
      <c r="F190" s="159"/>
      <c r="G190" s="166"/>
      <c r="H190" s="168"/>
      <c r="I190" s="161"/>
      <c r="J190" s="168"/>
      <c r="K190" s="165"/>
      <c r="L190" s="91"/>
      <c r="M190" s="92"/>
    </row>
    <row r="191" spans="1:13" s="45" customFormat="1" ht="8.5500000000000007" customHeight="1" x14ac:dyDescent="0.2">
      <c r="A191" s="43"/>
      <c r="B191" s="156" t="s">
        <v>146</v>
      </c>
      <c r="C191" s="156"/>
      <c r="D191" s="156"/>
      <c r="E191" s="156"/>
      <c r="F191" s="157"/>
      <c r="G191" s="166">
        <v>2005</v>
      </c>
      <c r="H191" s="167">
        <v>89</v>
      </c>
      <c r="I191" s="160">
        <v>93</v>
      </c>
      <c r="J191" s="162" t="s">
        <v>124</v>
      </c>
      <c r="K191" s="164">
        <v>3</v>
      </c>
      <c r="L191" s="91"/>
      <c r="M191" s="92"/>
    </row>
    <row r="192" spans="1:13" s="45" customFormat="1" ht="8.5500000000000007" customHeight="1" x14ac:dyDescent="0.2">
      <c r="A192" s="43"/>
      <c r="B192" s="158"/>
      <c r="C192" s="158"/>
      <c r="D192" s="158"/>
      <c r="E192" s="158"/>
      <c r="F192" s="159"/>
      <c r="G192" s="166"/>
      <c r="H192" s="168"/>
      <c r="I192" s="161"/>
      <c r="J192" s="163"/>
      <c r="K192" s="165"/>
      <c r="L192" s="91"/>
      <c r="M192" s="92"/>
    </row>
    <row r="193" spans="1:13" s="45" customFormat="1" ht="8.5500000000000007" customHeight="1" x14ac:dyDescent="0.2">
      <c r="A193" s="43"/>
      <c r="B193" s="156" t="s">
        <v>146</v>
      </c>
      <c r="C193" s="156"/>
      <c r="D193" s="156"/>
      <c r="E193" s="156"/>
      <c r="F193" s="157"/>
      <c r="G193" s="166">
        <v>2009</v>
      </c>
      <c r="H193" s="167" t="s">
        <v>640</v>
      </c>
      <c r="I193" s="160"/>
      <c r="J193" s="162" t="s">
        <v>1901</v>
      </c>
      <c r="K193" s="164">
        <v>7</v>
      </c>
      <c r="L193" s="91"/>
      <c r="M193" s="92"/>
    </row>
    <row r="194" spans="1:13" s="45" customFormat="1" ht="8.5500000000000007" customHeight="1" x14ac:dyDescent="0.2">
      <c r="A194" s="43"/>
      <c r="B194" s="158"/>
      <c r="C194" s="158"/>
      <c r="D194" s="158"/>
      <c r="E194" s="158"/>
      <c r="F194" s="159"/>
      <c r="G194" s="166"/>
      <c r="H194" s="168"/>
      <c r="I194" s="161"/>
      <c r="J194" s="163"/>
      <c r="K194" s="165"/>
      <c r="L194" s="91"/>
      <c r="M194" s="92"/>
    </row>
    <row r="195" spans="1:13" s="45" customFormat="1" ht="8.5500000000000007" customHeight="1" x14ac:dyDescent="0.2">
      <c r="A195" s="43"/>
      <c r="B195" s="156" t="s">
        <v>146</v>
      </c>
      <c r="C195" s="156"/>
      <c r="D195" s="156"/>
      <c r="E195" s="156"/>
      <c r="F195" s="157"/>
      <c r="G195" s="166">
        <v>2015</v>
      </c>
      <c r="H195" s="167">
        <v>96</v>
      </c>
      <c r="I195" s="160"/>
      <c r="J195" s="162" t="s">
        <v>1546</v>
      </c>
      <c r="K195" s="164">
        <v>4</v>
      </c>
      <c r="L195" s="91"/>
      <c r="M195" s="92"/>
    </row>
    <row r="196" spans="1:13" s="45" customFormat="1" ht="8.5500000000000007" customHeight="1" x14ac:dyDescent="0.2">
      <c r="A196" s="43"/>
      <c r="B196" s="158"/>
      <c r="C196" s="158"/>
      <c r="D196" s="158"/>
      <c r="E196" s="158"/>
      <c r="F196" s="159"/>
      <c r="G196" s="166"/>
      <c r="H196" s="168"/>
      <c r="I196" s="161"/>
      <c r="J196" s="163"/>
      <c r="K196" s="165"/>
      <c r="L196" s="91"/>
      <c r="M196" s="92"/>
    </row>
    <row r="197" spans="1:13" s="45" customFormat="1" ht="8.5500000000000007" customHeight="1" x14ac:dyDescent="0.2">
      <c r="A197" s="43"/>
      <c r="B197" s="156" t="s">
        <v>631</v>
      </c>
      <c r="C197" s="156"/>
      <c r="D197" s="156"/>
      <c r="E197" s="156"/>
      <c r="F197" s="157"/>
      <c r="G197" s="166">
        <v>2015</v>
      </c>
      <c r="H197" s="167">
        <v>96</v>
      </c>
      <c r="I197" s="160"/>
      <c r="J197" s="162" t="s">
        <v>1546</v>
      </c>
      <c r="K197" s="164">
        <v>1</v>
      </c>
      <c r="L197" s="91"/>
      <c r="M197" s="92"/>
    </row>
    <row r="198" spans="1:13" s="45" customFormat="1" ht="8.5500000000000007" customHeight="1" x14ac:dyDescent="0.2">
      <c r="A198" s="43"/>
      <c r="B198" s="158"/>
      <c r="C198" s="158"/>
      <c r="D198" s="158"/>
      <c r="E198" s="158"/>
      <c r="F198" s="159"/>
      <c r="G198" s="166"/>
      <c r="H198" s="168"/>
      <c r="I198" s="161"/>
      <c r="J198" s="163"/>
      <c r="K198" s="165"/>
      <c r="L198" s="91"/>
      <c r="M198" s="92"/>
    </row>
    <row r="199" spans="1:13" s="45" customFormat="1" ht="8.5500000000000007" customHeight="1" x14ac:dyDescent="0.2">
      <c r="A199" s="43"/>
      <c r="B199" s="172" t="s">
        <v>194</v>
      </c>
      <c r="C199" s="172"/>
      <c r="D199" s="172"/>
      <c r="E199" s="172"/>
      <c r="F199" s="173"/>
      <c r="G199" s="166">
        <v>1982</v>
      </c>
      <c r="H199" s="167">
        <v>92</v>
      </c>
      <c r="I199" s="160">
        <v>94</v>
      </c>
      <c r="J199" s="162" t="s">
        <v>600</v>
      </c>
      <c r="K199" s="164">
        <v>2</v>
      </c>
      <c r="L199" s="91"/>
      <c r="M199" s="92"/>
    </row>
    <row r="200" spans="1:13" s="45" customFormat="1" ht="8.5500000000000007" customHeight="1" x14ac:dyDescent="0.2">
      <c r="A200" s="43"/>
      <c r="B200" s="174"/>
      <c r="C200" s="174"/>
      <c r="D200" s="174"/>
      <c r="E200" s="174"/>
      <c r="F200" s="175"/>
      <c r="G200" s="166"/>
      <c r="H200" s="168"/>
      <c r="I200" s="161"/>
      <c r="J200" s="163"/>
      <c r="K200" s="165"/>
      <c r="L200" s="91"/>
      <c r="M200" s="92"/>
    </row>
    <row r="201" spans="1:13" s="45" customFormat="1" ht="8.5500000000000007" customHeight="1" x14ac:dyDescent="0.2">
      <c r="A201" s="43"/>
      <c r="B201" s="156" t="s">
        <v>1109</v>
      </c>
      <c r="C201" s="156"/>
      <c r="D201" s="156"/>
      <c r="E201" s="156"/>
      <c r="F201" s="157"/>
      <c r="G201" s="166">
        <v>1982</v>
      </c>
      <c r="H201" s="167">
        <v>92</v>
      </c>
      <c r="I201" s="160">
        <v>94</v>
      </c>
      <c r="J201" s="162" t="s">
        <v>600</v>
      </c>
      <c r="K201" s="164">
        <v>1</v>
      </c>
      <c r="L201" s="91"/>
      <c r="M201" s="92"/>
    </row>
    <row r="202" spans="1:13" s="45" customFormat="1" ht="8.5500000000000007" customHeight="1" x14ac:dyDescent="0.2">
      <c r="A202" s="43"/>
      <c r="B202" s="158"/>
      <c r="C202" s="158"/>
      <c r="D202" s="158"/>
      <c r="E202" s="158"/>
      <c r="F202" s="159"/>
      <c r="G202" s="166"/>
      <c r="H202" s="168"/>
      <c r="I202" s="161"/>
      <c r="J202" s="163"/>
      <c r="K202" s="165"/>
      <c r="L202" s="91"/>
      <c r="M202" s="92"/>
    </row>
    <row r="203" spans="1:13" s="45" customFormat="1" ht="8.5500000000000007" customHeight="1" x14ac:dyDescent="0.2">
      <c r="A203" s="43"/>
      <c r="B203" s="156" t="s">
        <v>194</v>
      </c>
      <c r="C203" s="156"/>
      <c r="D203" s="156"/>
      <c r="E203" s="156"/>
      <c r="F203" s="157"/>
      <c r="G203" s="166">
        <v>1989</v>
      </c>
      <c r="H203" s="167">
        <v>97</v>
      </c>
      <c r="I203" s="160">
        <v>94</v>
      </c>
      <c r="J203" s="162" t="s">
        <v>344</v>
      </c>
      <c r="K203" s="164">
        <v>3</v>
      </c>
      <c r="L203" s="91"/>
      <c r="M203" s="92"/>
    </row>
    <row r="204" spans="1:13" s="45" customFormat="1" ht="8.5500000000000007" customHeight="1" x14ac:dyDescent="0.2">
      <c r="A204" s="43"/>
      <c r="B204" s="158"/>
      <c r="C204" s="158"/>
      <c r="D204" s="158"/>
      <c r="E204" s="158"/>
      <c r="F204" s="159"/>
      <c r="G204" s="166"/>
      <c r="H204" s="168"/>
      <c r="I204" s="161"/>
      <c r="J204" s="163"/>
      <c r="K204" s="165"/>
      <c r="L204" s="91"/>
      <c r="M204" s="92"/>
    </row>
    <row r="205" spans="1:13" s="45" customFormat="1" ht="8.5500000000000007" customHeight="1" x14ac:dyDescent="0.2">
      <c r="A205" s="43"/>
      <c r="B205" s="156" t="s">
        <v>194</v>
      </c>
      <c r="C205" s="156"/>
      <c r="D205" s="156"/>
      <c r="E205" s="156"/>
      <c r="F205" s="157"/>
      <c r="G205" s="166">
        <v>1990</v>
      </c>
      <c r="H205" s="167">
        <v>98</v>
      </c>
      <c r="I205" s="160">
        <v>94</v>
      </c>
      <c r="J205" s="162" t="s">
        <v>69</v>
      </c>
      <c r="K205" s="164">
        <v>2</v>
      </c>
      <c r="L205" s="91"/>
      <c r="M205" s="92"/>
    </row>
    <row r="206" spans="1:13" s="45" customFormat="1" ht="8.5500000000000007" customHeight="1" x14ac:dyDescent="0.2">
      <c r="A206" s="43"/>
      <c r="B206" s="158"/>
      <c r="C206" s="158"/>
      <c r="D206" s="158"/>
      <c r="E206" s="158"/>
      <c r="F206" s="159"/>
      <c r="G206" s="166"/>
      <c r="H206" s="168"/>
      <c r="I206" s="161"/>
      <c r="J206" s="163"/>
      <c r="K206" s="165"/>
      <c r="L206" s="91"/>
      <c r="M206" s="92"/>
    </row>
    <row r="207" spans="1:13" s="45" customFormat="1" ht="8.5500000000000007" customHeight="1" x14ac:dyDescent="0.2">
      <c r="A207" s="43"/>
      <c r="B207" s="156" t="s">
        <v>1109</v>
      </c>
      <c r="C207" s="156"/>
      <c r="D207" s="156"/>
      <c r="E207" s="156"/>
      <c r="F207" s="157"/>
      <c r="G207" s="166">
        <v>1990</v>
      </c>
      <c r="H207" s="167">
        <v>98</v>
      </c>
      <c r="I207" s="160">
        <v>94</v>
      </c>
      <c r="J207" s="162" t="s">
        <v>69</v>
      </c>
      <c r="K207" s="164">
        <v>1</v>
      </c>
      <c r="L207" s="91"/>
      <c r="M207" s="92"/>
    </row>
    <row r="208" spans="1:13" s="45" customFormat="1" ht="8.5500000000000007" customHeight="1" x14ac:dyDescent="0.2">
      <c r="A208" s="43"/>
      <c r="B208" s="158"/>
      <c r="C208" s="158"/>
      <c r="D208" s="158"/>
      <c r="E208" s="158"/>
      <c r="F208" s="159"/>
      <c r="G208" s="166"/>
      <c r="H208" s="168"/>
      <c r="I208" s="161"/>
      <c r="J208" s="163"/>
      <c r="K208" s="165"/>
      <c r="L208" s="91"/>
      <c r="M208" s="92"/>
    </row>
    <row r="209" spans="1:13" s="45" customFormat="1" ht="8.5500000000000007" customHeight="1" x14ac:dyDescent="0.2">
      <c r="A209" s="43"/>
      <c r="B209" s="156" t="s">
        <v>194</v>
      </c>
      <c r="C209" s="156"/>
      <c r="D209" s="156"/>
      <c r="E209" s="156"/>
      <c r="F209" s="157"/>
      <c r="G209" s="166">
        <v>2000</v>
      </c>
      <c r="H209" s="167">
        <v>97</v>
      </c>
      <c r="I209" s="160">
        <v>93</v>
      </c>
      <c r="J209" s="162" t="s">
        <v>1553</v>
      </c>
      <c r="K209" s="164">
        <v>4</v>
      </c>
      <c r="L209" s="91"/>
      <c r="M209" s="92"/>
    </row>
    <row r="210" spans="1:13" s="45" customFormat="1" ht="8.5500000000000007" customHeight="1" x14ac:dyDescent="0.2">
      <c r="A210" s="43"/>
      <c r="B210" s="158"/>
      <c r="C210" s="158"/>
      <c r="D210" s="158"/>
      <c r="E210" s="158"/>
      <c r="F210" s="159"/>
      <c r="G210" s="166"/>
      <c r="H210" s="168"/>
      <c r="I210" s="161"/>
      <c r="J210" s="163"/>
      <c r="K210" s="165"/>
      <c r="L210" s="91"/>
      <c r="M210" s="92"/>
    </row>
    <row r="211" spans="1:13" s="45" customFormat="1" ht="8.5500000000000007" customHeight="1" x14ac:dyDescent="0.2">
      <c r="A211" s="43"/>
      <c r="B211" s="156" t="s">
        <v>632</v>
      </c>
      <c r="C211" s="156"/>
      <c r="D211" s="156"/>
      <c r="E211" s="156"/>
      <c r="F211" s="157"/>
      <c r="G211" s="166">
        <v>2000</v>
      </c>
      <c r="H211" s="167">
        <v>97</v>
      </c>
      <c r="I211" s="160">
        <v>93</v>
      </c>
      <c r="J211" s="162" t="s">
        <v>1553</v>
      </c>
      <c r="K211" s="164">
        <v>1</v>
      </c>
      <c r="L211" s="91"/>
      <c r="M211" s="92"/>
    </row>
    <row r="212" spans="1:13" s="45" customFormat="1" ht="8.5500000000000007" customHeight="1" x14ac:dyDescent="0.2">
      <c r="A212" s="43"/>
      <c r="B212" s="158"/>
      <c r="C212" s="158"/>
      <c r="D212" s="158"/>
      <c r="E212" s="158"/>
      <c r="F212" s="159"/>
      <c r="G212" s="166"/>
      <c r="H212" s="168"/>
      <c r="I212" s="161"/>
      <c r="J212" s="163"/>
      <c r="K212" s="165"/>
      <c r="L212" s="91"/>
      <c r="M212" s="92"/>
    </row>
    <row r="213" spans="1:13" s="45" customFormat="1" ht="8.5500000000000007" customHeight="1" x14ac:dyDescent="0.2">
      <c r="A213" s="43"/>
      <c r="B213" s="156" t="s">
        <v>194</v>
      </c>
      <c r="C213" s="156"/>
      <c r="D213" s="156"/>
      <c r="E213" s="156"/>
      <c r="F213" s="157"/>
      <c r="G213" s="166">
        <v>2003</v>
      </c>
      <c r="H213" s="167">
        <v>94</v>
      </c>
      <c r="I213" s="160">
        <v>95</v>
      </c>
      <c r="J213" s="162" t="s">
        <v>420</v>
      </c>
      <c r="K213" s="164">
        <v>7</v>
      </c>
      <c r="L213" s="91"/>
      <c r="M213" s="92"/>
    </row>
    <row r="214" spans="1:13" s="45" customFormat="1" ht="8.5500000000000007" customHeight="1" x14ac:dyDescent="0.2">
      <c r="A214" s="43"/>
      <c r="B214" s="158"/>
      <c r="C214" s="158"/>
      <c r="D214" s="158"/>
      <c r="E214" s="158"/>
      <c r="F214" s="159"/>
      <c r="G214" s="166"/>
      <c r="H214" s="168"/>
      <c r="I214" s="161"/>
      <c r="J214" s="163"/>
      <c r="K214" s="165"/>
      <c r="L214" s="91"/>
      <c r="M214" s="92"/>
    </row>
    <row r="215" spans="1:13" s="45" customFormat="1" ht="8.5500000000000007" customHeight="1" x14ac:dyDescent="0.2">
      <c r="A215" s="43"/>
      <c r="B215" s="156" t="s">
        <v>194</v>
      </c>
      <c r="C215" s="156"/>
      <c r="D215" s="156"/>
      <c r="E215" s="156"/>
      <c r="F215" s="157"/>
      <c r="G215" s="166">
        <v>2005</v>
      </c>
      <c r="H215" s="167">
        <v>93</v>
      </c>
      <c r="I215" s="160">
        <v>94</v>
      </c>
      <c r="J215" s="162" t="s">
        <v>216</v>
      </c>
      <c r="K215" s="164">
        <v>6</v>
      </c>
      <c r="L215" s="91"/>
      <c r="M215" s="92"/>
    </row>
    <row r="216" spans="1:13" s="45" customFormat="1" ht="8.5500000000000007" customHeight="1" x14ac:dyDescent="0.2">
      <c r="A216" s="43"/>
      <c r="B216" s="158"/>
      <c r="C216" s="158"/>
      <c r="D216" s="158"/>
      <c r="E216" s="158"/>
      <c r="F216" s="159"/>
      <c r="G216" s="166"/>
      <c r="H216" s="168"/>
      <c r="I216" s="161"/>
      <c r="J216" s="163"/>
      <c r="K216" s="165"/>
      <c r="L216" s="91"/>
      <c r="M216" s="92"/>
    </row>
    <row r="217" spans="1:13" s="45" customFormat="1" ht="8.5500000000000007" customHeight="1" x14ac:dyDescent="0.2">
      <c r="A217" s="43"/>
      <c r="B217" s="156" t="s">
        <v>166</v>
      </c>
      <c r="C217" s="156"/>
      <c r="D217" s="156"/>
      <c r="E217" s="156"/>
      <c r="F217" s="157"/>
      <c r="G217" s="166">
        <v>1961</v>
      </c>
      <c r="H217" s="167">
        <v>94</v>
      </c>
      <c r="I217" s="160">
        <v>87</v>
      </c>
      <c r="J217" s="162" t="s">
        <v>767</v>
      </c>
      <c r="K217" s="164">
        <v>1</v>
      </c>
      <c r="L217" s="91"/>
      <c r="M217" s="92"/>
    </row>
    <row r="218" spans="1:13" s="45" customFormat="1" ht="8.5500000000000007" customHeight="1" x14ac:dyDescent="0.2">
      <c r="A218" s="43"/>
      <c r="B218" s="158"/>
      <c r="C218" s="158"/>
      <c r="D218" s="158"/>
      <c r="E218" s="158"/>
      <c r="F218" s="159"/>
      <c r="G218" s="166"/>
      <c r="H218" s="168"/>
      <c r="I218" s="161"/>
      <c r="J218" s="163"/>
      <c r="K218" s="165"/>
      <c r="L218" s="91"/>
      <c r="M218" s="92"/>
    </row>
    <row r="219" spans="1:13" s="45" customFormat="1" ht="8.5500000000000007" customHeight="1" x14ac:dyDescent="0.2">
      <c r="A219" s="43"/>
      <c r="B219" s="156" t="s">
        <v>166</v>
      </c>
      <c r="C219" s="156"/>
      <c r="D219" s="156"/>
      <c r="E219" s="156"/>
      <c r="F219" s="157"/>
      <c r="G219" s="166">
        <v>2003</v>
      </c>
      <c r="H219" s="167" t="s">
        <v>627</v>
      </c>
      <c r="I219" s="160">
        <v>94</v>
      </c>
      <c r="J219" s="162" t="s">
        <v>95</v>
      </c>
      <c r="K219" s="164">
        <v>2</v>
      </c>
      <c r="L219" s="91"/>
      <c r="M219" s="92"/>
    </row>
    <row r="220" spans="1:13" s="45" customFormat="1" ht="8.5500000000000007" customHeight="1" x14ac:dyDescent="0.2">
      <c r="A220" s="43"/>
      <c r="B220" s="158"/>
      <c r="C220" s="158"/>
      <c r="D220" s="158"/>
      <c r="E220" s="158"/>
      <c r="F220" s="159"/>
      <c r="G220" s="166"/>
      <c r="H220" s="168"/>
      <c r="I220" s="161"/>
      <c r="J220" s="163"/>
      <c r="K220" s="165"/>
      <c r="L220" s="91"/>
      <c r="M220" s="92"/>
    </row>
    <row r="221" spans="1:13" s="45" customFormat="1" ht="8.5500000000000007" customHeight="1" x14ac:dyDescent="0.2">
      <c r="A221" s="43"/>
      <c r="B221" s="156" t="s">
        <v>166</v>
      </c>
      <c r="C221" s="156"/>
      <c r="D221" s="156"/>
      <c r="E221" s="156"/>
      <c r="F221" s="157"/>
      <c r="G221" s="166">
        <v>2005</v>
      </c>
      <c r="H221" s="167">
        <v>97</v>
      </c>
      <c r="I221" s="160">
        <v>96</v>
      </c>
      <c r="J221" s="169" t="s">
        <v>1553</v>
      </c>
      <c r="K221" s="164">
        <v>10</v>
      </c>
      <c r="L221" s="91"/>
      <c r="M221" s="92"/>
    </row>
    <row r="222" spans="1:13" s="45" customFormat="1" ht="8.5500000000000007" customHeight="1" x14ac:dyDescent="0.2">
      <c r="A222" s="43"/>
      <c r="B222" s="158"/>
      <c r="C222" s="158"/>
      <c r="D222" s="158"/>
      <c r="E222" s="158"/>
      <c r="F222" s="159"/>
      <c r="G222" s="166"/>
      <c r="H222" s="168"/>
      <c r="I222" s="161"/>
      <c r="J222" s="168"/>
      <c r="K222" s="165"/>
      <c r="L222" s="91"/>
      <c r="M222" s="92"/>
    </row>
    <row r="223" spans="1:13" s="45" customFormat="1" ht="8.5500000000000007" customHeight="1" x14ac:dyDescent="0.2">
      <c r="A223" s="43"/>
      <c r="B223" s="156" t="s">
        <v>166</v>
      </c>
      <c r="C223" s="156"/>
      <c r="D223" s="156"/>
      <c r="E223" s="156"/>
      <c r="F223" s="157"/>
      <c r="G223" s="166">
        <v>2006</v>
      </c>
      <c r="H223" s="167">
        <v>94</v>
      </c>
      <c r="I223" s="160"/>
      <c r="J223" s="169" t="s">
        <v>264</v>
      </c>
      <c r="K223" s="164">
        <v>3</v>
      </c>
      <c r="L223" s="91"/>
      <c r="M223" s="92"/>
    </row>
    <row r="224" spans="1:13" s="45" customFormat="1" ht="8.5500000000000007" customHeight="1" x14ac:dyDescent="0.2">
      <c r="A224" s="43"/>
      <c r="B224" s="158"/>
      <c r="C224" s="158"/>
      <c r="D224" s="158"/>
      <c r="E224" s="158"/>
      <c r="F224" s="159"/>
      <c r="G224" s="166"/>
      <c r="H224" s="168"/>
      <c r="I224" s="161"/>
      <c r="J224" s="168"/>
      <c r="K224" s="165"/>
      <c r="L224" s="91"/>
      <c r="M224" s="92"/>
    </row>
    <row r="225" spans="1:13" s="45" customFormat="1" ht="8.5500000000000007" customHeight="1" x14ac:dyDescent="0.2">
      <c r="A225" s="43"/>
      <c r="B225" s="156" t="s">
        <v>284</v>
      </c>
      <c r="C225" s="156"/>
      <c r="D225" s="156"/>
      <c r="E225" s="156"/>
      <c r="F225" s="157"/>
      <c r="G225" s="166">
        <v>1982</v>
      </c>
      <c r="H225" s="167">
        <v>96</v>
      </c>
      <c r="I225" s="160">
        <v>92</v>
      </c>
      <c r="J225" s="162" t="s">
        <v>344</v>
      </c>
      <c r="K225" s="164">
        <v>4</v>
      </c>
      <c r="L225" s="91"/>
      <c r="M225" s="92"/>
    </row>
    <row r="226" spans="1:13" s="45" customFormat="1" ht="8.5500000000000007" customHeight="1" x14ac:dyDescent="0.2">
      <c r="A226" s="43"/>
      <c r="B226" s="158"/>
      <c r="C226" s="158"/>
      <c r="D226" s="158"/>
      <c r="E226" s="158"/>
      <c r="F226" s="159"/>
      <c r="G226" s="166"/>
      <c r="H226" s="168"/>
      <c r="I226" s="161"/>
      <c r="J226" s="163"/>
      <c r="K226" s="165"/>
      <c r="L226" s="91"/>
      <c r="M226" s="92"/>
    </row>
    <row r="227" spans="1:13" s="45" customFormat="1" ht="8.5500000000000007" customHeight="1" x14ac:dyDescent="0.2">
      <c r="A227" s="43"/>
      <c r="B227" s="156" t="s">
        <v>284</v>
      </c>
      <c r="C227" s="156"/>
      <c r="D227" s="156"/>
      <c r="E227" s="156"/>
      <c r="F227" s="157"/>
      <c r="G227" s="166">
        <v>2005</v>
      </c>
      <c r="H227" s="167">
        <v>96</v>
      </c>
      <c r="I227" s="160">
        <v>93</v>
      </c>
      <c r="J227" s="169" t="s">
        <v>266</v>
      </c>
      <c r="K227" s="164">
        <v>1</v>
      </c>
      <c r="L227" s="91"/>
      <c r="M227" s="92"/>
    </row>
    <row r="228" spans="1:13" s="45" customFormat="1" ht="8.5500000000000007" customHeight="1" x14ac:dyDescent="0.2">
      <c r="A228" s="43"/>
      <c r="B228" s="158"/>
      <c r="C228" s="158"/>
      <c r="D228" s="158"/>
      <c r="E228" s="158"/>
      <c r="F228" s="159"/>
      <c r="G228" s="166"/>
      <c r="H228" s="168"/>
      <c r="I228" s="161"/>
      <c r="J228" s="168"/>
      <c r="K228" s="165"/>
      <c r="L228" s="91"/>
      <c r="M228" s="92"/>
    </row>
    <row r="229" spans="1:13" s="45" customFormat="1" ht="8.5500000000000007" customHeight="1" x14ac:dyDescent="0.2">
      <c r="A229" s="43"/>
      <c r="B229" s="156" t="s">
        <v>1363</v>
      </c>
      <c r="C229" s="156"/>
      <c r="D229" s="156"/>
      <c r="E229" s="156"/>
      <c r="F229" s="157"/>
      <c r="G229" s="166">
        <v>2006</v>
      </c>
      <c r="H229" s="167">
        <v>89</v>
      </c>
      <c r="I229" s="160">
        <v>92</v>
      </c>
      <c r="J229" s="162" t="s">
        <v>415</v>
      </c>
      <c r="K229" s="164">
        <v>1</v>
      </c>
      <c r="L229" s="91"/>
      <c r="M229" s="92"/>
    </row>
    <row r="230" spans="1:13" s="45" customFormat="1" ht="8.5500000000000007" customHeight="1" x14ac:dyDescent="0.2">
      <c r="A230" s="43"/>
      <c r="B230" s="158"/>
      <c r="C230" s="158"/>
      <c r="D230" s="158"/>
      <c r="E230" s="158"/>
      <c r="F230" s="159"/>
      <c r="G230" s="166"/>
      <c r="H230" s="168"/>
      <c r="I230" s="161"/>
      <c r="J230" s="163"/>
      <c r="K230" s="165"/>
      <c r="L230" s="91"/>
      <c r="M230" s="92"/>
    </row>
    <row r="231" spans="1:13" s="45" customFormat="1" ht="8.5500000000000007" customHeight="1" x14ac:dyDescent="0.2">
      <c r="A231" s="43"/>
      <c r="B231" s="170" t="s">
        <v>944</v>
      </c>
      <c r="C231" s="170"/>
      <c r="D231" s="170"/>
      <c r="E231" s="170"/>
      <c r="F231" s="170"/>
      <c r="G231" s="47"/>
      <c r="H231" s="47"/>
      <c r="I231" s="48"/>
      <c r="J231" s="48"/>
      <c r="K231" s="224">
        <v>280</v>
      </c>
      <c r="L231" s="230">
        <f>+K231</f>
        <v>280</v>
      </c>
      <c r="M231" s="92"/>
    </row>
    <row r="232" spans="1:13" s="45" customFormat="1" ht="8.5500000000000007" customHeight="1" x14ac:dyDescent="0.2">
      <c r="A232" s="43"/>
      <c r="B232" s="171"/>
      <c r="C232" s="171"/>
      <c r="D232" s="171"/>
      <c r="E232" s="171"/>
      <c r="F232" s="171"/>
      <c r="G232" s="54"/>
      <c r="H232" s="54"/>
      <c r="I232" s="49"/>
      <c r="J232" s="49"/>
      <c r="K232" s="225"/>
      <c r="L232" s="231"/>
      <c r="M232" s="92"/>
    </row>
    <row r="233" spans="1:13" s="45" customFormat="1" ht="8.5500000000000007" customHeight="1" x14ac:dyDescent="0.2">
      <c r="A233" s="43"/>
      <c r="B233" s="170" t="s">
        <v>945</v>
      </c>
      <c r="C233" s="170"/>
      <c r="D233" s="170"/>
      <c r="E233" s="170"/>
      <c r="F233" s="170"/>
      <c r="G233" s="178"/>
      <c r="H233" s="47"/>
      <c r="I233" s="48"/>
      <c r="J233" s="48"/>
      <c r="K233" s="222"/>
      <c r="L233" s="91"/>
      <c r="M233" s="92"/>
    </row>
    <row r="234" spans="1:13" s="45" customFormat="1" ht="8.5500000000000007" customHeight="1" x14ac:dyDescent="0.2">
      <c r="A234" s="43"/>
      <c r="B234" s="171"/>
      <c r="C234" s="171"/>
      <c r="D234" s="171"/>
      <c r="E234" s="171"/>
      <c r="F234" s="171"/>
      <c r="G234" s="178"/>
      <c r="H234" s="54"/>
      <c r="I234" s="49"/>
      <c r="J234" s="49"/>
      <c r="K234" s="165"/>
      <c r="L234" s="91"/>
      <c r="M234" s="92"/>
    </row>
    <row r="235" spans="1:13" s="45" customFormat="1" ht="8.5500000000000007" customHeight="1" x14ac:dyDescent="0.2">
      <c r="A235" s="43"/>
      <c r="B235" s="172" t="s">
        <v>168</v>
      </c>
      <c r="C235" s="172"/>
      <c r="D235" s="172"/>
      <c r="E235" s="172"/>
      <c r="F235" s="173"/>
      <c r="G235" s="166">
        <v>1982</v>
      </c>
      <c r="H235" s="167">
        <v>98</v>
      </c>
      <c r="I235" s="160">
        <v>94</v>
      </c>
      <c r="J235" s="162" t="s">
        <v>22</v>
      </c>
      <c r="K235" s="164">
        <v>4</v>
      </c>
      <c r="L235" s="91"/>
      <c r="M235" s="92"/>
    </row>
    <row r="236" spans="1:13" s="45" customFormat="1" ht="8.5500000000000007" customHeight="1" x14ac:dyDescent="0.2">
      <c r="A236" s="43"/>
      <c r="B236" s="174"/>
      <c r="C236" s="174"/>
      <c r="D236" s="174"/>
      <c r="E236" s="174"/>
      <c r="F236" s="175"/>
      <c r="G236" s="166"/>
      <c r="H236" s="168"/>
      <c r="I236" s="161"/>
      <c r="J236" s="163"/>
      <c r="K236" s="165"/>
      <c r="L236" s="91"/>
      <c r="M236" s="92"/>
    </row>
    <row r="237" spans="1:13" s="45" customFormat="1" ht="8.5500000000000007" customHeight="1" x14ac:dyDescent="0.2">
      <c r="A237" s="43"/>
      <c r="B237" s="156" t="s">
        <v>168</v>
      </c>
      <c r="C237" s="156"/>
      <c r="D237" s="156"/>
      <c r="E237" s="156"/>
      <c r="F237" s="157"/>
      <c r="G237" s="166">
        <v>1983</v>
      </c>
      <c r="H237" s="167">
        <v>97</v>
      </c>
      <c r="I237" s="160">
        <v>98</v>
      </c>
      <c r="J237" s="162" t="s">
        <v>1020</v>
      </c>
      <c r="K237" s="164">
        <v>5</v>
      </c>
      <c r="L237" s="91"/>
      <c r="M237" s="92"/>
    </row>
    <row r="238" spans="1:13" s="45" customFormat="1" ht="8.5500000000000007" customHeight="1" x14ac:dyDescent="0.2">
      <c r="A238" s="43"/>
      <c r="B238" s="158"/>
      <c r="C238" s="158"/>
      <c r="D238" s="158"/>
      <c r="E238" s="158"/>
      <c r="F238" s="159"/>
      <c r="G238" s="166"/>
      <c r="H238" s="168"/>
      <c r="I238" s="161"/>
      <c r="J238" s="163"/>
      <c r="K238" s="165"/>
      <c r="L238" s="91"/>
      <c r="M238" s="92"/>
    </row>
    <row r="239" spans="1:13" s="45" customFormat="1" ht="8.5500000000000007" customHeight="1" x14ac:dyDescent="0.2">
      <c r="A239" s="43"/>
      <c r="B239" s="156" t="s">
        <v>168</v>
      </c>
      <c r="C239" s="156"/>
      <c r="D239" s="156"/>
      <c r="E239" s="156"/>
      <c r="F239" s="157"/>
      <c r="G239" s="166">
        <v>1985</v>
      </c>
      <c r="H239" s="167">
        <v>95</v>
      </c>
      <c r="I239" s="160">
        <v>90</v>
      </c>
      <c r="J239" s="162" t="s">
        <v>113</v>
      </c>
      <c r="K239" s="164">
        <v>3</v>
      </c>
      <c r="L239" s="91"/>
      <c r="M239" s="92"/>
    </row>
    <row r="240" spans="1:13" s="45" customFormat="1" ht="8.5500000000000007" customHeight="1" x14ac:dyDescent="0.2">
      <c r="A240" s="43"/>
      <c r="B240" s="158"/>
      <c r="C240" s="158"/>
      <c r="D240" s="158"/>
      <c r="E240" s="158"/>
      <c r="F240" s="159"/>
      <c r="G240" s="166"/>
      <c r="H240" s="168"/>
      <c r="I240" s="161"/>
      <c r="J240" s="163"/>
      <c r="K240" s="165"/>
      <c r="L240" s="91"/>
      <c r="M240" s="92"/>
    </row>
    <row r="241" spans="1:13" s="45" customFormat="1" ht="8.5500000000000007" customHeight="1" x14ac:dyDescent="0.2">
      <c r="A241" s="43"/>
      <c r="B241" s="156" t="s">
        <v>635</v>
      </c>
      <c r="C241" s="156"/>
      <c r="D241" s="156"/>
      <c r="E241" s="156"/>
      <c r="F241" s="157"/>
      <c r="G241" s="166">
        <v>1986</v>
      </c>
      <c r="H241" s="167">
        <v>94</v>
      </c>
      <c r="I241" s="160">
        <v>93</v>
      </c>
      <c r="J241" s="162" t="s">
        <v>387</v>
      </c>
      <c r="K241" s="164">
        <v>1</v>
      </c>
      <c r="L241" s="91"/>
      <c r="M241" s="92"/>
    </row>
    <row r="242" spans="1:13" s="45" customFormat="1" ht="8.5500000000000007" customHeight="1" x14ac:dyDescent="0.2">
      <c r="A242" s="43"/>
      <c r="B242" s="158"/>
      <c r="C242" s="158"/>
      <c r="D242" s="158"/>
      <c r="E242" s="158"/>
      <c r="F242" s="159"/>
      <c r="G242" s="166"/>
      <c r="H242" s="168"/>
      <c r="I242" s="161"/>
      <c r="J242" s="163"/>
      <c r="K242" s="165"/>
      <c r="L242" s="91"/>
      <c r="M242" s="92"/>
    </row>
    <row r="243" spans="1:13" s="45" customFormat="1" ht="8.5500000000000007" customHeight="1" x14ac:dyDescent="0.2">
      <c r="A243" s="43"/>
      <c r="B243" s="156" t="s">
        <v>169</v>
      </c>
      <c r="C243" s="156"/>
      <c r="D243" s="156"/>
      <c r="E243" s="156"/>
      <c r="F243" s="157"/>
      <c r="G243" s="166">
        <v>1986</v>
      </c>
      <c r="H243" s="167">
        <v>94</v>
      </c>
      <c r="I243" s="160">
        <v>93</v>
      </c>
      <c r="J243" s="162" t="s">
        <v>387</v>
      </c>
      <c r="K243" s="164">
        <v>5</v>
      </c>
      <c r="L243" s="91"/>
      <c r="M243" s="92"/>
    </row>
    <row r="244" spans="1:13" s="45" customFormat="1" ht="8.5500000000000007" customHeight="1" x14ac:dyDescent="0.2">
      <c r="A244" s="43"/>
      <c r="B244" s="158"/>
      <c r="C244" s="158"/>
      <c r="D244" s="158"/>
      <c r="E244" s="158"/>
      <c r="F244" s="159"/>
      <c r="G244" s="166"/>
      <c r="H244" s="168"/>
      <c r="I244" s="161"/>
      <c r="J244" s="163"/>
      <c r="K244" s="165"/>
      <c r="L244" s="91"/>
      <c r="M244" s="92"/>
    </row>
    <row r="245" spans="1:13" s="45" customFormat="1" ht="8.5500000000000007" customHeight="1" x14ac:dyDescent="0.2">
      <c r="A245" s="43"/>
      <c r="B245" s="156" t="s">
        <v>168</v>
      </c>
      <c r="C245" s="156"/>
      <c r="D245" s="156"/>
      <c r="E245" s="156"/>
      <c r="F245" s="157"/>
      <c r="G245" s="166">
        <v>1989</v>
      </c>
      <c r="H245" s="167">
        <v>90</v>
      </c>
      <c r="I245" s="160">
        <v>96</v>
      </c>
      <c r="J245" s="162" t="s">
        <v>33</v>
      </c>
      <c r="K245" s="164">
        <v>5</v>
      </c>
      <c r="L245" s="91"/>
      <c r="M245" s="92"/>
    </row>
    <row r="246" spans="1:13" s="45" customFormat="1" ht="8.5500000000000007" customHeight="1" x14ac:dyDescent="0.2">
      <c r="A246" s="43"/>
      <c r="B246" s="158"/>
      <c r="C246" s="158"/>
      <c r="D246" s="158"/>
      <c r="E246" s="158"/>
      <c r="F246" s="159"/>
      <c r="G246" s="166"/>
      <c r="H246" s="168"/>
      <c r="I246" s="161"/>
      <c r="J246" s="163"/>
      <c r="K246" s="165"/>
      <c r="L246" s="91"/>
      <c r="M246" s="92"/>
    </row>
    <row r="247" spans="1:13" s="45" customFormat="1" ht="8.5500000000000007" customHeight="1" x14ac:dyDescent="0.2">
      <c r="A247" s="43"/>
      <c r="B247" s="156" t="s">
        <v>168</v>
      </c>
      <c r="C247" s="156"/>
      <c r="D247" s="156"/>
      <c r="E247" s="156"/>
      <c r="F247" s="157"/>
      <c r="G247" s="166">
        <v>1990</v>
      </c>
      <c r="H247" s="167">
        <v>100</v>
      </c>
      <c r="I247" s="160">
        <v>98</v>
      </c>
      <c r="J247" s="162" t="s">
        <v>123</v>
      </c>
      <c r="K247" s="164">
        <v>5</v>
      </c>
      <c r="L247" s="91"/>
      <c r="M247" s="92"/>
    </row>
    <row r="248" spans="1:13" s="45" customFormat="1" ht="8.5500000000000007" customHeight="1" x14ac:dyDescent="0.2">
      <c r="A248" s="43"/>
      <c r="B248" s="158"/>
      <c r="C248" s="158"/>
      <c r="D248" s="158"/>
      <c r="E248" s="158"/>
      <c r="F248" s="159"/>
      <c r="G248" s="166"/>
      <c r="H248" s="168"/>
      <c r="I248" s="161"/>
      <c r="J248" s="163"/>
      <c r="K248" s="165"/>
      <c r="L248" s="91"/>
      <c r="M248" s="92"/>
    </row>
    <row r="249" spans="1:13" s="45" customFormat="1" ht="8.5500000000000007" customHeight="1" x14ac:dyDescent="0.2">
      <c r="A249" s="43"/>
      <c r="B249" s="156" t="s">
        <v>169</v>
      </c>
      <c r="C249" s="192"/>
      <c r="D249" s="192"/>
      <c r="E249" s="192"/>
      <c r="F249" s="193"/>
      <c r="G249" s="189">
        <v>1995</v>
      </c>
      <c r="H249" s="167">
        <v>95</v>
      </c>
      <c r="I249" s="160">
        <v>100</v>
      </c>
      <c r="J249" s="211" t="s">
        <v>117</v>
      </c>
      <c r="K249" s="164">
        <v>5</v>
      </c>
      <c r="L249" s="91"/>
      <c r="M249" s="92"/>
    </row>
    <row r="250" spans="1:13" s="45" customFormat="1" ht="8.5500000000000007" customHeight="1" x14ac:dyDescent="0.2">
      <c r="A250" s="43"/>
      <c r="B250" s="194"/>
      <c r="C250" s="194"/>
      <c r="D250" s="194"/>
      <c r="E250" s="194"/>
      <c r="F250" s="195"/>
      <c r="G250" s="190"/>
      <c r="H250" s="191"/>
      <c r="I250" s="191"/>
      <c r="J250" s="191"/>
      <c r="K250" s="165"/>
      <c r="L250" s="91"/>
      <c r="M250" s="92"/>
    </row>
    <row r="251" spans="1:13" s="45" customFormat="1" ht="8.5500000000000007" customHeight="1" x14ac:dyDescent="0.2">
      <c r="A251" s="43"/>
      <c r="B251" s="156" t="s">
        <v>169</v>
      </c>
      <c r="C251" s="156"/>
      <c r="D251" s="156"/>
      <c r="E251" s="156"/>
      <c r="F251" s="157"/>
      <c r="G251" s="166">
        <v>1996</v>
      </c>
      <c r="H251" s="167">
        <v>98</v>
      </c>
      <c r="I251" s="160">
        <v>97</v>
      </c>
      <c r="J251" s="211" t="s">
        <v>1309</v>
      </c>
      <c r="K251" s="164">
        <v>6</v>
      </c>
      <c r="L251" s="91"/>
      <c r="M251" s="92"/>
    </row>
    <row r="252" spans="1:13" s="45" customFormat="1" ht="8.5500000000000007" customHeight="1" x14ac:dyDescent="0.2">
      <c r="A252" s="43"/>
      <c r="B252" s="158"/>
      <c r="C252" s="158"/>
      <c r="D252" s="158"/>
      <c r="E252" s="158"/>
      <c r="F252" s="159"/>
      <c r="G252" s="166"/>
      <c r="H252" s="168"/>
      <c r="I252" s="161"/>
      <c r="J252" s="212"/>
      <c r="K252" s="165"/>
      <c r="L252" s="91"/>
      <c r="M252" s="92"/>
    </row>
    <row r="253" spans="1:13" s="45" customFormat="1" ht="8.5500000000000007" customHeight="1" x14ac:dyDescent="0.2">
      <c r="A253" s="43"/>
      <c r="B253" s="156" t="s">
        <v>636</v>
      </c>
      <c r="C253" s="192"/>
      <c r="D253" s="192"/>
      <c r="E253" s="192"/>
      <c r="F253" s="193"/>
      <c r="G253" s="166">
        <v>1996</v>
      </c>
      <c r="H253" s="167">
        <v>98</v>
      </c>
      <c r="I253" s="160">
        <v>97</v>
      </c>
      <c r="J253" s="211" t="s">
        <v>1309</v>
      </c>
      <c r="K253" s="164">
        <v>1</v>
      </c>
      <c r="L253" s="91"/>
      <c r="M253" s="92"/>
    </row>
    <row r="254" spans="1:13" s="45" customFormat="1" ht="8.5500000000000007" customHeight="1" x14ac:dyDescent="0.2">
      <c r="A254" s="43"/>
      <c r="B254" s="194"/>
      <c r="C254" s="194"/>
      <c r="D254" s="194"/>
      <c r="E254" s="194"/>
      <c r="F254" s="195"/>
      <c r="G254" s="166"/>
      <c r="H254" s="168"/>
      <c r="I254" s="161"/>
      <c r="J254" s="212"/>
      <c r="K254" s="165"/>
      <c r="L254" s="91"/>
      <c r="M254" s="92"/>
    </row>
    <row r="255" spans="1:13" s="45" customFormat="1" ht="8.5500000000000007" customHeight="1" x14ac:dyDescent="0.2">
      <c r="A255" s="43"/>
      <c r="B255" s="156" t="s">
        <v>169</v>
      </c>
      <c r="C255" s="156"/>
      <c r="D255" s="156"/>
      <c r="E255" s="156"/>
      <c r="F255" s="157"/>
      <c r="G255" s="166">
        <v>1998</v>
      </c>
      <c r="H255" s="167">
        <v>91</v>
      </c>
      <c r="I255" s="160">
        <v>92</v>
      </c>
      <c r="J255" s="211" t="s">
        <v>141</v>
      </c>
      <c r="K255" s="164">
        <v>2</v>
      </c>
      <c r="L255" s="91"/>
      <c r="M255" s="92"/>
    </row>
    <row r="256" spans="1:13" s="45" customFormat="1" ht="8.5500000000000007" customHeight="1" x14ac:dyDescent="0.2">
      <c r="A256" s="43"/>
      <c r="B256" s="158"/>
      <c r="C256" s="158"/>
      <c r="D256" s="158"/>
      <c r="E256" s="158"/>
      <c r="F256" s="159"/>
      <c r="G256" s="166"/>
      <c r="H256" s="168"/>
      <c r="I256" s="161"/>
      <c r="J256" s="212"/>
      <c r="K256" s="165"/>
      <c r="L256" s="91"/>
      <c r="M256" s="92"/>
    </row>
    <row r="257" spans="1:13" s="45" customFormat="1" ht="8.5500000000000007" customHeight="1" x14ac:dyDescent="0.2">
      <c r="A257" s="43"/>
      <c r="B257" s="156" t="s">
        <v>169</v>
      </c>
      <c r="C257" s="156"/>
      <c r="D257" s="156"/>
      <c r="E257" s="156"/>
      <c r="F257" s="157"/>
      <c r="G257" s="166">
        <v>1999</v>
      </c>
      <c r="H257" s="167">
        <v>94</v>
      </c>
      <c r="I257" s="160">
        <v>92</v>
      </c>
      <c r="J257" s="211" t="s">
        <v>1143</v>
      </c>
      <c r="K257" s="164">
        <v>2</v>
      </c>
      <c r="L257" s="91"/>
      <c r="M257" s="92"/>
    </row>
    <row r="258" spans="1:13" s="45" customFormat="1" ht="8.5500000000000007" customHeight="1" x14ac:dyDescent="0.2">
      <c r="A258" s="43"/>
      <c r="B258" s="158"/>
      <c r="C258" s="158"/>
      <c r="D258" s="158"/>
      <c r="E258" s="158"/>
      <c r="F258" s="159"/>
      <c r="G258" s="166"/>
      <c r="H258" s="168"/>
      <c r="I258" s="161"/>
      <c r="J258" s="212"/>
      <c r="K258" s="165"/>
      <c r="L258" s="91"/>
      <c r="M258" s="92"/>
    </row>
    <row r="259" spans="1:13" s="45" customFormat="1" ht="8.5500000000000007" customHeight="1" x14ac:dyDescent="0.2">
      <c r="A259" s="43"/>
      <c r="B259" s="156" t="s">
        <v>169</v>
      </c>
      <c r="C259" s="156"/>
      <c r="D259" s="156"/>
      <c r="E259" s="156"/>
      <c r="F259" s="157"/>
      <c r="G259" s="166">
        <v>2000</v>
      </c>
      <c r="H259" s="167">
        <v>99</v>
      </c>
      <c r="I259" s="160">
        <v>100</v>
      </c>
      <c r="J259" s="162" t="s">
        <v>39</v>
      </c>
      <c r="K259" s="164">
        <v>6</v>
      </c>
      <c r="L259" s="91"/>
      <c r="M259" s="92"/>
    </row>
    <row r="260" spans="1:13" s="45" customFormat="1" ht="8.5500000000000007" customHeight="1" x14ac:dyDescent="0.2">
      <c r="A260" s="43"/>
      <c r="B260" s="158"/>
      <c r="C260" s="158"/>
      <c r="D260" s="158"/>
      <c r="E260" s="158"/>
      <c r="F260" s="159"/>
      <c r="G260" s="166"/>
      <c r="H260" s="168"/>
      <c r="I260" s="161"/>
      <c r="J260" s="163"/>
      <c r="K260" s="165"/>
      <c r="L260" s="91"/>
      <c r="M260" s="92"/>
    </row>
    <row r="261" spans="1:13" s="45" customFormat="1" ht="8.5500000000000007" customHeight="1" x14ac:dyDescent="0.2">
      <c r="A261" s="43"/>
      <c r="B261" s="156" t="s">
        <v>169</v>
      </c>
      <c r="C261" s="156"/>
      <c r="D261" s="156"/>
      <c r="E261" s="156"/>
      <c r="F261" s="157"/>
      <c r="G261" s="166">
        <v>2001</v>
      </c>
      <c r="H261" s="167">
        <v>94</v>
      </c>
      <c r="I261" s="160">
        <v>92</v>
      </c>
      <c r="J261" s="211" t="s">
        <v>258</v>
      </c>
      <c r="K261" s="164">
        <v>4</v>
      </c>
      <c r="L261" s="91"/>
      <c r="M261" s="92"/>
    </row>
    <row r="262" spans="1:13" s="45" customFormat="1" ht="8.5500000000000007" customHeight="1" x14ac:dyDescent="0.2">
      <c r="A262" s="43"/>
      <c r="B262" s="158"/>
      <c r="C262" s="158"/>
      <c r="D262" s="158"/>
      <c r="E262" s="158"/>
      <c r="F262" s="159"/>
      <c r="G262" s="166"/>
      <c r="H262" s="168"/>
      <c r="I262" s="161"/>
      <c r="J262" s="212"/>
      <c r="K262" s="165"/>
      <c r="L262" s="91"/>
      <c r="M262" s="92"/>
    </row>
    <row r="263" spans="1:13" s="45" customFormat="1" ht="8.5500000000000007" customHeight="1" x14ac:dyDescent="0.2">
      <c r="A263" s="43"/>
      <c r="B263" s="156" t="s">
        <v>169</v>
      </c>
      <c r="C263" s="156"/>
      <c r="D263" s="156"/>
      <c r="E263" s="156"/>
      <c r="F263" s="157"/>
      <c r="G263" s="166">
        <v>2002</v>
      </c>
      <c r="H263" s="167">
        <v>93</v>
      </c>
      <c r="I263" s="160">
        <v>92</v>
      </c>
      <c r="J263" s="211" t="s">
        <v>225</v>
      </c>
      <c r="K263" s="164">
        <v>5</v>
      </c>
      <c r="L263" s="91"/>
      <c r="M263" s="92"/>
    </row>
    <row r="264" spans="1:13" s="45" customFormat="1" ht="8.5500000000000007" customHeight="1" x14ac:dyDescent="0.2">
      <c r="A264" s="43"/>
      <c r="B264" s="158"/>
      <c r="C264" s="158"/>
      <c r="D264" s="158"/>
      <c r="E264" s="158"/>
      <c r="F264" s="159"/>
      <c r="G264" s="166"/>
      <c r="H264" s="168"/>
      <c r="I264" s="161"/>
      <c r="J264" s="212"/>
      <c r="K264" s="165"/>
      <c r="L264" s="91"/>
      <c r="M264" s="92"/>
    </row>
    <row r="265" spans="1:13" s="45" customFormat="1" ht="8.5500000000000007" customHeight="1" x14ac:dyDescent="0.2">
      <c r="A265" s="43"/>
      <c r="B265" s="156" t="s">
        <v>169</v>
      </c>
      <c r="C265" s="156"/>
      <c r="D265" s="156"/>
      <c r="E265" s="156"/>
      <c r="F265" s="157"/>
      <c r="G265" s="166">
        <v>2003</v>
      </c>
      <c r="H265" s="167">
        <v>93</v>
      </c>
      <c r="I265" s="160">
        <v>98</v>
      </c>
      <c r="J265" s="211" t="s">
        <v>325</v>
      </c>
      <c r="K265" s="164">
        <v>6</v>
      </c>
      <c r="L265" s="91"/>
      <c r="M265" s="92"/>
    </row>
    <row r="266" spans="1:13" s="45" customFormat="1" ht="8.5500000000000007" customHeight="1" x14ac:dyDescent="0.2">
      <c r="A266" s="43"/>
      <c r="B266" s="158"/>
      <c r="C266" s="158"/>
      <c r="D266" s="158"/>
      <c r="E266" s="158"/>
      <c r="F266" s="159"/>
      <c r="G266" s="166"/>
      <c r="H266" s="168"/>
      <c r="I266" s="161"/>
      <c r="J266" s="212"/>
      <c r="K266" s="165"/>
      <c r="L266" s="91"/>
      <c r="M266" s="92"/>
    </row>
    <row r="267" spans="1:13" s="45" customFormat="1" ht="8.5500000000000007" customHeight="1" x14ac:dyDescent="0.2">
      <c r="A267" s="43"/>
      <c r="B267" s="156" t="s">
        <v>636</v>
      </c>
      <c r="C267" s="192"/>
      <c r="D267" s="192"/>
      <c r="E267" s="192"/>
      <c r="F267" s="193"/>
      <c r="G267" s="166">
        <v>2003</v>
      </c>
      <c r="H267" s="167">
        <v>93</v>
      </c>
      <c r="I267" s="160">
        <v>98</v>
      </c>
      <c r="J267" s="211" t="s">
        <v>325</v>
      </c>
      <c r="K267" s="164">
        <v>1</v>
      </c>
      <c r="L267" s="91"/>
      <c r="M267" s="92"/>
    </row>
    <row r="268" spans="1:13" s="45" customFormat="1" ht="8.5500000000000007" customHeight="1" x14ac:dyDescent="0.2">
      <c r="A268" s="43"/>
      <c r="B268" s="194"/>
      <c r="C268" s="194"/>
      <c r="D268" s="194"/>
      <c r="E268" s="194"/>
      <c r="F268" s="195"/>
      <c r="G268" s="166"/>
      <c r="H268" s="168"/>
      <c r="I268" s="161"/>
      <c r="J268" s="212"/>
      <c r="K268" s="165"/>
      <c r="L268" s="91"/>
      <c r="M268" s="92"/>
    </row>
    <row r="269" spans="1:13" s="45" customFormat="1" ht="8.5500000000000007" customHeight="1" x14ac:dyDescent="0.2">
      <c r="A269" s="43"/>
      <c r="B269" s="156" t="s">
        <v>169</v>
      </c>
      <c r="C269" s="156"/>
      <c r="D269" s="156"/>
      <c r="E269" s="156"/>
      <c r="F269" s="157"/>
      <c r="G269" s="166">
        <v>2004</v>
      </c>
      <c r="H269" s="167">
        <v>94</v>
      </c>
      <c r="I269" s="160">
        <v>93</v>
      </c>
      <c r="J269" s="162" t="s">
        <v>266</v>
      </c>
      <c r="K269" s="164">
        <v>2</v>
      </c>
      <c r="L269" s="91"/>
      <c r="M269" s="92"/>
    </row>
    <row r="270" spans="1:13" s="45" customFormat="1" ht="8.5500000000000007" customHeight="1" x14ac:dyDescent="0.2">
      <c r="A270" s="43"/>
      <c r="B270" s="158"/>
      <c r="C270" s="158"/>
      <c r="D270" s="158"/>
      <c r="E270" s="158"/>
      <c r="F270" s="159"/>
      <c r="G270" s="166"/>
      <c r="H270" s="168"/>
      <c r="I270" s="161"/>
      <c r="J270" s="163"/>
      <c r="K270" s="165"/>
      <c r="L270" s="91"/>
      <c r="M270" s="92"/>
    </row>
    <row r="271" spans="1:13" s="45" customFormat="1" ht="8.5500000000000007" customHeight="1" x14ac:dyDescent="0.2">
      <c r="A271" s="43"/>
      <c r="B271" s="156" t="s">
        <v>169</v>
      </c>
      <c r="C271" s="156"/>
      <c r="D271" s="156"/>
      <c r="E271" s="156"/>
      <c r="F271" s="157"/>
      <c r="G271" s="166">
        <v>2015</v>
      </c>
      <c r="H271" s="167">
        <v>99</v>
      </c>
      <c r="I271" s="160"/>
      <c r="J271" s="211" t="s">
        <v>1902</v>
      </c>
      <c r="K271" s="164">
        <v>2</v>
      </c>
      <c r="L271" s="91"/>
      <c r="M271" s="92"/>
    </row>
    <row r="272" spans="1:13" s="45" customFormat="1" ht="8.5500000000000007" customHeight="1" x14ac:dyDescent="0.2">
      <c r="A272" s="43"/>
      <c r="B272" s="158"/>
      <c r="C272" s="158"/>
      <c r="D272" s="158"/>
      <c r="E272" s="158"/>
      <c r="F272" s="159"/>
      <c r="G272" s="166"/>
      <c r="H272" s="168"/>
      <c r="I272" s="161"/>
      <c r="J272" s="168"/>
      <c r="K272" s="165"/>
      <c r="L272" s="91"/>
      <c r="M272" s="92"/>
    </row>
    <row r="273" spans="1:13" s="45" customFormat="1" ht="8.5500000000000007" customHeight="1" x14ac:dyDescent="0.2">
      <c r="A273" s="43"/>
      <c r="B273" s="156" t="s">
        <v>169</v>
      </c>
      <c r="C273" s="156"/>
      <c r="D273" s="156"/>
      <c r="E273" s="156"/>
      <c r="F273" s="157"/>
      <c r="G273" s="166">
        <v>2016</v>
      </c>
      <c r="H273" s="167">
        <v>99</v>
      </c>
      <c r="I273" s="160"/>
      <c r="J273" s="211" t="s">
        <v>1547</v>
      </c>
      <c r="K273" s="164">
        <v>6</v>
      </c>
      <c r="L273" s="91"/>
      <c r="M273" s="92"/>
    </row>
    <row r="274" spans="1:13" s="45" customFormat="1" ht="8.5500000000000007" customHeight="1" x14ac:dyDescent="0.2">
      <c r="A274" s="43"/>
      <c r="B274" s="158"/>
      <c r="C274" s="158"/>
      <c r="D274" s="158"/>
      <c r="E274" s="158"/>
      <c r="F274" s="159"/>
      <c r="G274" s="166"/>
      <c r="H274" s="168"/>
      <c r="I274" s="161"/>
      <c r="J274" s="168"/>
      <c r="K274" s="165"/>
      <c r="L274" s="91"/>
      <c r="M274" s="92"/>
    </row>
    <row r="275" spans="1:13" s="45" customFormat="1" ht="8.5500000000000007" customHeight="1" x14ac:dyDescent="0.2">
      <c r="A275" s="43"/>
      <c r="B275" s="172" t="s">
        <v>1364</v>
      </c>
      <c r="C275" s="172"/>
      <c r="D275" s="172"/>
      <c r="E275" s="172"/>
      <c r="F275" s="173"/>
      <c r="G275" s="166">
        <v>1990</v>
      </c>
      <c r="H275" s="167">
        <v>94</v>
      </c>
      <c r="I275" s="160"/>
      <c r="J275" s="211"/>
      <c r="K275" s="164">
        <v>1</v>
      </c>
      <c r="L275" s="91"/>
      <c r="M275" s="92"/>
    </row>
    <row r="276" spans="1:13" s="45" customFormat="1" ht="8.5500000000000007" customHeight="1" x14ac:dyDescent="0.2">
      <c r="A276" s="43"/>
      <c r="B276" s="174"/>
      <c r="C276" s="174"/>
      <c r="D276" s="174"/>
      <c r="E276" s="174"/>
      <c r="F276" s="175"/>
      <c r="G276" s="166"/>
      <c r="H276" s="168"/>
      <c r="I276" s="161"/>
      <c r="J276" s="212"/>
      <c r="K276" s="165"/>
      <c r="L276" s="91"/>
      <c r="M276" s="92"/>
    </row>
    <row r="277" spans="1:13" s="45" customFormat="1" ht="8.5500000000000007" customHeight="1" x14ac:dyDescent="0.2">
      <c r="A277" s="43"/>
      <c r="B277" s="156" t="s">
        <v>1364</v>
      </c>
      <c r="C277" s="156"/>
      <c r="D277" s="156"/>
      <c r="E277" s="156"/>
      <c r="F277" s="157"/>
      <c r="G277" s="166">
        <v>2005</v>
      </c>
      <c r="H277" s="167">
        <v>95</v>
      </c>
      <c r="I277" s="160">
        <v>97</v>
      </c>
      <c r="J277" s="211" t="s">
        <v>265</v>
      </c>
      <c r="K277" s="164">
        <v>2</v>
      </c>
      <c r="L277" s="91"/>
      <c r="M277" s="92"/>
    </row>
    <row r="278" spans="1:13" s="45" customFormat="1" ht="8.5500000000000007" customHeight="1" x14ac:dyDescent="0.2">
      <c r="A278" s="43"/>
      <c r="B278" s="158"/>
      <c r="C278" s="158"/>
      <c r="D278" s="158"/>
      <c r="E278" s="158"/>
      <c r="F278" s="159"/>
      <c r="G278" s="166"/>
      <c r="H278" s="168"/>
      <c r="I278" s="161"/>
      <c r="J278" s="212"/>
      <c r="K278" s="165"/>
      <c r="L278" s="91"/>
      <c r="M278" s="92"/>
    </row>
    <row r="279" spans="1:13" s="45" customFormat="1" ht="8.5500000000000007" customHeight="1" x14ac:dyDescent="0.2">
      <c r="A279" s="43"/>
      <c r="B279" s="156" t="s">
        <v>1364</v>
      </c>
      <c r="C279" s="156"/>
      <c r="D279" s="156"/>
      <c r="E279" s="156"/>
      <c r="F279" s="157"/>
      <c r="G279" s="166">
        <v>2009</v>
      </c>
      <c r="H279" s="167">
        <v>94</v>
      </c>
      <c r="I279" s="160">
        <v>92</v>
      </c>
      <c r="J279" s="211" t="s">
        <v>63</v>
      </c>
      <c r="K279" s="164">
        <v>7</v>
      </c>
      <c r="L279" s="91"/>
      <c r="M279" s="92"/>
    </row>
    <row r="280" spans="1:13" s="45" customFormat="1" ht="8.5500000000000007" customHeight="1" x14ac:dyDescent="0.2">
      <c r="A280" s="43"/>
      <c r="B280" s="158"/>
      <c r="C280" s="158"/>
      <c r="D280" s="158"/>
      <c r="E280" s="158"/>
      <c r="F280" s="159"/>
      <c r="G280" s="166"/>
      <c r="H280" s="168"/>
      <c r="I280" s="161"/>
      <c r="J280" s="212"/>
      <c r="K280" s="165"/>
      <c r="L280" s="91"/>
      <c r="M280" s="92"/>
    </row>
    <row r="281" spans="1:13" s="45" customFormat="1" ht="8.5500000000000007" customHeight="1" x14ac:dyDescent="0.2">
      <c r="A281" s="43"/>
      <c r="B281" s="172" t="s">
        <v>170</v>
      </c>
      <c r="C281" s="172"/>
      <c r="D281" s="172"/>
      <c r="E281" s="172"/>
      <c r="F281" s="173"/>
      <c r="G281" s="166">
        <v>1950</v>
      </c>
      <c r="H281" s="167"/>
      <c r="I281" s="160"/>
      <c r="J281" s="162"/>
      <c r="K281" s="164">
        <v>1</v>
      </c>
      <c r="L281" s="91"/>
      <c r="M281" s="92"/>
    </row>
    <row r="282" spans="1:13" s="45" customFormat="1" ht="8.5500000000000007" customHeight="1" x14ac:dyDescent="0.2">
      <c r="A282" s="43"/>
      <c r="B282" s="174"/>
      <c r="C282" s="174"/>
      <c r="D282" s="174"/>
      <c r="E282" s="174"/>
      <c r="F282" s="175"/>
      <c r="G282" s="166"/>
      <c r="H282" s="168"/>
      <c r="I282" s="161"/>
      <c r="J282" s="163"/>
      <c r="K282" s="165"/>
      <c r="L282" s="91"/>
      <c r="M282" s="92"/>
    </row>
    <row r="283" spans="1:13" s="45" customFormat="1" ht="8.5500000000000007" customHeight="1" x14ac:dyDescent="0.2">
      <c r="A283" s="43"/>
      <c r="B283" s="156" t="s">
        <v>170</v>
      </c>
      <c r="C283" s="156"/>
      <c r="D283" s="156"/>
      <c r="E283" s="156"/>
      <c r="F283" s="157"/>
      <c r="G283" s="166">
        <v>1961</v>
      </c>
      <c r="H283" s="167">
        <v>100</v>
      </c>
      <c r="I283" s="160"/>
      <c r="J283" s="162" t="s">
        <v>1776</v>
      </c>
      <c r="K283" s="164">
        <v>1</v>
      </c>
      <c r="L283" s="91"/>
      <c r="M283" s="92"/>
    </row>
    <row r="284" spans="1:13" s="45" customFormat="1" ht="8.5500000000000007" customHeight="1" x14ac:dyDescent="0.2">
      <c r="A284" s="43"/>
      <c r="B284" s="158"/>
      <c r="C284" s="158"/>
      <c r="D284" s="158"/>
      <c r="E284" s="158"/>
      <c r="F284" s="159"/>
      <c r="G284" s="166"/>
      <c r="H284" s="168"/>
      <c r="I284" s="161"/>
      <c r="J284" s="163"/>
      <c r="K284" s="165"/>
      <c r="L284" s="91"/>
      <c r="M284" s="92"/>
    </row>
    <row r="285" spans="1:13" s="45" customFormat="1" ht="8.5500000000000007" customHeight="1" x14ac:dyDescent="0.2">
      <c r="A285" s="43"/>
      <c r="B285" s="156" t="s">
        <v>170</v>
      </c>
      <c r="C285" s="156"/>
      <c r="D285" s="156"/>
      <c r="E285" s="156"/>
      <c r="F285" s="157"/>
      <c r="G285" s="166">
        <v>1983</v>
      </c>
      <c r="H285" s="167">
        <v>98</v>
      </c>
      <c r="I285" s="160">
        <v>90</v>
      </c>
      <c r="J285" s="162" t="s">
        <v>25</v>
      </c>
      <c r="K285" s="164">
        <v>3</v>
      </c>
      <c r="L285" s="91"/>
      <c r="M285" s="92"/>
    </row>
    <row r="286" spans="1:13" s="45" customFormat="1" ht="8.5500000000000007" customHeight="1" x14ac:dyDescent="0.2">
      <c r="A286" s="43"/>
      <c r="B286" s="158"/>
      <c r="C286" s="158"/>
      <c r="D286" s="158"/>
      <c r="E286" s="158"/>
      <c r="F286" s="159"/>
      <c r="G286" s="166"/>
      <c r="H286" s="168"/>
      <c r="I286" s="161"/>
      <c r="J286" s="163"/>
      <c r="K286" s="165"/>
      <c r="L286" s="91"/>
      <c r="M286" s="92"/>
    </row>
    <row r="287" spans="1:13" s="45" customFormat="1" ht="8.5500000000000007" customHeight="1" x14ac:dyDescent="0.2">
      <c r="A287" s="43"/>
      <c r="B287" s="156" t="s">
        <v>170</v>
      </c>
      <c r="C287" s="156"/>
      <c r="D287" s="156"/>
      <c r="E287" s="156"/>
      <c r="F287" s="157"/>
      <c r="G287" s="166">
        <v>1989</v>
      </c>
      <c r="H287" s="167">
        <v>97</v>
      </c>
      <c r="I287" s="160">
        <v>92</v>
      </c>
      <c r="J287" s="162" t="s">
        <v>117</v>
      </c>
      <c r="K287" s="164">
        <v>2</v>
      </c>
      <c r="L287" s="91"/>
      <c r="M287" s="92"/>
    </row>
    <row r="288" spans="1:13" s="45" customFormat="1" ht="8.5500000000000007" customHeight="1" x14ac:dyDescent="0.2">
      <c r="A288" s="43"/>
      <c r="B288" s="158"/>
      <c r="C288" s="158"/>
      <c r="D288" s="158"/>
      <c r="E288" s="158"/>
      <c r="F288" s="159"/>
      <c r="G288" s="166"/>
      <c r="H288" s="168"/>
      <c r="I288" s="161"/>
      <c r="J288" s="163"/>
      <c r="K288" s="165"/>
      <c r="L288" s="91"/>
      <c r="M288" s="92"/>
    </row>
    <row r="289" spans="1:13" s="45" customFormat="1" ht="8.5500000000000007" customHeight="1" x14ac:dyDescent="0.2">
      <c r="A289" s="43"/>
      <c r="B289" s="170" t="s">
        <v>946</v>
      </c>
      <c r="C289" s="170"/>
      <c r="D289" s="170"/>
      <c r="E289" s="170"/>
      <c r="F289" s="170"/>
      <c r="G289" s="178"/>
      <c r="H289" s="47"/>
      <c r="I289" s="48"/>
      <c r="J289" s="48"/>
      <c r="K289" s="164"/>
      <c r="L289" s="91"/>
      <c r="M289" s="92"/>
    </row>
    <row r="290" spans="1:13" s="45" customFormat="1" ht="8.5500000000000007" customHeight="1" x14ac:dyDescent="0.2">
      <c r="A290" s="43"/>
      <c r="B290" s="171"/>
      <c r="C290" s="171"/>
      <c r="D290" s="171"/>
      <c r="E290" s="171"/>
      <c r="F290" s="171"/>
      <c r="G290" s="178"/>
      <c r="H290" s="54"/>
      <c r="I290" s="49"/>
      <c r="J290" s="49"/>
      <c r="K290" s="165"/>
      <c r="L290" s="91"/>
      <c r="M290" s="92"/>
    </row>
    <row r="291" spans="1:13" s="45" customFormat="1" ht="8.5500000000000007" customHeight="1" x14ac:dyDescent="0.2">
      <c r="A291" s="43"/>
      <c r="B291" s="156" t="s">
        <v>1048</v>
      </c>
      <c r="C291" s="156"/>
      <c r="D291" s="156"/>
      <c r="E291" s="156"/>
      <c r="F291" s="157"/>
      <c r="G291" s="166">
        <v>1989</v>
      </c>
      <c r="H291" s="167">
        <v>97</v>
      </c>
      <c r="I291" s="160">
        <v>92</v>
      </c>
      <c r="J291" s="162" t="s">
        <v>117</v>
      </c>
      <c r="K291" s="164">
        <v>1</v>
      </c>
      <c r="L291" s="91"/>
      <c r="M291" s="92"/>
    </row>
    <row r="292" spans="1:13" s="45" customFormat="1" ht="8.5500000000000007" customHeight="1" x14ac:dyDescent="0.2">
      <c r="A292" s="43"/>
      <c r="B292" s="158"/>
      <c r="C292" s="158"/>
      <c r="D292" s="158"/>
      <c r="E292" s="158"/>
      <c r="F292" s="159"/>
      <c r="G292" s="166"/>
      <c r="H292" s="168"/>
      <c r="I292" s="161"/>
      <c r="J292" s="163"/>
      <c r="K292" s="165"/>
      <c r="L292" s="91"/>
      <c r="M292" s="92"/>
    </row>
    <row r="293" spans="1:13" s="45" customFormat="1" ht="8.5500000000000007" customHeight="1" x14ac:dyDescent="0.2">
      <c r="A293" s="43"/>
      <c r="B293" s="156" t="s">
        <v>1048</v>
      </c>
      <c r="C293" s="156"/>
      <c r="D293" s="156"/>
      <c r="E293" s="156"/>
      <c r="F293" s="157"/>
      <c r="G293" s="166">
        <v>1993</v>
      </c>
      <c r="H293" s="167">
        <v>92</v>
      </c>
      <c r="I293" s="160"/>
      <c r="J293" s="162" t="s">
        <v>267</v>
      </c>
      <c r="K293" s="164">
        <v>1</v>
      </c>
      <c r="L293" s="91"/>
      <c r="M293" s="92"/>
    </row>
    <row r="294" spans="1:13" s="45" customFormat="1" ht="8.5500000000000007" customHeight="1" x14ac:dyDescent="0.2">
      <c r="A294" s="43"/>
      <c r="B294" s="158"/>
      <c r="C294" s="158"/>
      <c r="D294" s="158"/>
      <c r="E294" s="158"/>
      <c r="F294" s="159"/>
      <c r="G294" s="166"/>
      <c r="H294" s="168"/>
      <c r="I294" s="161"/>
      <c r="J294" s="163"/>
      <c r="K294" s="165"/>
      <c r="L294" s="91"/>
      <c r="M294" s="92"/>
    </row>
    <row r="295" spans="1:13" s="45" customFormat="1" ht="8.5500000000000007" customHeight="1" x14ac:dyDescent="0.2">
      <c r="A295" s="43"/>
      <c r="B295" s="156" t="s">
        <v>170</v>
      </c>
      <c r="C295" s="156"/>
      <c r="D295" s="156"/>
      <c r="E295" s="156"/>
      <c r="F295" s="157"/>
      <c r="G295" s="166">
        <v>2000</v>
      </c>
      <c r="H295" s="167">
        <v>94</v>
      </c>
      <c r="I295" s="160">
        <v>97</v>
      </c>
      <c r="J295" s="211" t="s">
        <v>1903</v>
      </c>
      <c r="K295" s="164">
        <v>1</v>
      </c>
      <c r="L295" s="91"/>
      <c r="M295" s="92"/>
    </row>
    <row r="296" spans="1:13" s="45" customFormat="1" ht="8.5500000000000007" customHeight="1" x14ac:dyDescent="0.2">
      <c r="A296" s="43"/>
      <c r="B296" s="158"/>
      <c r="C296" s="158"/>
      <c r="D296" s="158"/>
      <c r="E296" s="158"/>
      <c r="F296" s="159"/>
      <c r="G296" s="166"/>
      <c r="H296" s="168"/>
      <c r="I296" s="161"/>
      <c r="J296" s="212"/>
      <c r="K296" s="165"/>
      <c r="L296" s="91"/>
      <c r="M296" s="92"/>
    </row>
    <row r="297" spans="1:13" s="45" customFormat="1" ht="8.5500000000000007" customHeight="1" x14ac:dyDescent="0.2">
      <c r="A297" s="43"/>
      <c r="B297" s="156" t="s">
        <v>170</v>
      </c>
      <c r="C297" s="156"/>
      <c r="D297" s="156"/>
      <c r="E297" s="156"/>
      <c r="F297" s="157"/>
      <c r="G297" s="166">
        <v>2004</v>
      </c>
      <c r="H297" s="167">
        <v>94</v>
      </c>
      <c r="I297" s="160">
        <v>91</v>
      </c>
      <c r="J297" s="211" t="s">
        <v>314</v>
      </c>
      <c r="K297" s="164">
        <v>3</v>
      </c>
      <c r="L297" s="91"/>
      <c r="M297" s="92"/>
    </row>
    <row r="298" spans="1:13" s="45" customFormat="1" ht="8.5500000000000007" customHeight="1" x14ac:dyDescent="0.2">
      <c r="A298" s="43"/>
      <c r="B298" s="158"/>
      <c r="C298" s="158"/>
      <c r="D298" s="158"/>
      <c r="E298" s="158"/>
      <c r="F298" s="159"/>
      <c r="G298" s="166"/>
      <c r="H298" s="168"/>
      <c r="I298" s="161"/>
      <c r="J298" s="212"/>
      <c r="K298" s="165"/>
      <c r="L298" s="91"/>
      <c r="M298" s="92"/>
    </row>
    <row r="299" spans="1:13" s="45" customFormat="1" ht="8.5500000000000007" customHeight="1" x14ac:dyDescent="0.2">
      <c r="A299" s="43"/>
      <c r="B299" s="156" t="s">
        <v>639</v>
      </c>
      <c r="C299" s="156"/>
      <c r="D299" s="156"/>
      <c r="E299" s="156"/>
      <c r="F299" s="157"/>
      <c r="G299" s="166">
        <v>2005</v>
      </c>
      <c r="H299" s="167">
        <v>97</v>
      </c>
      <c r="I299" s="160">
        <v>95</v>
      </c>
      <c r="J299" s="211" t="s">
        <v>444</v>
      </c>
      <c r="K299" s="164">
        <v>1</v>
      </c>
      <c r="L299" s="91"/>
      <c r="M299" s="92"/>
    </row>
    <row r="300" spans="1:13" s="45" customFormat="1" ht="8.5500000000000007" customHeight="1" x14ac:dyDescent="0.2">
      <c r="A300" s="43"/>
      <c r="B300" s="158"/>
      <c r="C300" s="158"/>
      <c r="D300" s="158"/>
      <c r="E300" s="158"/>
      <c r="F300" s="159"/>
      <c r="G300" s="166"/>
      <c r="H300" s="168"/>
      <c r="I300" s="161"/>
      <c r="J300" s="212"/>
      <c r="K300" s="165"/>
      <c r="L300" s="91"/>
      <c r="M300" s="92"/>
    </row>
    <row r="301" spans="1:13" s="45" customFormat="1" ht="8.5500000000000007" customHeight="1" x14ac:dyDescent="0.2">
      <c r="A301" s="43"/>
      <c r="B301" s="156" t="s">
        <v>170</v>
      </c>
      <c r="C301" s="156"/>
      <c r="D301" s="156"/>
      <c r="E301" s="156"/>
      <c r="F301" s="157"/>
      <c r="G301" s="166">
        <v>2005</v>
      </c>
      <c r="H301" s="167">
        <v>97</v>
      </c>
      <c r="I301" s="160">
        <v>95</v>
      </c>
      <c r="J301" s="211" t="s">
        <v>444</v>
      </c>
      <c r="K301" s="164">
        <v>6</v>
      </c>
      <c r="L301" s="91"/>
      <c r="M301" s="92"/>
    </row>
    <row r="302" spans="1:13" s="45" customFormat="1" ht="8.5500000000000007" customHeight="1" x14ac:dyDescent="0.2">
      <c r="A302" s="43"/>
      <c r="B302" s="158"/>
      <c r="C302" s="158"/>
      <c r="D302" s="158"/>
      <c r="E302" s="158"/>
      <c r="F302" s="159"/>
      <c r="G302" s="166"/>
      <c r="H302" s="168"/>
      <c r="I302" s="161"/>
      <c r="J302" s="212"/>
      <c r="K302" s="165"/>
      <c r="L302" s="91"/>
      <c r="M302" s="92"/>
    </row>
    <row r="303" spans="1:13" s="45" customFormat="1" ht="8.5500000000000007" customHeight="1" x14ac:dyDescent="0.2">
      <c r="A303" s="43"/>
      <c r="B303" s="172" t="s">
        <v>280</v>
      </c>
      <c r="C303" s="172"/>
      <c r="D303" s="172"/>
      <c r="E303" s="172"/>
      <c r="F303" s="173"/>
      <c r="G303" s="166">
        <v>1959</v>
      </c>
      <c r="H303" s="167">
        <v>90</v>
      </c>
      <c r="I303" s="160"/>
      <c r="J303" s="211"/>
      <c r="K303" s="164">
        <v>1</v>
      </c>
      <c r="L303" s="91"/>
      <c r="M303" s="92"/>
    </row>
    <row r="304" spans="1:13" s="45" customFormat="1" ht="8.5500000000000007" customHeight="1" x14ac:dyDescent="0.2">
      <c r="A304" s="43"/>
      <c r="B304" s="174"/>
      <c r="C304" s="174"/>
      <c r="D304" s="174"/>
      <c r="E304" s="174"/>
      <c r="F304" s="175"/>
      <c r="G304" s="166"/>
      <c r="H304" s="168"/>
      <c r="I304" s="161"/>
      <c r="J304" s="168"/>
      <c r="K304" s="165"/>
      <c r="L304" s="91"/>
      <c r="M304" s="92"/>
    </row>
    <row r="305" spans="1:13" s="45" customFormat="1" ht="8.5500000000000007" customHeight="1" x14ac:dyDescent="0.2">
      <c r="A305" s="43"/>
      <c r="B305" s="156" t="s">
        <v>280</v>
      </c>
      <c r="C305" s="156"/>
      <c r="D305" s="156"/>
      <c r="E305" s="156"/>
      <c r="F305" s="157"/>
      <c r="G305" s="166">
        <v>2003</v>
      </c>
      <c r="H305" s="167">
        <v>94</v>
      </c>
      <c r="I305" s="160">
        <v>91</v>
      </c>
      <c r="J305" s="211" t="s">
        <v>1766</v>
      </c>
      <c r="K305" s="164">
        <v>1</v>
      </c>
      <c r="L305" s="91"/>
      <c r="M305" s="92"/>
    </row>
    <row r="306" spans="1:13" s="45" customFormat="1" ht="8.5500000000000007" customHeight="1" x14ac:dyDescent="0.2">
      <c r="A306" s="43"/>
      <c r="B306" s="158"/>
      <c r="C306" s="158"/>
      <c r="D306" s="158"/>
      <c r="E306" s="158"/>
      <c r="F306" s="159"/>
      <c r="G306" s="166"/>
      <c r="H306" s="168"/>
      <c r="I306" s="161"/>
      <c r="J306" s="212"/>
      <c r="K306" s="165"/>
      <c r="L306" s="91"/>
      <c r="M306" s="92"/>
    </row>
    <row r="307" spans="1:13" s="45" customFormat="1" ht="8.5500000000000007" customHeight="1" x14ac:dyDescent="0.2">
      <c r="A307" s="43"/>
      <c r="B307" s="156" t="s">
        <v>280</v>
      </c>
      <c r="C307" s="156"/>
      <c r="D307" s="156"/>
      <c r="E307" s="156"/>
      <c r="F307" s="157"/>
      <c r="G307" s="166">
        <v>2004</v>
      </c>
      <c r="H307" s="167">
        <v>93</v>
      </c>
      <c r="I307" s="160">
        <v>88</v>
      </c>
      <c r="J307" s="211" t="s">
        <v>256</v>
      </c>
      <c r="K307" s="164">
        <v>1</v>
      </c>
      <c r="L307" s="91"/>
      <c r="M307" s="92"/>
    </row>
    <row r="308" spans="1:13" s="45" customFormat="1" ht="8.5500000000000007" customHeight="1" x14ac:dyDescent="0.2">
      <c r="A308" s="43"/>
      <c r="B308" s="158"/>
      <c r="C308" s="158"/>
      <c r="D308" s="158"/>
      <c r="E308" s="158"/>
      <c r="F308" s="159"/>
      <c r="G308" s="166"/>
      <c r="H308" s="168"/>
      <c r="I308" s="161"/>
      <c r="J308" s="212"/>
      <c r="K308" s="165"/>
      <c r="L308" s="91"/>
      <c r="M308" s="92"/>
    </row>
    <row r="309" spans="1:13" s="45" customFormat="1" ht="8.5500000000000007" customHeight="1" x14ac:dyDescent="0.2">
      <c r="A309" s="43"/>
      <c r="B309" s="156" t="s">
        <v>280</v>
      </c>
      <c r="C309" s="156"/>
      <c r="D309" s="156"/>
      <c r="E309" s="156"/>
      <c r="F309" s="157"/>
      <c r="G309" s="166">
        <v>2005</v>
      </c>
      <c r="H309" s="167" t="s">
        <v>1904</v>
      </c>
      <c r="I309" s="160">
        <v>93</v>
      </c>
      <c r="J309" s="211" t="s">
        <v>1147</v>
      </c>
      <c r="K309" s="164">
        <v>2</v>
      </c>
      <c r="L309" s="91"/>
      <c r="M309" s="92"/>
    </row>
    <row r="310" spans="1:13" s="45" customFormat="1" ht="8.5500000000000007" customHeight="1" x14ac:dyDescent="0.2">
      <c r="A310" s="43"/>
      <c r="B310" s="158"/>
      <c r="C310" s="158"/>
      <c r="D310" s="158"/>
      <c r="E310" s="158"/>
      <c r="F310" s="159"/>
      <c r="G310" s="166"/>
      <c r="H310" s="168"/>
      <c r="I310" s="161"/>
      <c r="J310" s="212"/>
      <c r="K310" s="165"/>
      <c r="L310" s="91"/>
      <c r="M310" s="92"/>
    </row>
    <row r="311" spans="1:13" s="45" customFormat="1" ht="8.5500000000000007" customHeight="1" x14ac:dyDescent="0.2">
      <c r="A311" s="43"/>
      <c r="B311" s="156" t="s">
        <v>1429</v>
      </c>
      <c r="C311" s="156"/>
      <c r="D311" s="156"/>
      <c r="E311" s="156"/>
      <c r="F311" s="157"/>
      <c r="G311" s="166">
        <v>1999</v>
      </c>
      <c r="H311" s="167">
        <v>89</v>
      </c>
      <c r="I311" s="160"/>
      <c r="J311" s="211" t="s">
        <v>263</v>
      </c>
      <c r="K311" s="164">
        <v>3</v>
      </c>
      <c r="L311" s="91"/>
      <c r="M311" s="92"/>
    </row>
    <row r="312" spans="1:13" s="45" customFormat="1" ht="8.5500000000000007" customHeight="1" x14ac:dyDescent="0.2">
      <c r="A312" s="43"/>
      <c r="B312" s="158"/>
      <c r="C312" s="158"/>
      <c r="D312" s="158"/>
      <c r="E312" s="158"/>
      <c r="F312" s="159"/>
      <c r="G312" s="166"/>
      <c r="H312" s="168"/>
      <c r="I312" s="161"/>
      <c r="J312" s="212"/>
      <c r="K312" s="165"/>
      <c r="L312" s="91"/>
      <c r="M312" s="92"/>
    </row>
    <row r="313" spans="1:13" s="45" customFormat="1" ht="8.5500000000000007" customHeight="1" x14ac:dyDescent="0.2">
      <c r="A313" s="43"/>
      <c r="B313" s="156" t="s">
        <v>271</v>
      </c>
      <c r="C313" s="156"/>
      <c r="D313" s="156"/>
      <c r="E313" s="156"/>
      <c r="F313" s="157"/>
      <c r="G313" s="166">
        <v>2005</v>
      </c>
      <c r="H313" s="167" t="s">
        <v>1322</v>
      </c>
      <c r="I313" s="160"/>
      <c r="J313" s="211" t="s">
        <v>1312</v>
      </c>
      <c r="K313" s="164">
        <v>1</v>
      </c>
      <c r="L313" s="91"/>
      <c r="M313" s="92"/>
    </row>
    <row r="314" spans="1:13" s="45" customFormat="1" ht="8.5500000000000007" customHeight="1" x14ac:dyDescent="0.2">
      <c r="A314" s="43"/>
      <c r="B314" s="158"/>
      <c r="C314" s="158"/>
      <c r="D314" s="158"/>
      <c r="E314" s="158"/>
      <c r="F314" s="159"/>
      <c r="G314" s="166"/>
      <c r="H314" s="168"/>
      <c r="I314" s="161"/>
      <c r="J314" s="212"/>
      <c r="K314" s="165"/>
      <c r="L314" s="91"/>
      <c r="M314" s="92"/>
    </row>
    <row r="315" spans="1:13" s="45" customFormat="1" ht="8.5500000000000007" customHeight="1" x14ac:dyDescent="0.2">
      <c r="A315" s="43"/>
      <c r="B315" s="156" t="s">
        <v>271</v>
      </c>
      <c r="C315" s="156"/>
      <c r="D315" s="156"/>
      <c r="E315" s="156"/>
      <c r="F315" s="157"/>
      <c r="G315" s="166">
        <v>2006</v>
      </c>
      <c r="H315" s="167">
        <v>89</v>
      </c>
      <c r="I315" s="160">
        <v>90</v>
      </c>
      <c r="J315" s="211" t="s">
        <v>354</v>
      </c>
      <c r="K315" s="164">
        <v>1</v>
      </c>
      <c r="L315" s="91"/>
      <c r="M315" s="92"/>
    </row>
    <row r="316" spans="1:13" s="45" customFormat="1" ht="8.5500000000000007" customHeight="1" x14ac:dyDescent="0.2">
      <c r="A316" s="43"/>
      <c r="B316" s="158"/>
      <c r="C316" s="158"/>
      <c r="D316" s="158"/>
      <c r="E316" s="158"/>
      <c r="F316" s="159"/>
      <c r="G316" s="166"/>
      <c r="H316" s="168"/>
      <c r="I316" s="161"/>
      <c r="J316" s="212"/>
      <c r="K316" s="165"/>
      <c r="L316" s="91"/>
      <c r="M316" s="92"/>
    </row>
    <row r="317" spans="1:13" s="45" customFormat="1" ht="8.5500000000000007" customHeight="1" x14ac:dyDescent="0.2">
      <c r="A317" s="43"/>
      <c r="B317" s="156" t="s">
        <v>14</v>
      </c>
      <c r="C317" s="156"/>
      <c r="D317" s="156"/>
      <c r="E317" s="156"/>
      <c r="F317" s="157"/>
      <c r="G317" s="166">
        <v>2005</v>
      </c>
      <c r="H317" s="167">
        <v>96</v>
      </c>
      <c r="I317" s="160">
        <v>97</v>
      </c>
      <c r="J317" s="211" t="s">
        <v>718</v>
      </c>
      <c r="K317" s="164">
        <v>5</v>
      </c>
      <c r="L317" s="91"/>
      <c r="M317" s="92"/>
    </row>
    <row r="318" spans="1:13" s="45" customFormat="1" ht="8.5500000000000007" customHeight="1" x14ac:dyDescent="0.2">
      <c r="A318" s="43"/>
      <c r="B318" s="158"/>
      <c r="C318" s="158"/>
      <c r="D318" s="158"/>
      <c r="E318" s="158"/>
      <c r="F318" s="159"/>
      <c r="G318" s="166"/>
      <c r="H318" s="168"/>
      <c r="I318" s="161"/>
      <c r="J318" s="212"/>
      <c r="K318" s="165"/>
      <c r="L318" s="91"/>
      <c r="M318" s="92"/>
    </row>
    <row r="319" spans="1:13" s="45" customFormat="1" ht="8.5500000000000007" customHeight="1" x14ac:dyDescent="0.2">
      <c r="A319" s="43"/>
      <c r="B319" s="156" t="s">
        <v>57</v>
      </c>
      <c r="C319" s="156"/>
      <c r="D319" s="156"/>
      <c r="E319" s="156"/>
      <c r="F319" s="157"/>
      <c r="G319" s="166">
        <v>2005</v>
      </c>
      <c r="H319" s="167">
        <v>94</v>
      </c>
      <c r="I319" s="160">
        <v>93</v>
      </c>
      <c r="J319" s="211" t="s">
        <v>124</v>
      </c>
      <c r="K319" s="164">
        <v>5</v>
      </c>
      <c r="L319" s="91"/>
      <c r="M319" s="92"/>
    </row>
    <row r="320" spans="1:13" s="45" customFormat="1" ht="8.5500000000000007" customHeight="1" x14ac:dyDescent="0.2">
      <c r="A320" s="43"/>
      <c r="B320" s="158"/>
      <c r="C320" s="158"/>
      <c r="D320" s="158"/>
      <c r="E320" s="158"/>
      <c r="F320" s="159"/>
      <c r="G320" s="166"/>
      <c r="H320" s="168"/>
      <c r="I320" s="161"/>
      <c r="J320" s="212"/>
      <c r="K320" s="165"/>
      <c r="L320" s="91"/>
      <c r="M320" s="92"/>
    </row>
    <row r="321" spans="1:13" s="45" customFormat="1" ht="8.5500000000000007" customHeight="1" x14ac:dyDescent="0.2">
      <c r="A321" s="43"/>
      <c r="B321" s="156" t="s">
        <v>171</v>
      </c>
      <c r="C321" s="156"/>
      <c r="D321" s="156"/>
      <c r="E321" s="156"/>
      <c r="F321" s="157"/>
      <c r="G321" s="166">
        <v>2005</v>
      </c>
      <c r="H321" s="167">
        <v>90</v>
      </c>
      <c r="I321" s="160">
        <v>92</v>
      </c>
      <c r="J321" s="211" t="s">
        <v>263</v>
      </c>
      <c r="K321" s="164">
        <v>5</v>
      </c>
      <c r="L321" s="91"/>
      <c r="M321" s="92"/>
    </row>
    <row r="322" spans="1:13" s="45" customFormat="1" ht="8.5500000000000007" customHeight="1" x14ac:dyDescent="0.2">
      <c r="A322" s="43"/>
      <c r="B322" s="158"/>
      <c r="C322" s="158"/>
      <c r="D322" s="158"/>
      <c r="E322" s="158"/>
      <c r="F322" s="159"/>
      <c r="G322" s="166"/>
      <c r="H322" s="168"/>
      <c r="I322" s="161"/>
      <c r="J322" s="168"/>
      <c r="K322" s="165"/>
      <c r="L322" s="91"/>
      <c r="M322" s="92"/>
    </row>
    <row r="323" spans="1:13" s="45" customFormat="1" ht="8.5500000000000007" customHeight="1" x14ac:dyDescent="0.2">
      <c r="A323" s="43"/>
      <c r="B323" s="156" t="s">
        <v>241</v>
      </c>
      <c r="C323" s="156"/>
      <c r="D323" s="156"/>
      <c r="E323" s="156"/>
      <c r="F323" s="157"/>
      <c r="G323" s="166">
        <v>2006</v>
      </c>
      <c r="H323" s="167">
        <v>93</v>
      </c>
      <c r="I323" s="160">
        <v>89</v>
      </c>
      <c r="J323" s="211" t="s">
        <v>227</v>
      </c>
      <c r="K323" s="164">
        <v>1</v>
      </c>
      <c r="L323" s="91"/>
      <c r="M323" s="92"/>
    </row>
    <row r="324" spans="1:13" s="45" customFormat="1" ht="8.5500000000000007" customHeight="1" x14ac:dyDescent="0.2">
      <c r="A324" s="43"/>
      <c r="B324" s="158"/>
      <c r="C324" s="158"/>
      <c r="D324" s="158"/>
      <c r="E324" s="158"/>
      <c r="F324" s="159"/>
      <c r="G324" s="166"/>
      <c r="H324" s="168"/>
      <c r="I324" s="161"/>
      <c r="J324" s="168"/>
      <c r="K324" s="165"/>
      <c r="L324" s="91"/>
      <c r="M324" s="92"/>
    </row>
    <row r="325" spans="1:13" s="45" customFormat="1" ht="8.5500000000000007" customHeight="1" x14ac:dyDescent="0.2">
      <c r="A325" s="43"/>
      <c r="B325" s="170" t="s">
        <v>947</v>
      </c>
      <c r="C325" s="170"/>
      <c r="D325" s="170"/>
      <c r="E325" s="170"/>
      <c r="F325" s="170"/>
      <c r="G325" s="47"/>
      <c r="H325" s="47"/>
      <c r="I325" s="48"/>
      <c r="J325" s="48"/>
      <c r="K325" s="224">
        <v>132</v>
      </c>
      <c r="L325" s="230">
        <f>+K325</f>
        <v>132</v>
      </c>
      <c r="M325" s="92"/>
    </row>
    <row r="326" spans="1:13" s="45" customFormat="1" ht="8.5500000000000007" customHeight="1" x14ac:dyDescent="0.2">
      <c r="A326" s="43"/>
      <c r="B326" s="171"/>
      <c r="C326" s="171"/>
      <c r="D326" s="171"/>
      <c r="E326" s="171"/>
      <c r="F326" s="171"/>
      <c r="G326" s="54"/>
      <c r="H326" s="54"/>
      <c r="I326" s="49"/>
      <c r="J326" s="49"/>
      <c r="K326" s="225"/>
      <c r="L326" s="231"/>
      <c r="M326" s="92"/>
    </row>
    <row r="327" spans="1:13" s="45" customFormat="1" ht="8.5500000000000007" customHeight="1" x14ac:dyDescent="0.2">
      <c r="A327" s="43"/>
      <c r="B327" s="170" t="s">
        <v>948</v>
      </c>
      <c r="C327" s="170"/>
      <c r="D327" s="170"/>
      <c r="E327" s="170"/>
      <c r="F327" s="170"/>
      <c r="G327" s="178"/>
      <c r="H327" s="47"/>
      <c r="I327" s="48"/>
      <c r="J327" s="48"/>
      <c r="K327" s="222"/>
      <c r="L327" s="91"/>
      <c r="M327" s="92"/>
    </row>
    <row r="328" spans="1:13" s="45" customFormat="1" ht="8.5500000000000007" customHeight="1" x14ac:dyDescent="0.2">
      <c r="A328" s="43"/>
      <c r="B328" s="171"/>
      <c r="C328" s="171"/>
      <c r="D328" s="171"/>
      <c r="E328" s="171"/>
      <c r="F328" s="171"/>
      <c r="G328" s="178"/>
      <c r="H328" s="54"/>
      <c r="I328" s="49"/>
      <c r="J328" s="49"/>
      <c r="K328" s="165"/>
      <c r="L328" s="91"/>
      <c r="M328" s="92"/>
    </row>
    <row r="329" spans="1:13" s="45" customFormat="1" ht="8.5500000000000007" customHeight="1" x14ac:dyDescent="0.2">
      <c r="A329" s="43"/>
      <c r="B329" s="201" t="s">
        <v>150</v>
      </c>
      <c r="C329" s="201"/>
      <c r="D329" s="201"/>
      <c r="E329" s="201"/>
      <c r="F329" s="157"/>
      <c r="G329" s="189">
        <v>1961</v>
      </c>
      <c r="H329" s="167">
        <v>94</v>
      </c>
      <c r="I329" s="160">
        <v>90</v>
      </c>
      <c r="J329" s="209" t="s">
        <v>415</v>
      </c>
      <c r="K329" s="232">
        <v>1</v>
      </c>
      <c r="L329" s="91"/>
      <c r="M329" s="92"/>
    </row>
    <row r="330" spans="1:13" s="45" customFormat="1" ht="8.5500000000000007" customHeight="1" x14ac:dyDescent="0.2">
      <c r="A330" s="43"/>
      <c r="B330" s="158"/>
      <c r="C330" s="158"/>
      <c r="D330" s="158"/>
      <c r="E330" s="158"/>
      <c r="F330" s="159"/>
      <c r="G330" s="190"/>
      <c r="H330" s="168"/>
      <c r="I330" s="161"/>
      <c r="J330" s="210"/>
      <c r="K330" s="233"/>
      <c r="L330" s="91"/>
      <c r="M330" s="92"/>
    </row>
    <row r="331" spans="1:13" s="55" customFormat="1" ht="8.5500000000000007" customHeight="1" x14ac:dyDescent="0.2">
      <c r="A331" s="43"/>
      <c r="B331" s="156" t="s">
        <v>150</v>
      </c>
      <c r="C331" s="156"/>
      <c r="D331" s="156"/>
      <c r="E331" s="156"/>
      <c r="F331" s="157"/>
      <c r="G331" s="166">
        <v>1976</v>
      </c>
      <c r="H331" s="167" t="s">
        <v>1905</v>
      </c>
      <c r="I331" s="160"/>
      <c r="J331" s="209" t="s">
        <v>1906</v>
      </c>
      <c r="K331" s="164">
        <v>1</v>
      </c>
      <c r="L331" s="91"/>
      <c r="M331" s="93"/>
    </row>
    <row r="332" spans="1:13" s="55" customFormat="1" ht="8.5500000000000007" customHeight="1" x14ac:dyDescent="0.2">
      <c r="A332" s="43"/>
      <c r="B332" s="158"/>
      <c r="C332" s="158"/>
      <c r="D332" s="158"/>
      <c r="E332" s="158"/>
      <c r="F332" s="159"/>
      <c r="G332" s="166"/>
      <c r="H332" s="168"/>
      <c r="I332" s="161"/>
      <c r="J332" s="210"/>
      <c r="K332" s="165"/>
      <c r="L332" s="91"/>
      <c r="M332" s="93"/>
    </row>
    <row r="333" spans="1:13" s="45" customFormat="1" ht="8.5500000000000007" customHeight="1" x14ac:dyDescent="0.2">
      <c r="A333" s="43"/>
      <c r="B333" s="156" t="s">
        <v>150</v>
      </c>
      <c r="C333" s="156"/>
      <c r="D333" s="156"/>
      <c r="E333" s="156"/>
      <c r="F333" s="157"/>
      <c r="G333" s="166">
        <v>1986</v>
      </c>
      <c r="H333" s="167">
        <v>92</v>
      </c>
      <c r="I333" s="160"/>
      <c r="J333" s="211" t="s">
        <v>25</v>
      </c>
      <c r="K333" s="164">
        <v>1</v>
      </c>
      <c r="L333" s="91"/>
      <c r="M333" s="92"/>
    </row>
    <row r="334" spans="1:13" s="45" customFormat="1" ht="8.5500000000000007" customHeight="1" x14ac:dyDescent="0.2">
      <c r="A334" s="43"/>
      <c r="B334" s="158"/>
      <c r="C334" s="158"/>
      <c r="D334" s="158"/>
      <c r="E334" s="158"/>
      <c r="F334" s="159"/>
      <c r="G334" s="166"/>
      <c r="H334" s="168"/>
      <c r="I334" s="161"/>
      <c r="J334" s="212"/>
      <c r="K334" s="165"/>
      <c r="L334" s="91"/>
      <c r="M334" s="92"/>
    </row>
    <row r="335" spans="1:13" s="45" customFormat="1" ht="8.5500000000000007" customHeight="1" x14ac:dyDescent="0.2">
      <c r="A335" s="43"/>
      <c r="B335" s="156" t="s">
        <v>150</v>
      </c>
      <c r="C335" s="156"/>
      <c r="D335" s="156"/>
      <c r="E335" s="156"/>
      <c r="F335" s="157"/>
      <c r="G335" s="166">
        <v>1989</v>
      </c>
      <c r="H335" s="167">
        <v>97</v>
      </c>
      <c r="I335" s="160">
        <v>99</v>
      </c>
      <c r="J335" s="211" t="s">
        <v>344</v>
      </c>
      <c r="K335" s="164">
        <v>5</v>
      </c>
      <c r="L335" s="91"/>
      <c r="M335" s="92"/>
    </row>
    <row r="336" spans="1:13" s="45" customFormat="1" ht="8.5500000000000007" customHeight="1" x14ac:dyDescent="0.2">
      <c r="A336" s="43"/>
      <c r="B336" s="158"/>
      <c r="C336" s="158"/>
      <c r="D336" s="158"/>
      <c r="E336" s="158"/>
      <c r="F336" s="159"/>
      <c r="G336" s="166"/>
      <c r="H336" s="168"/>
      <c r="I336" s="161"/>
      <c r="J336" s="212"/>
      <c r="K336" s="165"/>
      <c r="L336" s="91"/>
      <c r="M336" s="92"/>
    </row>
    <row r="337" spans="1:13" s="45" customFormat="1" ht="8.5500000000000007" customHeight="1" x14ac:dyDescent="0.2">
      <c r="A337" s="43"/>
      <c r="B337" s="156" t="s">
        <v>150</v>
      </c>
      <c r="C337" s="156"/>
      <c r="D337" s="156"/>
      <c r="E337" s="156"/>
      <c r="F337" s="157"/>
      <c r="G337" s="166">
        <v>1990</v>
      </c>
      <c r="H337" s="167" t="s">
        <v>1907</v>
      </c>
      <c r="I337" s="160">
        <v>94</v>
      </c>
      <c r="J337" s="211" t="s">
        <v>367</v>
      </c>
      <c r="K337" s="164">
        <v>6</v>
      </c>
      <c r="L337" s="91"/>
      <c r="M337" s="92"/>
    </row>
    <row r="338" spans="1:13" s="45" customFormat="1" ht="8.5500000000000007" customHeight="1" x14ac:dyDescent="0.2">
      <c r="A338" s="43"/>
      <c r="B338" s="158"/>
      <c r="C338" s="158"/>
      <c r="D338" s="158"/>
      <c r="E338" s="158"/>
      <c r="F338" s="159"/>
      <c r="G338" s="166"/>
      <c r="H338" s="168"/>
      <c r="I338" s="161"/>
      <c r="J338" s="168"/>
      <c r="K338" s="165"/>
      <c r="L338" s="91"/>
      <c r="M338" s="92"/>
    </row>
    <row r="339" spans="1:13" s="45" customFormat="1" ht="8.5500000000000007" customHeight="1" x14ac:dyDescent="0.2">
      <c r="A339" s="43"/>
      <c r="B339" s="156" t="s">
        <v>150</v>
      </c>
      <c r="C339" s="156"/>
      <c r="D339" s="156"/>
      <c r="E339" s="156"/>
      <c r="F339" s="157"/>
      <c r="G339" s="166">
        <v>1995</v>
      </c>
      <c r="H339" s="167">
        <v>94</v>
      </c>
      <c r="I339" s="160"/>
      <c r="J339" s="211" t="s">
        <v>63</v>
      </c>
      <c r="K339" s="164">
        <v>3</v>
      </c>
      <c r="L339" s="91"/>
      <c r="M339" s="92"/>
    </row>
    <row r="340" spans="1:13" s="45" customFormat="1" ht="8.5500000000000007" customHeight="1" x14ac:dyDescent="0.2">
      <c r="A340" s="43"/>
      <c r="B340" s="158"/>
      <c r="C340" s="158"/>
      <c r="D340" s="158"/>
      <c r="E340" s="158"/>
      <c r="F340" s="159"/>
      <c r="G340" s="166"/>
      <c r="H340" s="168"/>
      <c r="I340" s="161"/>
      <c r="J340" s="212"/>
      <c r="K340" s="165"/>
      <c r="L340" s="91"/>
      <c r="M340" s="92"/>
    </row>
    <row r="341" spans="1:13" s="45" customFormat="1" ht="8.5500000000000007" customHeight="1" x14ac:dyDescent="0.2">
      <c r="A341" s="43"/>
      <c r="B341" s="156" t="s">
        <v>641</v>
      </c>
      <c r="C341" s="156"/>
      <c r="D341" s="156"/>
      <c r="E341" s="156"/>
      <c r="F341" s="157"/>
      <c r="G341" s="166">
        <v>1996</v>
      </c>
      <c r="H341" s="167">
        <v>96</v>
      </c>
      <c r="I341" s="160"/>
      <c r="J341" s="211" t="s">
        <v>1908</v>
      </c>
      <c r="K341" s="164">
        <v>1</v>
      </c>
      <c r="L341" s="91"/>
      <c r="M341" s="92"/>
    </row>
    <row r="342" spans="1:13" s="45" customFormat="1" ht="8.5500000000000007" customHeight="1" x14ac:dyDescent="0.2">
      <c r="A342" s="43"/>
      <c r="B342" s="158"/>
      <c r="C342" s="158"/>
      <c r="D342" s="158"/>
      <c r="E342" s="158"/>
      <c r="F342" s="159"/>
      <c r="G342" s="166"/>
      <c r="H342" s="168"/>
      <c r="I342" s="161"/>
      <c r="J342" s="168"/>
      <c r="K342" s="165"/>
      <c r="L342" s="91"/>
      <c r="M342" s="92"/>
    </row>
    <row r="343" spans="1:13" s="45" customFormat="1" ht="8.5500000000000007" customHeight="1" x14ac:dyDescent="0.2">
      <c r="A343" s="43"/>
      <c r="B343" s="156" t="s">
        <v>150</v>
      </c>
      <c r="C343" s="156"/>
      <c r="D343" s="156"/>
      <c r="E343" s="156"/>
      <c r="F343" s="157"/>
      <c r="G343" s="166">
        <v>2000</v>
      </c>
      <c r="H343" s="167" t="s">
        <v>633</v>
      </c>
      <c r="I343" s="160">
        <v>96</v>
      </c>
      <c r="J343" s="162" t="s">
        <v>1884</v>
      </c>
      <c r="K343" s="164">
        <v>3</v>
      </c>
      <c r="L343" s="91"/>
      <c r="M343" s="92"/>
    </row>
    <row r="344" spans="1:13" s="45" customFormat="1" ht="8.5500000000000007" customHeight="1" x14ac:dyDescent="0.2">
      <c r="A344" s="43"/>
      <c r="B344" s="158"/>
      <c r="C344" s="158"/>
      <c r="D344" s="158"/>
      <c r="E344" s="158"/>
      <c r="F344" s="159"/>
      <c r="G344" s="166"/>
      <c r="H344" s="168"/>
      <c r="I344" s="161"/>
      <c r="J344" s="163"/>
      <c r="K344" s="165"/>
      <c r="L344" s="91"/>
      <c r="M344" s="92"/>
    </row>
    <row r="345" spans="1:13" s="55" customFormat="1" ht="8.5500000000000007" customHeight="1" x14ac:dyDescent="0.2">
      <c r="A345" s="43"/>
      <c r="B345" s="176" t="s">
        <v>949</v>
      </c>
      <c r="C345" s="176"/>
      <c r="D345" s="176"/>
      <c r="E345" s="176"/>
      <c r="F345" s="176"/>
      <c r="G345" s="67"/>
      <c r="H345" s="67"/>
      <c r="I345" s="67"/>
      <c r="J345" s="67"/>
      <c r="K345" s="164"/>
      <c r="L345" s="91"/>
      <c r="M345" s="93"/>
    </row>
    <row r="346" spans="1:13" s="55" customFormat="1" ht="8.5500000000000007" customHeight="1" x14ac:dyDescent="0.2">
      <c r="A346" s="43"/>
      <c r="B346" s="177"/>
      <c r="C346" s="177"/>
      <c r="D346" s="177"/>
      <c r="E346" s="177"/>
      <c r="F346" s="177"/>
      <c r="G346" s="68"/>
      <c r="H346" s="68"/>
      <c r="I346" s="68"/>
      <c r="J346" s="68"/>
      <c r="K346" s="165"/>
      <c r="L346" s="91"/>
      <c r="M346" s="93"/>
    </row>
    <row r="347" spans="1:13" s="45" customFormat="1" ht="8.5500000000000007" customHeight="1" x14ac:dyDescent="0.2">
      <c r="A347" s="43"/>
      <c r="B347" s="156" t="s">
        <v>150</v>
      </c>
      <c r="C347" s="156"/>
      <c r="D347" s="156"/>
      <c r="E347" s="156"/>
      <c r="F347" s="157"/>
      <c r="G347" s="166">
        <v>2003</v>
      </c>
      <c r="H347" s="167">
        <v>95</v>
      </c>
      <c r="I347" s="160">
        <v>95</v>
      </c>
      <c r="J347" s="162" t="s">
        <v>858</v>
      </c>
      <c r="K347" s="164">
        <v>9</v>
      </c>
      <c r="L347" s="91"/>
      <c r="M347" s="92"/>
    </row>
    <row r="348" spans="1:13" s="45" customFormat="1" ht="8.5500000000000007" customHeight="1" x14ac:dyDescent="0.2">
      <c r="A348" s="43"/>
      <c r="B348" s="158"/>
      <c r="C348" s="158"/>
      <c r="D348" s="158"/>
      <c r="E348" s="158"/>
      <c r="F348" s="159"/>
      <c r="G348" s="166"/>
      <c r="H348" s="168"/>
      <c r="I348" s="161"/>
      <c r="J348" s="163"/>
      <c r="K348" s="165"/>
      <c r="L348" s="91"/>
      <c r="M348" s="92"/>
    </row>
    <row r="349" spans="1:13" s="45" customFormat="1" ht="8.5500000000000007" customHeight="1" x14ac:dyDescent="0.2">
      <c r="A349" s="43"/>
      <c r="B349" s="156" t="s">
        <v>641</v>
      </c>
      <c r="C349" s="156"/>
      <c r="D349" s="156"/>
      <c r="E349" s="156"/>
      <c r="F349" s="157"/>
      <c r="G349" s="166">
        <v>2003</v>
      </c>
      <c r="H349" s="167">
        <v>95</v>
      </c>
      <c r="I349" s="160">
        <v>95</v>
      </c>
      <c r="J349" s="162" t="s">
        <v>858</v>
      </c>
      <c r="K349" s="164">
        <v>1</v>
      </c>
      <c r="L349" s="91"/>
      <c r="M349" s="92"/>
    </row>
    <row r="350" spans="1:13" s="45" customFormat="1" ht="8.5500000000000007" customHeight="1" x14ac:dyDescent="0.2">
      <c r="A350" s="43"/>
      <c r="B350" s="158"/>
      <c r="C350" s="158"/>
      <c r="D350" s="158"/>
      <c r="E350" s="158"/>
      <c r="F350" s="159"/>
      <c r="G350" s="166"/>
      <c r="H350" s="168"/>
      <c r="I350" s="161"/>
      <c r="J350" s="163"/>
      <c r="K350" s="165"/>
      <c r="L350" s="91"/>
      <c r="M350" s="92"/>
    </row>
    <row r="351" spans="1:13" s="45" customFormat="1" ht="8.5500000000000007" customHeight="1" x14ac:dyDescent="0.2">
      <c r="A351" s="43"/>
      <c r="B351" s="156" t="s">
        <v>150</v>
      </c>
      <c r="C351" s="156"/>
      <c r="D351" s="156"/>
      <c r="E351" s="156"/>
      <c r="F351" s="157"/>
      <c r="G351" s="166">
        <v>2005</v>
      </c>
      <c r="H351" s="167">
        <v>98</v>
      </c>
      <c r="I351" s="160">
        <v>94</v>
      </c>
      <c r="J351" s="162" t="s">
        <v>1890</v>
      </c>
      <c r="K351" s="164">
        <v>13</v>
      </c>
      <c r="L351" s="91"/>
      <c r="M351" s="92"/>
    </row>
    <row r="352" spans="1:13" s="45" customFormat="1" ht="8.5500000000000007" customHeight="1" x14ac:dyDescent="0.2">
      <c r="A352" s="43"/>
      <c r="B352" s="158"/>
      <c r="C352" s="158"/>
      <c r="D352" s="158"/>
      <c r="E352" s="158"/>
      <c r="F352" s="159"/>
      <c r="G352" s="166"/>
      <c r="H352" s="168"/>
      <c r="I352" s="161"/>
      <c r="J352" s="163"/>
      <c r="K352" s="165"/>
      <c r="L352" s="91"/>
      <c r="M352" s="92"/>
    </row>
    <row r="353" spans="1:13" s="45" customFormat="1" ht="8.5500000000000007" customHeight="1" x14ac:dyDescent="0.2">
      <c r="A353" s="43"/>
      <c r="B353" s="156" t="s">
        <v>642</v>
      </c>
      <c r="C353" s="156"/>
      <c r="D353" s="156"/>
      <c r="E353" s="156"/>
      <c r="F353" s="157"/>
      <c r="G353" s="166">
        <v>2005</v>
      </c>
      <c r="H353" s="167">
        <v>98</v>
      </c>
      <c r="I353" s="160">
        <v>94</v>
      </c>
      <c r="J353" s="162" t="s">
        <v>1890</v>
      </c>
      <c r="K353" s="164">
        <v>1</v>
      </c>
      <c r="L353" s="91"/>
      <c r="M353" s="92"/>
    </row>
    <row r="354" spans="1:13" s="45" customFormat="1" ht="8.5500000000000007" customHeight="1" x14ac:dyDescent="0.2">
      <c r="A354" s="43"/>
      <c r="B354" s="158"/>
      <c r="C354" s="158"/>
      <c r="D354" s="158"/>
      <c r="E354" s="158"/>
      <c r="F354" s="159"/>
      <c r="G354" s="166"/>
      <c r="H354" s="168"/>
      <c r="I354" s="161"/>
      <c r="J354" s="163"/>
      <c r="K354" s="165"/>
      <c r="L354" s="91"/>
      <c r="M354" s="92"/>
    </row>
    <row r="355" spans="1:13" s="45" customFormat="1" ht="8.5500000000000007" customHeight="1" x14ac:dyDescent="0.2">
      <c r="A355" s="43"/>
      <c r="B355" s="156" t="s">
        <v>150</v>
      </c>
      <c r="C355" s="156"/>
      <c r="D355" s="156"/>
      <c r="E355" s="156"/>
      <c r="F355" s="157"/>
      <c r="G355" s="166">
        <v>2006</v>
      </c>
      <c r="H355" s="167" t="s">
        <v>1909</v>
      </c>
      <c r="I355" s="160">
        <v>93</v>
      </c>
      <c r="J355" s="162" t="s">
        <v>1312</v>
      </c>
      <c r="K355" s="164">
        <v>3</v>
      </c>
      <c r="L355" s="91"/>
      <c r="M355" s="92"/>
    </row>
    <row r="356" spans="1:13" s="45" customFormat="1" ht="8.5500000000000007" customHeight="1" x14ac:dyDescent="0.2">
      <c r="A356" s="43"/>
      <c r="B356" s="158"/>
      <c r="C356" s="158"/>
      <c r="D356" s="158"/>
      <c r="E356" s="158"/>
      <c r="F356" s="159"/>
      <c r="G356" s="166"/>
      <c r="H356" s="168"/>
      <c r="I356" s="161"/>
      <c r="J356" s="163"/>
      <c r="K356" s="165"/>
      <c r="L356" s="91"/>
      <c r="M356" s="92"/>
    </row>
    <row r="357" spans="1:13" s="45" customFormat="1" ht="8.5500000000000007" customHeight="1" x14ac:dyDescent="0.2">
      <c r="A357" s="43"/>
      <c r="B357" s="156" t="s">
        <v>150</v>
      </c>
      <c r="C357" s="156"/>
      <c r="D357" s="156"/>
      <c r="E357" s="156"/>
      <c r="F357" s="157"/>
      <c r="G357" s="166">
        <v>2009</v>
      </c>
      <c r="H357" s="167">
        <v>100</v>
      </c>
      <c r="I357" s="160"/>
      <c r="J357" s="211" t="s">
        <v>1548</v>
      </c>
      <c r="K357" s="164">
        <v>4</v>
      </c>
      <c r="L357" s="91"/>
      <c r="M357" s="92"/>
    </row>
    <row r="358" spans="1:13" s="45" customFormat="1" ht="8.5500000000000007" customHeight="1" x14ac:dyDescent="0.2">
      <c r="A358" s="43"/>
      <c r="B358" s="158"/>
      <c r="C358" s="158"/>
      <c r="D358" s="158"/>
      <c r="E358" s="158"/>
      <c r="F358" s="159"/>
      <c r="G358" s="166"/>
      <c r="H358" s="168"/>
      <c r="I358" s="161"/>
      <c r="J358" s="168"/>
      <c r="K358" s="165"/>
      <c r="L358" s="91"/>
      <c r="M358" s="92"/>
    </row>
    <row r="359" spans="1:13" s="45" customFormat="1" ht="8.5500000000000007" customHeight="1" x14ac:dyDescent="0.2">
      <c r="A359" s="43"/>
      <c r="B359" s="156" t="s">
        <v>150</v>
      </c>
      <c r="C359" s="156"/>
      <c r="D359" s="156"/>
      <c r="E359" s="156"/>
      <c r="F359" s="157"/>
      <c r="G359" s="166">
        <v>2010</v>
      </c>
      <c r="H359" s="167" t="s">
        <v>640</v>
      </c>
      <c r="I359" s="160"/>
      <c r="J359" s="211" t="s">
        <v>1910</v>
      </c>
      <c r="K359" s="164">
        <v>3</v>
      </c>
      <c r="L359" s="91"/>
      <c r="M359" s="92"/>
    </row>
    <row r="360" spans="1:13" s="45" customFormat="1" ht="8.5500000000000007" customHeight="1" x14ac:dyDescent="0.2">
      <c r="A360" s="43"/>
      <c r="B360" s="158"/>
      <c r="C360" s="158"/>
      <c r="D360" s="158"/>
      <c r="E360" s="158"/>
      <c r="F360" s="159"/>
      <c r="G360" s="166"/>
      <c r="H360" s="168"/>
      <c r="I360" s="161"/>
      <c r="J360" s="168"/>
      <c r="K360" s="165"/>
      <c r="L360" s="91"/>
      <c r="M360" s="92"/>
    </row>
    <row r="361" spans="1:13" s="45" customFormat="1" ht="8.5500000000000007" customHeight="1" x14ac:dyDescent="0.2">
      <c r="A361" s="43"/>
      <c r="B361" s="156" t="s">
        <v>641</v>
      </c>
      <c r="C361" s="156"/>
      <c r="D361" s="156"/>
      <c r="E361" s="156"/>
      <c r="F361" s="157"/>
      <c r="G361" s="166">
        <v>2019</v>
      </c>
      <c r="H361" s="167">
        <v>97</v>
      </c>
      <c r="I361" s="160"/>
      <c r="J361" s="211" t="s">
        <v>1719</v>
      </c>
      <c r="K361" s="164">
        <v>1</v>
      </c>
      <c r="L361" s="91"/>
      <c r="M361" s="92"/>
    </row>
    <row r="362" spans="1:13" s="45" customFormat="1" ht="8.5500000000000007" customHeight="1" x14ac:dyDescent="0.2">
      <c r="A362" s="43"/>
      <c r="B362" s="158"/>
      <c r="C362" s="158"/>
      <c r="D362" s="158"/>
      <c r="E362" s="158"/>
      <c r="F362" s="159"/>
      <c r="G362" s="166"/>
      <c r="H362" s="168"/>
      <c r="I362" s="161"/>
      <c r="J362" s="168"/>
      <c r="K362" s="165"/>
      <c r="L362" s="91"/>
      <c r="M362" s="92"/>
    </row>
    <row r="363" spans="1:13" s="45" customFormat="1" ht="8.5500000000000007" customHeight="1" x14ac:dyDescent="0.2">
      <c r="A363" s="43"/>
      <c r="B363" s="172" t="s">
        <v>149</v>
      </c>
      <c r="C363" s="172"/>
      <c r="D363" s="172"/>
      <c r="E363" s="172"/>
      <c r="F363" s="173"/>
      <c r="G363" s="166">
        <v>1959</v>
      </c>
      <c r="H363" s="167">
        <v>92</v>
      </c>
      <c r="I363" s="160"/>
      <c r="J363" s="160"/>
      <c r="K363" s="164">
        <v>1</v>
      </c>
      <c r="L363" s="91"/>
      <c r="M363" s="92"/>
    </row>
    <row r="364" spans="1:13" s="45" customFormat="1" ht="8.5500000000000007" customHeight="1" x14ac:dyDescent="0.2">
      <c r="A364" s="43"/>
      <c r="B364" s="174"/>
      <c r="C364" s="174"/>
      <c r="D364" s="174"/>
      <c r="E364" s="174"/>
      <c r="F364" s="175"/>
      <c r="G364" s="166"/>
      <c r="H364" s="168"/>
      <c r="I364" s="161"/>
      <c r="J364" s="161"/>
      <c r="K364" s="165"/>
      <c r="L364" s="91"/>
      <c r="M364" s="92"/>
    </row>
    <row r="365" spans="1:13" s="45" customFormat="1" ht="8.5500000000000007" customHeight="1" x14ac:dyDescent="0.2">
      <c r="A365" s="43"/>
      <c r="B365" s="156" t="s">
        <v>149</v>
      </c>
      <c r="C365" s="156"/>
      <c r="D365" s="156"/>
      <c r="E365" s="156"/>
      <c r="F365" s="157"/>
      <c r="G365" s="166">
        <v>1982</v>
      </c>
      <c r="H365" s="167">
        <v>96</v>
      </c>
      <c r="I365" s="160">
        <v>95</v>
      </c>
      <c r="J365" s="211" t="s">
        <v>1911</v>
      </c>
      <c r="K365" s="164">
        <v>4</v>
      </c>
      <c r="L365" s="91"/>
      <c r="M365" s="92"/>
    </row>
    <row r="366" spans="1:13" s="45" customFormat="1" ht="8.5500000000000007" customHeight="1" x14ac:dyDescent="0.2">
      <c r="A366" s="43"/>
      <c r="B366" s="158"/>
      <c r="C366" s="158"/>
      <c r="D366" s="158"/>
      <c r="E366" s="158"/>
      <c r="F366" s="159"/>
      <c r="G366" s="166"/>
      <c r="H366" s="168"/>
      <c r="I366" s="161"/>
      <c r="J366" s="168"/>
      <c r="K366" s="165"/>
      <c r="L366" s="91"/>
      <c r="M366" s="92"/>
    </row>
    <row r="367" spans="1:13" s="45" customFormat="1" ht="8.5500000000000007" customHeight="1" x14ac:dyDescent="0.2">
      <c r="A367" s="43"/>
      <c r="B367" s="156" t="s">
        <v>643</v>
      </c>
      <c r="C367" s="179"/>
      <c r="D367" s="179"/>
      <c r="E367" s="179"/>
      <c r="F367" s="180"/>
      <c r="G367" s="166">
        <v>1982</v>
      </c>
      <c r="H367" s="167">
        <v>96</v>
      </c>
      <c r="I367" s="160">
        <v>95</v>
      </c>
      <c r="J367" s="211" t="s">
        <v>1911</v>
      </c>
      <c r="K367" s="164">
        <v>1</v>
      </c>
      <c r="L367" s="91"/>
      <c r="M367" s="92"/>
    </row>
    <row r="368" spans="1:13" s="45" customFormat="1" ht="8.5500000000000007" customHeight="1" x14ac:dyDescent="0.2">
      <c r="A368" s="43"/>
      <c r="B368" s="181"/>
      <c r="C368" s="181"/>
      <c r="D368" s="181"/>
      <c r="E368" s="181"/>
      <c r="F368" s="182"/>
      <c r="G368" s="166"/>
      <c r="H368" s="168"/>
      <c r="I368" s="161"/>
      <c r="J368" s="168"/>
      <c r="K368" s="165"/>
      <c r="L368" s="91"/>
      <c r="M368" s="92"/>
    </row>
    <row r="369" spans="1:13" s="45" customFormat="1" ht="8.5500000000000007" customHeight="1" x14ac:dyDescent="0.2">
      <c r="A369" s="43"/>
      <c r="B369" s="156" t="s">
        <v>149</v>
      </c>
      <c r="C369" s="156"/>
      <c r="D369" s="156"/>
      <c r="E369" s="156"/>
      <c r="F369" s="157"/>
      <c r="G369" s="166">
        <v>1986</v>
      </c>
      <c r="H369" s="167">
        <v>92</v>
      </c>
      <c r="I369" s="160">
        <v>92</v>
      </c>
      <c r="J369" s="162" t="s">
        <v>864</v>
      </c>
      <c r="K369" s="164">
        <v>2</v>
      </c>
      <c r="L369" s="91"/>
      <c r="M369" s="92"/>
    </row>
    <row r="370" spans="1:13" s="45" customFormat="1" ht="8.5500000000000007" customHeight="1" x14ac:dyDescent="0.2">
      <c r="A370" s="43"/>
      <c r="B370" s="158"/>
      <c r="C370" s="158"/>
      <c r="D370" s="158"/>
      <c r="E370" s="158"/>
      <c r="F370" s="159"/>
      <c r="G370" s="166"/>
      <c r="H370" s="168"/>
      <c r="I370" s="161"/>
      <c r="J370" s="163"/>
      <c r="K370" s="165"/>
      <c r="L370" s="91"/>
      <c r="M370" s="92"/>
    </row>
    <row r="371" spans="1:13" s="45" customFormat="1" ht="8.5500000000000007" customHeight="1" x14ac:dyDescent="0.2">
      <c r="A371" s="43"/>
      <c r="B371" s="156" t="s">
        <v>149</v>
      </c>
      <c r="C371" s="156"/>
      <c r="D371" s="156"/>
      <c r="E371" s="156"/>
      <c r="F371" s="157"/>
      <c r="G371" s="166">
        <v>1989</v>
      </c>
      <c r="H371" s="167">
        <v>88</v>
      </c>
      <c r="I371" s="160">
        <v>93</v>
      </c>
      <c r="J371" s="162" t="s">
        <v>37</v>
      </c>
      <c r="K371" s="164">
        <v>1</v>
      </c>
      <c r="L371" s="91"/>
      <c r="M371" s="92"/>
    </row>
    <row r="372" spans="1:13" s="45" customFormat="1" ht="8.5500000000000007" customHeight="1" x14ac:dyDescent="0.2">
      <c r="A372" s="43"/>
      <c r="B372" s="158"/>
      <c r="C372" s="158"/>
      <c r="D372" s="158"/>
      <c r="E372" s="158"/>
      <c r="F372" s="159"/>
      <c r="G372" s="166"/>
      <c r="H372" s="168"/>
      <c r="I372" s="161"/>
      <c r="J372" s="163"/>
      <c r="K372" s="165"/>
      <c r="L372" s="91"/>
      <c r="M372" s="92"/>
    </row>
    <row r="373" spans="1:13" s="45" customFormat="1" ht="8.5500000000000007" customHeight="1" x14ac:dyDescent="0.2">
      <c r="A373" s="43"/>
      <c r="B373" s="156" t="s">
        <v>149</v>
      </c>
      <c r="C373" s="156"/>
      <c r="D373" s="156"/>
      <c r="E373" s="156"/>
      <c r="F373" s="157"/>
      <c r="G373" s="166">
        <v>1990</v>
      </c>
      <c r="H373" s="167">
        <v>94</v>
      </c>
      <c r="I373" s="160">
        <v>89</v>
      </c>
      <c r="J373" s="162" t="s">
        <v>38</v>
      </c>
      <c r="K373" s="164">
        <v>2</v>
      </c>
      <c r="L373" s="91"/>
      <c r="M373" s="92"/>
    </row>
    <row r="374" spans="1:13" s="45" customFormat="1" ht="8.5500000000000007" customHeight="1" x14ac:dyDescent="0.2">
      <c r="A374" s="43"/>
      <c r="B374" s="158"/>
      <c r="C374" s="158"/>
      <c r="D374" s="158"/>
      <c r="E374" s="158"/>
      <c r="F374" s="159"/>
      <c r="G374" s="166"/>
      <c r="H374" s="168"/>
      <c r="I374" s="161"/>
      <c r="J374" s="163"/>
      <c r="K374" s="165"/>
      <c r="L374" s="91"/>
      <c r="M374" s="92"/>
    </row>
    <row r="375" spans="1:13" s="45" customFormat="1" ht="8.5500000000000007" customHeight="1" x14ac:dyDescent="0.2">
      <c r="A375" s="43"/>
      <c r="B375" s="156" t="s">
        <v>149</v>
      </c>
      <c r="C375" s="156"/>
      <c r="D375" s="156"/>
      <c r="E375" s="156"/>
      <c r="F375" s="157"/>
      <c r="G375" s="166">
        <v>1995</v>
      </c>
      <c r="H375" s="167">
        <v>95</v>
      </c>
      <c r="I375" s="160">
        <v>94</v>
      </c>
      <c r="J375" s="169" t="s">
        <v>140</v>
      </c>
      <c r="K375" s="164">
        <v>3</v>
      </c>
      <c r="L375" s="91"/>
      <c r="M375" s="92"/>
    </row>
    <row r="376" spans="1:13" s="45" customFormat="1" ht="8.5500000000000007" customHeight="1" x14ac:dyDescent="0.2">
      <c r="A376" s="43"/>
      <c r="B376" s="158"/>
      <c r="C376" s="158"/>
      <c r="D376" s="158"/>
      <c r="E376" s="158"/>
      <c r="F376" s="159"/>
      <c r="G376" s="166"/>
      <c r="H376" s="168"/>
      <c r="I376" s="161"/>
      <c r="J376" s="168"/>
      <c r="K376" s="165"/>
      <c r="L376" s="91"/>
      <c r="M376" s="92"/>
    </row>
    <row r="377" spans="1:13" s="45" customFormat="1" ht="8.5500000000000007" customHeight="1" x14ac:dyDescent="0.2">
      <c r="A377" s="43"/>
      <c r="B377" s="156" t="s">
        <v>172</v>
      </c>
      <c r="C377" s="156"/>
      <c r="D377" s="156"/>
      <c r="E377" s="156"/>
      <c r="F377" s="157"/>
      <c r="G377" s="166">
        <v>1996</v>
      </c>
      <c r="H377" s="167">
        <v>94</v>
      </c>
      <c r="I377" s="160">
        <v>90</v>
      </c>
      <c r="J377" s="169" t="s">
        <v>1309</v>
      </c>
      <c r="K377" s="164">
        <v>2</v>
      </c>
      <c r="L377" s="91"/>
      <c r="M377" s="92"/>
    </row>
    <row r="378" spans="1:13" s="45" customFormat="1" ht="8.5500000000000007" customHeight="1" x14ac:dyDescent="0.2">
      <c r="A378" s="43"/>
      <c r="B378" s="158"/>
      <c r="C378" s="158"/>
      <c r="D378" s="158"/>
      <c r="E378" s="158"/>
      <c r="F378" s="159"/>
      <c r="G378" s="166"/>
      <c r="H378" s="168"/>
      <c r="I378" s="161"/>
      <c r="J378" s="168"/>
      <c r="K378" s="165"/>
      <c r="L378" s="91"/>
      <c r="M378" s="92"/>
    </row>
    <row r="379" spans="1:13" s="45" customFormat="1" ht="8.5500000000000007" customHeight="1" x14ac:dyDescent="0.2">
      <c r="A379" s="43"/>
      <c r="B379" s="156" t="s">
        <v>172</v>
      </c>
      <c r="C379" s="156"/>
      <c r="D379" s="156"/>
      <c r="E379" s="156"/>
      <c r="F379" s="157"/>
      <c r="G379" s="166">
        <v>2000</v>
      </c>
      <c r="H379" s="167">
        <v>97</v>
      </c>
      <c r="I379" s="160"/>
      <c r="J379" s="169" t="s">
        <v>264</v>
      </c>
      <c r="K379" s="164">
        <v>3</v>
      </c>
      <c r="L379" s="91"/>
      <c r="M379" s="92"/>
    </row>
    <row r="380" spans="1:13" s="45" customFormat="1" ht="8.5500000000000007" customHeight="1" x14ac:dyDescent="0.2">
      <c r="A380" s="43"/>
      <c r="B380" s="158"/>
      <c r="C380" s="158"/>
      <c r="D380" s="158"/>
      <c r="E380" s="158"/>
      <c r="F380" s="159"/>
      <c r="G380" s="166"/>
      <c r="H380" s="168"/>
      <c r="I380" s="161"/>
      <c r="J380" s="168"/>
      <c r="K380" s="165"/>
      <c r="L380" s="91"/>
      <c r="M380" s="92"/>
    </row>
    <row r="381" spans="1:13" s="45" customFormat="1" ht="8.5500000000000007" customHeight="1" x14ac:dyDescent="0.2">
      <c r="A381" s="43"/>
      <c r="B381" s="156" t="s">
        <v>172</v>
      </c>
      <c r="C381" s="156"/>
      <c r="D381" s="156"/>
      <c r="E381" s="156"/>
      <c r="F381" s="157"/>
      <c r="G381" s="166">
        <v>2001</v>
      </c>
      <c r="H381" s="167">
        <v>94</v>
      </c>
      <c r="I381" s="160"/>
      <c r="J381" s="169" t="s">
        <v>601</v>
      </c>
      <c r="K381" s="164">
        <v>1</v>
      </c>
      <c r="L381" s="91"/>
      <c r="M381" s="92"/>
    </row>
    <row r="382" spans="1:13" s="45" customFormat="1" ht="8.5500000000000007" customHeight="1" x14ac:dyDescent="0.2">
      <c r="A382" s="43"/>
      <c r="B382" s="158"/>
      <c r="C382" s="158"/>
      <c r="D382" s="158"/>
      <c r="E382" s="158"/>
      <c r="F382" s="159"/>
      <c r="G382" s="166"/>
      <c r="H382" s="168"/>
      <c r="I382" s="161"/>
      <c r="J382" s="168"/>
      <c r="K382" s="165"/>
      <c r="L382" s="91"/>
      <c r="M382" s="92"/>
    </row>
    <row r="383" spans="1:13" s="45" customFormat="1" ht="8.5500000000000007" customHeight="1" x14ac:dyDescent="0.2">
      <c r="A383" s="43"/>
      <c r="B383" s="156" t="s">
        <v>643</v>
      </c>
      <c r="C383" s="179"/>
      <c r="D383" s="179"/>
      <c r="E383" s="179"/>
      <c r="F383" s="180"/>
      <c r="G383" s="166">
        <v>2003</v>
      </c>
      <c r="H383" s="167">
        <v>93</v>
      </c>
      <c r="I383" s="160">
        <v>97</v>
      </c>
      <c r="J383" s="169" t="s">
        <v>582</v>
      </c>
      <c r="K383" s="164">
        <v>1</v>
      </c>
      <c r="L383" s="91"/>
      <c r="M383" s="92"/>
    </row>
    <row r="384" spans="1:13" s="45" customFormat="1" ht="8.5500000000000007" customHeight="1" x14ac:dyDescent="0.2">
      <c r="A384" s="43"/>
      <c r="B384" s="181"/>
      <c r="C384" s="181"/>
      <c r="D384" s="181"/>
      <c r="E384" s="181"/>
      <c r="F384" s="182"/>
      <c r="G384" s="166"/>
      <c r="H384" s="168"/>
      <c r="I384" s="161"/>
      <c r="J384" s="168"/>
      <c r="K384" s="165"/>
      <c r="L384" s="91"/>
      <c r="M384" s="92"/>
    </row>
    <row r="385" spans="1:13" s="45" customFormat="1" ht="8.5500000000000007" customHeight="1" x14ac:dyDescent="0.2">
      <c r="A385" s="43"/>
      <c r="B385" s="156" t="s">
        <v>172</v>
      </c>
      <c r="C385" s="156"/>
      <c r="D385" s="156"/>
      <c r="E385" s="156"/>
      <c r="F385" s="157"/>
      <c r="G385" s="166">
        <v>2003</v>
      </c>
      <c r="H385" s="167">
        <v>93</v>
      </c>
      <c r="I385" s="160">
        <v>97</v>
      </c>
      <c r="J385" s="169" t="s">
        <v>582</v>
      </c>
      <c r="K385" s="164">
        <v>5</v>
      </c>
      <c r="L385" s="91"/>
      <c r="M385" s="92"/>
    </row>
    <row r="386" spans="1:13" s="45" customFormat="1" ht="8.5500000000000007" customHeight="1" x14ac:dyDescent="0.2">
      <c r="A386" s="43"/>
      <c r="B386" s="158"/>
      <c r="C386" s="158"/>
      <c r="D386" s="158"/>
      <c r="E386" s="158"/>
      <c r="F386" s="159"/>
      <c r="G386" s="166"/>
      <c r="H386" s="168"/>
      <c r="I386" s="161"/>
      <c r="J386" s="168"/>
      <c r="K386" s="165"/>
      <c r="L386" s="91"/>
      <c r="M386" s="92"/>
    </row>
    <row r="387" spans="1:13" s="45" customFormat="1" ht="8.5500000000000007" customHeight="1" x14ac:dyDescent="0.2">
      <c r="A387" s="43"/>
      <c r="B387" s="156" t="s">
        <v>149</v>
      </c>
      <c r="C387" s="156"/>
      <c r="D387" s="156"/>
      <c r="E387" s="156"/>
      <c r="F387" s="157"/>
      <c r="G387" s="166">
        <v>2005</v>
      </c>
      <c r="H387" s="167">
        <v>98</v>
      </c>
      <c r="I387" s="160">
        <v>98</v>
      </c>
      <c r="J387" s="162" t="s">
        <v>258</v>
      </c>
      <c r="K387" s="164">
        <v>8</v>
      </c>
      <c r="L387" s="91"/>
      <c r="M387" s="92"/>
    </row>
    <row r="388" spans="1:13" s="45" customFormat="1" ht="8.5500000000000007" customHeight="1" x14ac:dyDescent="0.2">
      <c r="A388" s="43"/>
      <c r="B388" s="158"/>
      <c r="C388" s="158"/>
      <c r="D388" s="158"/>
      <c r="E388" s="158"/>
      <c r="F388" s="159"/>
      <c r="G388" s="166"/>
      <c r="H388" s="168"/>
      <c r="I388" s="161"/>
      <c r="J388" s="163"/>
      <c r="K388" s="165"/>
      <c r="L388" s="91"/>
      <c r="M388" s="92"/>
    </row>
    <row r="389" spans="1:13" s="45" customFormat="1" ht="8.5500000000000007" customHeight="1" x14ac:dyDescent="0.2">
      <c r="A389" s="43"/>
      <c r="B389" s="156" t="s">
        <v>149</v>
      </c>
      <c r="C389" s="156"/>
      <c r="D389" s="156"/>
      <c r="E389" s="156"/>
      <c r="F389" s="157"/>
      <c r="G389" s="166">
        <v>2006</v>
      </c>
      <c r="H389" s="167">
        <v>94</v>
      </c>
      <c r="I389" s="160">
        <v>93</v>
      </c>
      <c r="J389" s="162" t="s">
        <v>264</v>
      </c>
      <c r="K389" s="164">
        <v>2</v>
      </c>
      <c r="L389" s="91"/>
      <c r="M389" s="92"/>
    </row>
    <row r="390" spans="1:13" s="45" customFormat="1" ht="8.5500000000000007" customHeight="1" x14ac:dyDescent="0.2">
      <c r="A390" s="43"/>
      <c r="B390" s="158"/>
      <c r="C390" s="158"/>
      <c r="D390" s="158"/>
      <c r="E390" s="158"/>
      <c r="F390" s="159"/>
      <c r="G390" s="166"/>
      <c r="H390" s="168"/>
      <c r="I390" s="161"/>
      <c r="J390" s="163"/>
      <c r="K390" s="165"/>
      <c r="L390" s="91"/>
      <c r="M390" s="92"/>
    </row>
    <row r="391" spans="1:13" s="45" customFormat="1" ht="8.5500000000000007" customHeight="1" x14ac:dyDescent="0.2">
      <c r="A391" s="43"/>
      <c r="B391" s="156" t="s">
        <v>149</v>
      </c>
      <c r="C391" s="156"/>
      <c r="D391" s="156"/>
      <c r="E391" s="156"/>
      <c r="F391" s="157"/>
      <c r="G391" s="166">
        <v>2009</v>
      </c>
      <c r="H391" s="167">
        <v>100</v>
      </c>
      <c r="I391" s="160">
        <v>97</v>
      </c>
      <c r="J391" s="162" t="s">
        <v>1912</v>
      </c>
      <c r="K391" s="164">
        <v>8</v>
      </c>
      <c r="L391" s="91"/>
      <c r="M391" s="92"/>
    </row>
    <row r="392" spans="1:13" s="45" customFormat="1" ht="8.5500000000000007" customHeight="1" x14ac:dyDescent="0.2">
      <c r="A392" s="43"/>
      <c r="B392" s="158"/>
      <c r="C392" s="158"/>
      <c r="D392" s="158"/>
      <c r="E392" s="158"/>
      <c r="F392" s="159"/>
      <c r="G392" s="166"/>
      <c r="H392" s="168"/>
      <c r="I392" s="161"/>
      <c r="J392" s="163"/>
      <c r="K392" s="165"/>
      <c r="L392" s="91"/>
      <c r="M392" s="92"/>
    </row>
    <row r="393" spans="1:13" s="45" customFormat="1" ht="8.5500000000000007" customHeight="1" x14ac:dyDescent="0.2">
      <c r="A393" s="43"/>
      <c r="B393" s="156" t="s">
        <v>149</v>
      </c>
      <c r="C393" s="156"/>
      <c r="D393" s="156"/>
      <c r="E393" s="156"/>
      <c r="F393" s="157"/>
      <c r="G393" s="166">
        <v>2016</v>
      </c>
      <c r="H393" s="167">
        <v>100</v>
      </c>
      <c r="I393" s="160"/>
      <c r="J393" s="162" t="s">
        <v>1549</v>
      </c>
      <c r="K393" s="164">
        <v>4</v>
      </c>
      <c r="L393" s="91"/>
      <c r="M393" s="92"/>
    </row>
    <row r="394" spans="1:13" s="45" customFormat="1" ht="8.5500000000000007" customHeight="1" x14ac:dyDescent="0.2">
      <c r="A394" s="43"/>
      <c r="B394" s="158"/>
      <c r="C394" s="158"/>
      <c r="D394" s="158"/>
      <c r="E394" s="158"/>
      <c r="F394" s="159"/>
      <c r="G394" s="166"/>
      <c r="H394" s="168"/>
      <c r="I394" s="161"/>
      <c r="J394" s="163"/>
      <c r="K394" s="165"/>
      <c r="L394" s="91"/>
      <c r="M394" s="92"/>
    </row>
    <row r="395" spans="1:13" s="45" customFormat="1" ht="8.5500000000000007" customHeight="1" x14ac:dyDescent="0.2">
      <c r="A395" s="43"/>
      <c r="B395" s="172" t="s">
        <v>1365</v>
      </c>
      <c r="C395" s="172"/>
      <c r="D395" s="172"/>
      <c r="E395" s="172"/>
      <c r="F395" s="173"/>
      <c r="G395" s="166">
        <v>1982</v>
      </c>
      <c r="H395" s="167">
        <v>94</v>
      </c>
      <c r="I395" s="160">
        <v>82</v>
      </c>
      <c r="J395" s="162" t="s">
        <v>52</v>
      </c>
      <c r="K395" s="164">
        <v>3</v>
      </c>
      <c r="L395" s="91"/>
      <c r="M395" s="92"/>
    </row>
    <row r="396" spans="1:13" s="45" customFormat="1" ht="8.5500000000000007" customHeight="1" x14ac:dyDescent="0.2">
      <c r="A396" s="43"/>
      <c r="B396" s="174"/>
      <c r="C396" s="174"/>
      <c r="D396" s="174"/>
      <c r="E396" s="174"/>
      <c r="F396" s="175"/>
      <c r="G396" s="166"/>
      <c r="H396" s="168"/>
      <c r="I396" s="161"/>
      <c r="J396" s="163"/>
      <c r="K396" s="165"/>
      <c r="L396" s="91"/>
      <c r="M396" s="92"/>
    </row>
    <row r="397" spans="1:13" s="55" customFormat="1" ht="8.5500000000000007" customHeight="1" x14ac:dyDescent="0.2">
      <c r="A397" s="43"/>
      <c r="B397" s="156" t="s">
        <v>1365</v>
      </c>
      <c r="C397" s="156"/>
      <c r="D397" s="156"/>
      <c r="E397" s="156"/>
      <c r="F397" s="157"/>
      <c r="G397" s="166">
        <v>1989</v>
      </c>
      <c r="H397" s="167">
        <v>92</v>
      </c>
      <c r="I397" s="160"/>
      <c r="J397" s="162" t="s">
        <v>216</v>
      </c>
      <c r="K397" s="164">
        <v>2</v>
      </c>
      <c r="L397" s="91"/>
      <c r="M397" s="93"/>
    </row>
    <row r="398" spans="1:13" s="55" customFormat="1" ht="8.5500000000000007" customHeight="1" x14ac:dyDescent="0.2">
      <c r="A398" s="43"/>
      <c r="B398" s="158"/>
      <c r="C398" s="158"/>
      <c r="D398" s="158"/>
      <c r="E398" s="158"/>
      <c r="F398" s="159"/>
      <c r="G398" s="166"/>
      <c r="H398" s="168"/>
      <c r="I398" s="161"/>
      <c r="J398" s="163"/>
      <c r="K398" s="165"/>
      <c r="L398" s="91"/>
      <c r="M398" s="93"/>
    </row>
    <row r="399" spans="1:13" s="45" customFormat="1" ht="8.5500000000000007" customHeight="1" x14ac:dyDescent="0.2">
      <c r="A399" s="43"/>
      <c r="B399" s="156" t="s">
        <v>1365</v>
      </c>
      <c r="C399" s="156"/>
      <c r="D399" s="156"/>
      <c r="E399" s="156"/>
      <c r="F399" s="157"/>
      <c r="G399" s="166">
        <v>2003</v>
      </c>
      <c r="H399" s="167">
        <v>93</v>
      </c>
      <c r="I399" s="160">
        <v>95</v>
      </c>
      <c r="J399" s="169" t="s">
        <v>95</v>
      </c>
      <c r="K399" s="164">
        <v>3</v>
      </c>
      <c r="L399" s="91"/>
      <c r="M399" s="92"/>
    </row>
    <row r="400" spans="1:13" s="45" customFormat="1" ht="8.5500000000000007" customHeight="1" x14ac:dyDescent="0.2">
      <c r="A400" s="43"/>
      <c r="B400" s="158"/>
      <c r="C400" s="158"/>
      <c r="D400" s="158"/>
      <c r="E400" s="158"/>
      <c r="F400" s="159"/>
      <c r="G400" s="166"/>
      <c r="H400" s="168"/>
      <c r="I400" s="161"/>
      <c r="J400" s="168"/>
      <c r="K400" s="165"/>
      <c r="L400" s="91"/>
      <c r="M400" s="92"/>
    </row>
    <row r="401" spans="1:13" s="55" customFormat="1" ht="8.5500000000000007" customHeight="1" x14ac:dyDescent="0.2">
      <c r="A401" s="43"/>
      <c r="B401" s="176" t="s">
        <v>949</v>
      </c>
      <c r="C401" s="176"/>
      <c r="D401" s="176"/>
      <c r="E401" s="176"/>
      <c r="F401" s="176"/>
      <c r="G401" s="67"/>
      <c r="H401" s="67"/>
      <c r="I401" s="67"/>
      <c r="J401" s="67"/>
      <c r="K401" s="164"/>
      <c r="L401" s="91"/>
      <c r="M401" s="93"/>
    </row>
    <row r="402" spans="1:13" s="55" customFormat="1" ht="8.5500000000000007" customHeight="1" x14ac:dyDescent="0.2">
      <c r="A402" s="43"/>
      <c r="B402" s="177"/>
      <c r="C402" s="177"/>
      <c r="D402" s="177"/>
      <c r="E402" s="177"/>
      <c r="F402" s="177"/>
      <c r="G402" s="68"/>
      <c r="H402" s="68"/>
      <c r="I402" s="68"/>
      <c r="J402" s="68"/>
      <c r="K402" s="165"/>
      <c r="L402" s="91"/>
      <c r="M402" s="93"/>
    </row>
    <row r="403" spans="1:13" s="45" customFormat="1" ht="8.5500000000000007" customHeight="1" x14ac:dyDescent="0.2">
      <c r="A403" s="43"/>
      <c r="B403" s="156" t="s">
        <v>1365</v>
      </c>
      <c r="C403" s="156"/>
      <c r="D403" s="156"/>
      <c r="E403" s="156"/>
      <c r="F403" s="157"/>
      <c r="G403" s="166">
        <v>2006</v>
      </c>
      <c r="H403" s="167">
        <v>93</v>
      </c>
      <c r="I403" s="160">
        <v>92</v>
      </c>
      <c r="J403" s="162" t="s">
        <v>1595</v>
      </c>
      <c r="K403" s="164">
        <v>3</v>
      </c>
      <c r="L403" s="91"/>
      <c r="M403" s="92"/>
    </row>
    <row r="404" spans="1:13" s="45" customFormat="1" ht="8.5500000000000007" customHeight="1" x14ac:dyDescent="0.2">
      <c r="A404" s="43"/>
      <c r="B404" s="158"/>
      <c r="C404" s="158"/>
      <c r="D404" s="158"/>
      <c r="E404" s="158"/>
      <c r="F404" s="159"/>
      <c r="G404" s="166"/>
      <c r="H404" s="168"/>
      <c r="I404" s="161"/>
      <c r="J404" s="163"/>
      <c r="K404" s="165"/>
      <c r="L404" s="91"/>
      <c r="M404" s="92"/>
    </row>
    <row r="405" spans="1:13" s="45" customFormat="1" ht="8.5500000000000007" customHeight="1" x14ac:dyDescent="0.2">
      <c r="A405" s="43"/>
      <c r="B405" s="170" t="s">
        <v>950</v>
      </c>
      <c r="C405" s="170"/>
      <c r="D405" s="170"/>
      <c r="E405" s="170"/>
      <c r="F405" s="170"/>
      <c r="G405" s="47"/>
      <c r="H405" s="47"/>
      <c r="I405" s="48"/>
      <c r="J405" s="48"/>
      <c r="K405" s="224">
        <v>115</v>
      </c>
      <c r="L405" s="230">
        <f>+K405</f>
        <v>115</v>
      </c>
      <c r="M405" s="92"/>
    </row>
    <row r="406" spans="1:13" s="45" customFormat="1" ht="8.5500000000000007" customHeight="1" x14ac:dyDescent="0.2">
      <c r="A406" s="43"/>
      <c r="B406" s="171"/>
      <c r="C406" s="171"/>
      <c r="D406" s="171"/>
      <c r="E406" s="171"/>
      <c r="F406" s="171"/>
      <c r="G406" s="54"/>
      <c r="H406" s="54"/>
      <c r="I406" s="49"/>
      <c r="J406" s="49"/>
      <c r="K406" s="225"/>
      <c r="L406" s="231"/>
      <c r="M406" s="92"/>
    </row>
    <row r="407" spans="1:13" s="45" customFormat="1" ht="8.5500000000000007" customHeight="1" x14ac:dyDescent="0.2">
      <c r="A407" s="43"/>
      <c r="B407" s="170" t="s">
        <v>951</v>
      </c>
      <c r="C407" s="170"/>
      <c r="D407" s="170"/>
      <c r="E407" s="170"/>
      <c r="F407" s="170"/>
      <c r="G407" s="178"/>
      <c r="H407" s="47"/>
      <c r="I407" s="48"/>
      <c r="J407" s="48"/>
      <c r="K407" s="222"/>
      <c r="L407" s="91"/>
      <c r="M407" s="92"/>
    </row>
    <row r="408" spans="1:13" s="45" customFormat="1" ht="8.5500000000000007" customHeight="1" x14ac:dyDescent="0.2">
      <c r="A408" s="43"/>
      <c r="B408" s="171"/>
      <c r="C408" s="171"/>
      <c r="D408" s="171"/>
      <c r="E408" s="171"/>
      <c r="F408" s="171"/>
      <c r="G408" s="178"/>
      <c r="H408" s="54"/>
      <c r="I408" s="49"/>
      <c r="J408" s="49"/>
      <c r="K408" s="165"/>
      <c r="L408" s="91"/>
      <c r="M408" s="92"/>
    </row>
    <row r="409" spans="1:13" s="45" customFormat="1" ht="8.5500000000000007" customHeight="1" x14ac:dyDescent="0.2">
      <c r="A409" s="43"/>
      <c r="B409" s="172" t="s">
        <v>174</v>
      </c>
      <c r="C409" s="172"/>
      <c r="D409" s="172"/>
      <c r="E409" s="172"/>
      <c r="F409" s="173"/>
      <c r="G409" s="166">
        <v>1955</v>
      </c>
      <c r="H409" s="167"/>
      <c r="I409" s="160"/>
      <c r="J409" s="162"/>
      <c r="K409" s="164">
        <v>2</v>
      </c>
      <c r="L409" s="91"/>
      <c r="M409" s="92"/>
    </row>
    <row r="410" spans="1:13" s="45" customFormat="1" ht="8.5500000000000007" customHeight="1" x14ac:dyDescent="0.2">
      <c r="A410" s="43"/>
      <c r="B410" s="174"/>
      <c r="C410" s="174"/>
      <c r="D410" s="174"/>
      <c r="E410" s="174"/>
      <c r="F410" s="175"/>
      <c r="G410" s="166"/>
      <c r="H410" s="168"/>
      <c r="I410" s="161"/>
      <c r="J410" s="163"/>
      <c r="K410" s="165"/>
      <c r="L410" s="91"/>
      <c r="M410" s="92"/>
    </row>
    <row r="411" spans="1:13" s="45" customFormat="1" ht="8.5500000000000007" customHeight="1" x14ac:dyDescent="0.2">
      <c r="A411" s="43"/>
      <c r="B411" s="156" t="s">
        <v>174</v>
      </c>
      <c r="C411" s="156"/>
      <c r="D411" s="156"/>
      <c r="E411" s="156"/>
      <c r="F411" s="157"/>
      <c r="G411" s="166">
        <v>1982</v>
      </c>
      <c r="H411" s="167">
        <v>97</v>
      </c>
      <c r="I411" s="160">
        <v>95</v>
      </c>
      <c r="J411" s="162" t="s">
        <v>52</v>
      </c>
      <c r="K411" s="164">
        <v>3</v>
      </c>
      <c r="L411" s="91"/>
      <c r="M411" s="92"/>
    </row>
    <row r="412" spans="1:13" s="45" customFormat="1" ht="8.5500000000000007" customHeight="1" x14ac:dyDescent="0.2">
      <c r="A412" s="43"/>
      <c r="B412" s="158"/>
      <c r="C412" s="158"/>
      <c r="D412" s="158"/>
      <c r="E412" s="158"/>
      <c r="F412" s="159"/>
      <c r="G412" s="166"/>
      <c r="H412" s="168"/>
      <c r="I412" s="161"/>
      <c r="J412" s="163"/>
      <c r="K412" s="165"/>
      <c r="L412" s="91"/>
      <c r="M412" s="92"/>
    </row>
    <row r="413" spans="1:13" s="45" customFormat="1" ht="8.5500000000000007" customHeight="1" x14ac:dyDescent="0.2">
      <c r="A413" s="43"/>
      <c r="B413" s="156" t="s">
        <v>174</v>
      </c>
      <c r="C413" s="156"/>
      <c r="D413" s="156"/>
      <c r="E413" s="156"/>
      <c r="F413" s="157"/>
      <c r="G413" s="166">
        <v>1985</v>
      </c>
      <c r="H413" s="167">
        <v>96</v>
      </c>
      <c r="I413" s="160">
        <v>97</v>
      </c>
      <c r="J413" s="162" t="s">
        <v>248</v>
      </c>
      <c r="K413" s="164">
        <v>1</v>
      </c>
      <c r="L413" s="91"/>
      <c r="M413" s="92"/>
    </row>
    <row r="414" spans="1:13" s="45" customFormat="1" ht="8.5500000000000007" customHeight="1" x14ac:dyDescent="0.2">
      <c r="A414" s="43"/>
      <c r="B414" s="158"/>
      <c r="C414" s="158"/>
      <c r="D414" s="158"/>
      <c r="E414" s="158"/>
      <c r="F414" s="159"/>
      <c r="G414" s="166"/>
      <c r="H414" s="168"/>
      <c r="I414" s="161"/>
      <c r="J414" s="163"/>
      <c r="K414" s="165"/>
      <c r="L414" s="91"/>
      <c r="M414" s="92"/>
    </row>
    <row r="415" spans="1:13" s="45" customFormat="1" ht="8.5500000000000007" customHeight="1" x14ac:dyDescent="0.2">
      <c r="A415" s="43"/>
      <c r="B415" s="156" t="s">
        <v>174</v>
      </c>
      <c r="C415" s="156"/>
      <c r="D415" s="156"/>
      <c r="E415" s="156"/>
      <c r="F415" s="157"/>
      <c r="G415" s="166">
        <v>1986</v>
      </c>
      <c r="H415" s="167">
        <v>98</v>
      </c>
      <c r="I415" s="160">
        <v>95</v>
      </c>
      <c r="J415" s="162" t="s">
        <v>1913</v>
      </c>
      <c r="K415" s="164">
        <v>5</v>
      </c>
      <c r="L415" s="91"/>
      <c r="M415" s="92"/>
    </row>
    <row r="416" spans="1:13" s="45" customFormat="1" ht="8.5500000000000007" customHeight="1" x14ac:dyDescent="0.2">
      <c r="A416" s="43"/>
      <c r="B416" s="158"/>
      <c r="C416" s="158"/>
      <c r="D416" s="158"/>
      <c r="E416" s="158"/>
      <c r="F416" s="159"/>
      <c r="G416" s="166"/>
      <c r="H416" s="168"/>
      <c r="I416" s="161"/>
      <c r="J416" s="163"/>
      <c r="K416" s="165"/>
      <c r="L416" s="91"/>
      <c r="M416" s="92"/>
    </row>
    <row r="417" spans="1:13" s="45" customFormat="1" ht="8.5500000000000007" customHeight="1" x14ac:dyDescent="0.2">
      <c r="A417" s="43"/>
      <c r="B417" s="156" t="s">
        <v>174</v>
      </c>
      <c r="C417" s="156"/>
      <c r="D417" s="156"/>
      <c r="E417" s="156"/>
      <c r="F417" s="157"/>
      <c r="G417" s="166">
        <v>1990</v>
      </c>
      <c r="H417" s="167">
        <v>96</v>
      </c>
      <c r="I417" s="160">
        <v>93</v>
      </c>
      <c r="J417" s="162" t="s">
        <v>344</v>
      </c>
      <c r="K417" s="164">
        <v>5</v>
      </c>
      <c r="L417" s="91"/>
      <c r="M417" s="92"/>
    </row>
    <row r="418" spans="1:13" s="45" customFormat="1" ht="8.5500000000000007" customHeight="1" x14ac:dyDescent="0.2">
      <c r="A418" s="43"/>
      <c r="B418" s="158"/>
      <c r="C418" s="158"/>
      <c r="D418" s="158"/>
      <c r="E418" s="158"/>
      <c r="F418" s="159"/>
      <c r="G418" s="166"/>
      <c r="H418" s="168"/>
      <c r="I418" s="161"/>
      <c r="J418" s="163"/>
      <c r="K418" s="165"/>
      <c r="L418" s="91"/>
      <c r="M418" s="92"/>
    </row>
    <row r="419" spans="1:13" s="45" customFormat="1" ht="8.5500000000000007" customHeight="1" x14ac:dyDescent="0.2">
      <c r="A419" s="43"/>
      <c r="B419" s="156" t="s">
        <v>752</v>
      </c>
      <c r="C419" s="156"/>
      <c r="D419" s="156"/>
      <c r="E419" s="156"/>
      <c r="F419" s="157"/>
      <c r="G419" s="166">
        <v>1995</v>
      </c>
      <c r="H419" s="167">
        <v>95</v>
      </c>
      <c r="I419" s="160">
        <v>95</v>
      </c>
      <c r="J419" s="162" t="s">
        <v>1914</v>
      </c>
      <c r="K419" s="164">
        <v>1</v>
      </c>
      <c r="L419" s="91"/>
      <c r="M419" s="92"/>
    </row>
    <row r="420" spans="1:13" s="45" customFormat="1" ht="8.5500000000000007" customHeight="1" x14ac:dyDescent="0.2">
      <c r="A420" s="43"/>
      <c r="B420" s="158"/>
      <c r="C420" s="158"/>
      <c r="D420" s="158"/>
      <c r="E420" s="158"/>
      <c r="F420" s="159"/>
      <c r="G420" s="166"/>
      <c r="H420" s="168"/>
      <c r="I420" s="161"/>
      <c r="J420" s="163"/>
      <c r="K420" s="165"/>
      <c r="L420" s="91"/>
      <c r="M420" s="92"/>
    </row>
    <row r="421" spans="1:13" s="45" customFormat="1" ht="8.5500000000000007" customHeight="1" x14ac:dyDescent="0.2">
      <c r="A421" s="43"/>
      <c r="B421" s="156" t="s">
        <v>645</v>
      </c>
      <c r="C421" s="156"/>
      <c r="D421" s="156"/>
      <c r="E421" s="156"/>
      <c r="F421" s="157"/>
      <c r="G421" s="166">
        <v>1995</v>
      </c>
      <c r="H421" s="167">
        <v>95</v>
      </c>
      <c r="I421" s="160">
        <v>95</v>
      </c>
      <c r="J421" s="162" t="s">
        <v>1914</v>
      </c>
      <c r="K421" s="164">
        <v>1</v>
      </c>
      <c r="L421" s="91"/>
      <c r="M421" s="92"/>
    </row>
    <row r="422" spans="1:13" s="45" customFormat="1" ht="8.5500000000000007" customHeight="1" x14ac:dyDescent="0.2">
      <c r="A422" s="43"/>
      <c r="B422" s="158"/>
      <c r="C422" s="158"/>
      <c r="D422" s="158"/>
      <c r="E422" s="158"/>
      <c r="F422" s="159"/>
      <c r="G422" s="166"/>
      <c r="H422" s="168"/>
      <c r="I422" s="161"/>
      <c r="J422" s="163"/>
      <c r="K422" s="165"/>
      <c r="L422" s="91"/>
      <c r="M422" s="92"/>
    </row>
    <row r="423" spans="1:13" s="45" customFormat="1" ht="8.5500000000000007" customHeight="1" x14ac:dyDescent="0.2">
      <c r="A423" s="43"/>
      <c r="B423" s="156" t="s">
        <v>174</v>
      </c>
      <c r="C423" s="156"/>
      <c r="D423" s="156"/>
      <c r="E423" s="156"/>
      <c r="F423" s="157"/>
      <c r="G423" s="166">
        <v>1996</v>
      </c>
      <c r="H423" s="167">
        <v>98</v>
      </c>
      <c r="I423" s="160">
        <v>92</v>
      </c>
      <c r="J423" s="162" t="s">
        <v>266</v>
      </c>
      <c r="K423" s="164">
        <v>5</v>
      </c>
      <c r="L423" s="91"/>
      <c r="M423" s="92"/>
    </row>
    <row r="424" spans="1:13" s="45" customFormat="1" ht="8.5500000000000007" customHeight="1" x14ac:dyDescent="0.2">
      <c r="A424" s="43"/>
      <c r="B424" s="158"/>
      <c r="C424" s="158"/>
      <c r="D424" s="158"/>
      <c r="E424" s="158"/>
      <c r="F424" s="159"/>
      <c r="G424" s="166"/>
      <c r="H424" s="168"/>
      <c r="I424" s="161"/>
      <c r="J424" s="163"/>
      <c r="K424" s="165"/>
      <c r="L424" s="91"/>
      <c r="M424" s="92"/>
    </row>
    <row r="425" spans="1:13" s="45" customFormat="1" ht="8.5500000000000007" customHeight="1" x14ac:dyDescent="0.2">
      <c r="A425" s="43"/>
      <c r="B425" s="156" t="s">
        <v>645</v>
      </c>
      <c r="C425" s="156"/>
      <c r="D425" s="156"/>
      <c r="E425" s="156"/>
      <c r="F425" s="157"/>
      <c r="G425" s="166">
        <v>1996</v>
      </c>
      <c r="H425" s="167">
        <v>98</v>
      </c>
      <c r="I425" s="160">
        <v>92</v>
      </c>
      <c r="J425" s="162" t="s">
        <v>266</v>
      </c>
      <c r="K425" s="164">
        <v>1</v>
      </c>
      <c r="L425" s="91"/>
      <c r="M425" s="92"/>
    </row>
    <row r="426" spans="1:13" s="45" customFormat="1" ht="8.5500000000000007" customHeight="1" x14ac:dyDescent="0.2">
      <c r="A426" s="43"/>
      <c r="B426" s="158"/>
      <c r="C426" s="158"/>
      <c r="D426" s="158"/>
      <c r="E426" s="158"/>
      <c r="F426" s="159"/>
      <c r="G426" s="166"/>
      <c r="H426" s="168"/>
      <c r="I426" s="161"/>
      <c r="J426" s="163"/>
      <c r="K426" s="165"/>
      <c r="L426" s="91"/>
      <c r="M426" s="92"/>
    </row>
    <row r="427" spans="1:13" s="45" customFormat="1" ht="8.5500000000000007" customHeight="1" x14ac:dyDescent="0.2">
      <c r="A427" s="43"/>
      <c r="B427" s="156" t="s">
        <v>174</v>
      </c>
      <c r="C427" s="156"/>
      <c r="D427" s="156"/>
      <c r="E427" s="156"/>
      <c r="F427" s="157"/>
      <c r="G427" s="166">
        <v>1998</v>
      </c>
      <c r="H427" s="167">
        <v>94</v>
      </c>
      <c r="I427" s="160">
        <v>93</v>
      </c>
      <c r="J427" s="162" t="s">
        <v>479</v>
      </c>
      <c r="K427" s="164">
        <v>1</v>
      </c>
      <c r="L427" s="91"/>
      <c r="M427" s="92"/>
    </row>
    <row r="428" spans="1:13" s="45" customFormat="1" ht="8.5500000000000007" customHeight="1" x14ac:dyDescent="0.2">
      <c r="A428" s="43"/>
      <c r="B428" s="158"/>
      <c r="C428" s="158"/>
      <c r="D428" s="158"/>
      <c r="E428" s="158"/>
      <c r="F428" s="159"/>
      <c r="G428" s="166"/>
      <c r="H428" s="168"/>
      <c r="I428" s="161"/>
      <c r="J428" s="163"/>
      <c r="K428" s="165"/>
      <c r="L428" s="91"/>
      <c r="M428" s="92"/>
    </row>
    <row r="429" spans="1:13" s="45" customFormat="1" ht="8.5500000000000007" customHeight="1" x14ac:dyDescent="0.2">
      <c r="A429" s="43"/>
      <c r="B429" s="156" t="s">
        <v>174</v>
      </c>
      <c r="C429" s="156"/>
      <c r="D429" s="156"/>
      <c r="E429" s="156"/>
      <c r="F429" s="157"/>
      <c r="G429" s="166">
        <v>2000</v>
      </c>
      <c r="H429" s="167">
        <v>98</v>
      </c>
      <c r="I429" s="160">
        <v>100</v>
      </c>
      <c r="J429" s="162" t="s">
        <v>1789</v>
      </c>
      <c r="K429" s="164">
        <v>9</v>
      </c>
      <c r="L429" s="91"/>
      <c r="M429" s="92"/>
    </row>
    <row r="430" spans="1:13" s="45" customFormat="1" ht="8.5500000000000007" customHeight="1" x14ac:dyDescent="0.2">
      <c r="A430" s="43"/>
      <c r="B430" s="158"/>
      <c r="C430" s="158"/>
      <c r="D430" s="158"/>
      <c r="E430" s="158"/>
      <c r="F430" s="159"/>
      <c r="G430" s="166"/>
      <c r="H430" s="168"/>
      <c r="I430" s="161"/>
      <c r="J430" s="163"/>
      <c r="K430" s="165"/>
      <c r="L430" s="91"/>
      <c r="M430" s="92"/>
    </row>
    <row r="431" spans="1:13" s="45" customFormat="1" ht="8.5500000000000007" customHeight="1" x14ac:dyDescent="0.2">
      <c r="A431" s="43"/>
      <c r="B431" s="156" t="s">
        <v>174</v>
      </c>
      <c r="C431" s="156"/>
      <c r="D431" s="156"/>
      <c r="E431" s="156"/>
      <c r="F431" s="157"/>
      <c r="G431" s="166">
        <v>2004</v>
      </c>
      <c r="H431" s="167">
        <v>93</v>
      </c>
      <c r="I431" s="160">
        <v>95</v>
      </c>
      <c r="J431" s="162" t="s">
        <v>240</v>
      </c>
      <c r="K431" s="164">
        <v>2</v>
      </c>
      <c r="L431" s="91"/>
      <c r="M431" s="92"/>
    </row>
    <row r="432" spans="1:13" s="45" customFormat="1" ht="8.5500000000000007" customHeight="1" x14ac:dyDescent="0.2">
      <c r="A432" s="43"/>
      <c r="B432" s="158"/>
      <c r="C432" s="158"/>
      <c r="D432" s="158"/>
      <c r="E432" s="158"/>
      <c r="F432" s="159"/>
      <c r="G432" s="166"/>
      <c r="H432" s="168"/>
      <c r="I432" s="161"/>
      <c r="J432" s="163"/>
      <c r="K432" s="165"/>
      <c r="L432" s="91"/>
      <c r="M432" s="92"/>
    </row>
    <row r="433" spans="1:13" s="45" customFormat="1" ht="8.5500000000000007" customHeight="1" x14ac:dyDescent="0.2">
      <c r="A433" s="43"/>
      <c r="B433" s="156" t="s">
        <v>174</v>
      </c>
      <c r="C433" s="156"/>
      <c r="D433" s="156"/>
      <c r="E433" s="156"/>
      <c r="F433" s="157"/>
      <c r="G433" s="166">
        <v>2005</v>
      </c>
      <c r="H433" s="167">
        <v>98</v>
      </c>
      <c r="I433" s="160">
        <v>100</v>
      </c>
      <c r="J433" s="162" t="s">
        <v>1890</v>
      </c>
      <c r="K433" s="164">
        <v>9</v>
      </c>
      <c r="L433" s="91"/>
      <c r="M433" s="92"/>
    </row>
    <row r="434" spans="1:13" s="45" customFormat="1" ht="8.5500000000000007" customHeight="1" x14ac:dyDescent="0.2">
      <c r="A434" s="43"/>
      <c r="B434" s="158"/>
      <c r="C434" s="158"/>
      <c r="D434" s="158"/>
      <c r="E434" s="158"/>
      <c r="F434" s="159"/>
      <c r="G434" s="166"/>
      <c r="H434" s="168"/>
      <c r="I434" s="161"/>
      <c r="J434" s="163"/>
      <c r="K434" s="165"/>
      <c r="L434" s="91"/>
      <c r="M434" s="92"/>
    </row>
    <row r="435" spans="1:13" s="45" customFormat="1" ht="8.5500000000000007" customHeight="1" x14ac:dyDescent="0.2">
      <c r="A435" s="43"/>
      <c r="B435" s="156" t="s">
        <v>174</v>
      </c>
      <c r="C435" s="156"/>
      <c r="D435" s="156"/>
      <c r="E435" s="156"/>
      <c r="F435" s="157"/>
      <c r="G435" s="166">
        <v>2006</v>
      </c>
      <c r="H435" s="167">
        <v>95</v>
      </c>
      <c r="I435" s="160">
        <v>95</v>
      </c>
      <c r="J435" s="162" t="s">
        <v>1915</v>
      </c>
      <c r="K435" s="164">
        <v>5</v>
      </c>
      <c r="L435" s="91"/>
      <c r="M435" s="92"/>
    </row>
    <row r="436" spans="1:13" s="45" customFormat="1" ht="8.5500000000000007" customHeight="1" x14ac:dyDescent="0.2">
      <c r="A436" s="43"/>
      <c r="B436" s="158"/>
      <c r="C436" s="158"/>
      <c r="D436" s="158"/>
      <c r="E436" s="158"/>
      <c r="F436" s="159"/>
      <c r="G436" s="166"/>
      <c r="H436" s="168"/>
      <c r="I436" s="161"/>
      <c r="J436" s="163"/>
      <c r="K436" s="165"/>
      <c r="L436" s="91"/>
      <c r="M436" s="92"/>
    </row>
    <row r="437" spans="1:13" s="45" customFormat="1" ht="8.5500000000000007" customHeight="1" x14ac:dyDescent="0.2">
      <c r="A437" s="43"/>
      <c r="B437" s="156" t="s">
        <v>174</v>
      </c>
      <c r="C437" s="156"/>
      <c r="D437" s="156"/>
      <c r="E437" s="156"/>
      <c r="F437" s="157"/>
      <c r="G437" s="166">
        <v>2009</v>
      </c>
      <c r="H437" s="167">
        <v>97</v>
      </c>
      <c r="I437" s="160"/>
      <c r="J437" s="162" t="s">
        <v>1551</v>
      </c>
      <c r="K437" s="164">
        <v>4</v>
      </c>
      <c r="L437" s="91"/>
      <c r="M437" s="92"/>
    </row>
    <row r="438" spans="1:13" s="45" customFormat="1" ht="8.5500000000000007" customHeight="1" x14ac:dyDescent="0.2">
      <c r="A438" s="43"/>
      <c r="B438" s="158"/>
      <c r="C438" s="158"/>
      <c r="D438" s="158"/>
      <c r="E438" s="158"/>
      <c r="F438" s="159"/>
      <c r="G438" s="166"/>
      <c r="H438" s="168"/>
      <c r="I438" s="161"/>
      <c r="J438" s="163"/>
      <c r="K438" s="165"/>
      <c r="L438" s="91"/>
      <c r="M438" s="92"/>
    </row>
    <row r="439" spans="1:13" s="45" customFormat="1" ht="8.5500000000000007" customHeight="1" x14ac:dyDescent="0.2">
      <c r="A439" s="43"/>
      <c r="B439" s="172" t="s">
        <v>173</v>
      </c>
      <c r="C439" s="172"/>
      <c r="D439" s="172"/>
      <c r="E439" s="172"/>
      <c r="F439" s="173"/>
      <c r="G439" s="166">
        <v>1970</v>
      </c>
      <c r="H439" s="167">
        <v>91</v>
      </c>
      <c r="I439" s="160"/>
      <c r="J439" s="162" t="s">
        <v>1609</v>
      </c>
      <c r="K439" s="164">
        <v>1</v>
      </c>
      <c r="L439" s="91"/>
      <c r="M439" s="92"/>
    </row>
    <row r="440" spans="1:13" s="45" customFormat="1" ht="8.5500000000000007" customHeight="1" x14ac:dyDescent="0.2">
      <c r="A440" s="43"/>
      <c r="B440" s="174"/>
      <c r="C440" s="174"/>
      <c r="D440" s="174"/>
      <c r="E440" s="174"/>
      <c r="F440" s="175"/>
      <c r="G440" s="166"/>
      <c r="H440" s="168"/>
      <c r="I440" s="161"/>
      <c r="J440" s="163"/>
      <c r="K440" s="165"/>
      <c r="L440" s="91"/>
      <c r="M440" s="92"/>
    </row>
    <row r="441" spans="1:13" s="45" customFormat="1" ht="8.5500000000000007" customHeight="1" x14ac:dyDescent="0.2">
      <c r="A441" s="43"/>
      <c r="B441" s="156" t="s">
        <v>173</v>
      </c>
      <c r="C441" s="156"/>
      <c r="D441" s="156"/>
      <c r="E441" s="156"/>
      <c r="F441" s="157"/>
      <c r="G441" s="166">
        <v>1982</v>
      </c>
      <c r="H441" s="167">
        <v>96</v>
      </c>
      <c r="I441" s="160">
        <v>91</v>
      </c>
      <c r="J441" s="162" t="s">
        <v>52</v>
      </c>
      <c r="K441" s="164">
        <v>4</v>
      </c>
      <c r="L441" s="91"/>
      <c r="M441" s="92"/>
    </row>
    <row r="442" spans="1:13" s="45" customFormat="1" ht="8.5500000000000007" customHeight="1" x14ac:dyDescent="0.2">
      <c r="A442" s="43"/>
      <c r="B442" s="158"/>
      <c r="C442" s="158"/>
      <c r="D442" s="158"/>
      <c r="E442" s="158"/>
      <c r="F442" s="159"/>
      <c r="G442" s="166"/>
      <c r="H442" s="168"/>
      <c r="I442" s="161"/>
      <c r="J442" s="163"/>
      <c r="K442" s="165"/>
      <c r="L442" s="91"/>
      <c r="M442" s="92"/>
    </row>
    <row r="443" spans="1:13" s="45" customFormat="1" ht="8.5500000000000007" customHeight="1" x14ac:dyDescent="0.2">
      <c r="A443" s="43"/>
      <c r="B443" s="156" t="s">
        <v>173</v>
      </c>
      <c r="C443" s="156"/>
      <c r="D443" s="156"/>
      <c r="E443" s="156"/>
      <c r="F443" s="157"/>
      <c r="G443" s="166">
        <v>1986</v>
      </c>
      <c r="H443" s="167">
        <v>94</v>
      </c>
      <c r="I443" s="160">
        <v>95</v>
      </c>
      <c r="J443" s="169" t="s">
        <v>227</v>
      </c>
      <c r="K443" s="164">
        <v>1</v>
      </c>
      <c r="L443" s="91"/>
      <c r="M443" s="92"/>
    </row>
    <row r="444" spans="1:13" s="45" customFormat="1" ht="8.5500000000000007" customHeight="1" x14ac:dyDescent="0.2">
      <c r="A444" s="43"/>
      <c r="B444" s="158"/>
      <c r="C444" s="158"/>
      <c r="D444" s="158"/>
      <c r="E444" s="158"/>
      <c r="F444" s="159"/>
      <c r="G444" s="166"/>
      <c r="H444" s="168"/>
      <c r="I444" s="161"/>
      <c r="J444" s="168"/>
      <c r="K444" s="165"/>
      <c r="L444" s="91"/>
      <c r="M444" s="92"/>
    </row>
    <row r="445" spans="1:13" s="45" customFormat="1" ht="8.5500000000000007" customHeight="1" x14ac:dyDescent="0.2">
      <c r="A445" s="43"/>
      <c r="B445" s="156" t="s">
        <v>173</v>
      </c>
      <c r="C445" s="156"/>
      <c r="D445" s="156"/>
      <c r="E445" s="156"/>
      <c r="F445" s="157"/>
      <c r="G445" s="166">
        <v>1996</v>
      </c>
      <c r="H445" s="167">
        <v>93</v>
      </c>
      <c r="I445" s="160">
        <v>91</v>
      </c>
      <c r="J445" s="169" t="s">
        <v>1609</v>
      </c>
      <c r="K445" s="164">
        <v>4</v>
      </c>
      <c r="L445" s="91"/>
      <c r="M445" s="92"/>
    </row>
    <row r="446" spans="1:13" s="45" customFormat="1" ht="8.5500000000000007" customHeight="1" x14ac:dyDescent="0.2">
      <c r="A446" s="43"/>
      <c r="B446" s="158"/>
      <c r="C446" s="158"/>
      <c r="D446" s="158"/>
      <c r="E446" s="158"/>
      <c r="F446" s="159"/>
      <c r="G446" s="166"/>
      <c r="H446" s="168"/>
      <c r="I446" s="161"/>
      <c r="J446" s="168"/>
      <c r="K446" s="165"/>
      <c r="L446" s="91"/>
      <c r="M446" s="92"/>
    </row>
    <row r="447" spans="1:13" s="45" customFormat="1" ht="8.5500000000000007" customHeight="1" x14ac:dyDescent="0.2">
      <c r="A447" s="43"/>
      <c r="B447" s="156" t="s">
        <v>837</v>
      </c>
      <c r="C447" s="156"/>
      <c r="D447" s="156"/>
      <c r="E447" s="156"/>
      <c r="F447" s="157"/>
      <c r="G447" s="166">
        <v>1996</v>
      </c>
      <c r="H447" s="167">
        <v>93</v>
      </c>
      <c r="I447" s="160">
        <v>91</v>
      </c>
      <c r="J447" s="169" t="s">
        <v>1609</v>
      </c>
      <c r="K447" s="164">
        <v>1</v>
      </c>
      <c r="L447" s="91"/>
      <c r="M447" s="92"/>
    </row>
    <row r="448" spans="1:13" s="45" customFormat="1" ht="8.5500000000000007" customHeight="1" x14ac:dyDescent="0.2">
      <c r="A448" s="43"/>
      <c r="B448" s="158"/>
      <c r="C448" s="158"/>
      <c r="D448" s="158"/>
      <c r="E448" s="158"/>
      <c r="F448" s="159"/>
      <c r="G448" s="166"/>
      <c r="H448" s="168"/>
      <c r="I448" s="161"/>
      <c r="J448" s="168"/>
      <c r="K448" s="165"/>
      <c r="L448" s="91"/>
      <c r="M448" s="92"/>
    </row>
    <row r="449" spans="1:13" s="45" customFormat="1" ht="8.5500000000000007" customHeight="1" x14ac:dyDescent="0.2">
      <c r="A449" s="43"/>
      <c r="B449" s="156" t="s">
        <v>173</v>
      </c>
      <c r="C449" s="156"/>
      <c r="D449" s="156"/>
      <c r="E449" s="156"/>
      <c r="F449" s="157"/>
      <c r="G449" s="166">
        <v>1999</v>
      </c>
      <c r="H449" s="167" t="s">
        <v>638</v>
      </c>
      <c r="I449" s="160">
        <v>91</v>
      </c>
      <c r="J449" s="169" t="s">
        <v>1916</v>
      </c>
      <c r="K449" s="164">
        <v>1</v>
      </c>
      <c r="L449" s="91"/>
      <c r="M449" s="92"/>
    </row>
    <row r="450" spans="1:13" s="45" customFormat="1" ht="8.5500000000000007" customHeight="1" x14ac:dyDescent="0.2">
      <c r="A450" s="43"/>
      <c r="B450" s="158"/>
      <c r="C450" s="158"/>
      <c r="D450" s="158"/>
      <c r="E450" s="158"/>
      <c r="F450" s="159"/>
      <c r="G450" s="166"/>
      <c r="H450" s="168"/>
      <c r="I450" s="161"/>
      <c r="J450" s="168"/>
      <c r="K450" s="165"/>
      <c r="L450" s="91"/>
      <c r="M450" s="92"/>
    </row>
    <row r="451" spans="1:13" s="45" customFormat="1" ht="8.5500000000000007" customHeight="1" x14ac:dyDescent="0.2">
      <c r="A451" s="43"/>
      <c r="B451" s="156" t="s">
        <v>173</v>
      </c>
      <c r="C451" s="156"/>
      <c r="D451" s="156"/>
      <c r="E451" s="156"/>
      <c r="F451" s="157"/>
      <c r="G451" s="166">
        <v>2000</v>
      </c>
      <c r="H451" s="167">
        <v>96</v>
      </c>
      <c r="I451" s="160"/>
      <c r="J451" s="169" t="s">
        <v>227</v>
      </c>
      <c r="K451" s="164">
        <v>2</v>
      </c>
      <c r="L451" s="91"/>
      <c r="M451" s="92"/>
    </row>
    <row r="452" spans="1:13" s="45" customFormat="1" ht="8.5500000000000007" customHeight="1" x14ac:dyDescent="0.2">
      <c r="A452" s="43"/>
      <c r="B452" s="158"/>
      <c r="C452" s="158"/>
      <c r="D452" s="158"/>
      <c r="E452" s="158"/>
      <c r="F452" s="159"/>
      <c r="G452" s="166"/>
      <c r="H452" s="168"/>
      <c r="I452" s="161"/>
      <c r="J452" s="168"/>
      <c r="K452" s="165"/>
      <c r="L452" s="91"/>
      <c r="M452" s="92"/>
    </row>
    <row r="453" spans="1:13" s="45" customFormat="1" ht="8.5500000000000007" customHeight="1" x14ac:dyDescent="0.2">
      <c r="A453" s="43"/>
      <c r="B453" s="156" t="s">
        <v>173</v>
      </c>
      <c r="C453" s="156"/>
      <c r="D453" s="156"/>
      <c r="E453" s="156"/>
      <c r="F453" s="157"/>
      <c r="G453" s="166">
        <v>2003</v>
      </c>
      <c r="H453" s="167">
        <v>94</v>
      </c>
      <c r="I453" s="160"/>
      <c r="J453" s="169" t="s">
        <v>1917</v>
      </c>
      <c r="K453" s="164">
        <v>3</v>
      </c>
      <c r="L453" s="91"/>
      <c r="M453" s="92"/>
    </row>
    <row r="454" spans="1:13" s="45" customFormat="1" ht="8.5500000000000007" customHeight="1" x14ac:dyDescent="0.2">
      <c r="A454" s="43"/>
      <c r="B454" s="158"/>
      <c r="C454" s="158"/>
      <c r="D454" s="158"/>
      <c r="E454" s="158"/>
      <c r="F454" s="159"/>
      <c r="G454" s="166"/>
      <c r="H454" s="168"/>
      <c r="I454" s="161"/>
      <c r="J454" s="168"/>
      <c r="K454" s="165"/>
      <c r="L454" s="91"/>
      <c r="M454" s="92"/>
    </row>
    <row r="455" spans="1:13" s="45" customFormat="1" ht="8.5500000000000007" customHeight="1" x14ac:dyDescent="0.2">
      <c r="A455" s="43"/>
      <c r="B455" s="156" t="s">
        <v>173</v>
      </c>
      <c r="C455" s="156"/>
      <c r="D455" s="156"/>
      <c r="E455" s="156"/>
      <c r="F455" s="157"/>
      <c r="G455" s="166">
        <v>2004</v>
      </c>
      <c r="H455" s="167">
        <v>92</v>
      </c>
      <c r="I455" s="160">
        <v>92</v>
      </c>
      <c r="J455" s="162" t="s">
        <v>1607</v>
      </c>
      <c r="K455" s="164">
        <v>2</v>
      </c>
      <c r="L455" s="91"/>
      <c r="M455" s="92"/>
    </row>
    <row r="456" spans="1:13" s="45" customFormat="1" ht="8.5500000000000007" customHeight="1" x14ac:dyDescent="0.2">
      <c r="A456" s="43"/>
      <c r="B456" s="158"/>
      <c r="C456" s="158"/>
      <c r="D456" s="158"/>
      <c r="E456" s="158"/>
      <c r="F456" s="159"/>
      <c r="G456" s="166"/>
      <c r="H456" s="168"/>
      <c r="I456" s="161"/>
      <c r="J456" s="163"/>
      <c r="K456" s="165"/>
      <c r="L456" s="91"/>
      <c r="M456" s="92"/>
    </row>
    <row r="457" spans="1:13" s="45" customFormat="1" ht="8.5500000000000007" customHeight="1" x14ac:dyDescent="0.2">
      <c r="A457" s="43"/>
      <c r="B457" s="170" t="s">
        <v>952</v>
      </c>
      <c r="C457" s="170"/>
      <c r="D457" s="170"/>
      <c r="E457" s="170"/>
      <c r="F457" s="170"/>
      <c r="G457" s="178"/>
      <c r="H457" s="47"/>
      <c r="I457" s="48"/>
      <c r="J457" s="48"/>
      <c r="K457" s="164"/>
      <c r="L457" s="91"/>
      <c r="M457" s="92"/>
    </row>
    <row r="458" spans="1:13" s="45" customFormat="1" ht="8.5500000000000007" customHeight="1" x14ac:dyDescent="0.2">
      <c r="A458" s="43"/>
      <c r="B458" s="171"/>
      <c r="C458" s="171"/>
      <c r="D458" s="171"/>
      <c r="E458" s="171"/>
      <c r="F458" s="171"/>
      <c r="G458" s="178"/>
      <c r="H458" s="54"/>
      <c r="I458" s="49"/>
      <c r="J458" s="49"/>
      <c r="K458" s="165"/>
      <c r="L458" s="91"/>
      <c r="M458" s="92"/>
    </row>
    <row r="459" spans="1:13" s="45" customFormat="1" ht="8.5500000000000007" customHeight="1" x14ac:dyDescent="0.2">
      <c r="A459" s="43"/>
      <c r="B459" s="156" t="s">
        <v>173</v>
      </c>
      <c r="C459" s="156"/>
      <c r="D459" s="156"/>
      <c r="E459" s="156"/>
      <c r="F459" s="157"/>
      <c r="G459" s="166">
        <v>2005</v>
      </c>
      <c r="H459" s="167">
        <v>97</v>
      </c>
      <c r="I459" s="160">
        <v>95</v>
      </c>
      <c r="J459" s="162" t="s">
        <v>1918</v>
      </c>
      <c r="K459" s="164">
        <v>5</v>
      </c>
      <c r="L459" s="91"/>
      <c r="M459" s="92"/>
    </row>
    <row r="460" spans="1:13" s="45" customFormat="1" ht="8.5500000000000007" customHeight="1" x14ac:dyDescent="0.2">
      <c r="A460" s="43"/>
      <c r="B460" s="158"/>
      <c r="C460" s="158"/>
      <c r="D460" s="158"/>
      <c r="E460" s="158"/>
      <c r="F460" s="159"/>
      <c r="G460" s="166"/>
      <c r="H460" s="168"/>
      <c r="I460" s="161"/>
      <c r="J460" s="163"/>
      <c r="K460" s="165"/>
      <c r="L460" s="91"/>
      <c r="M460" s="92"/>
    </row>
    <row r="461" spans="1:13" s="45" customFormat="1" ht="8.5500000000000007" customHeight="1" x14ac:dyDescent="0.2">
      <c r="A461" s="43"/>
      <c r="B461" s="156" t="s">
        <v>173</v>
      </c>
      <c r="C461" s="156"/>
      <c r="D461" s="156"/>
      <c r="E461" s="156"/>
      <c r="F461" s="157"/>
      <c r="G461" s="166">
        <v>2006</v>
      </c>
      <c r="H461" s="167">
        <v>94</v>
      </c>
      <c r="I461" s="160">
        <v>95</v>
      </c>
      <c r="J461" s="162" t="s">
        <v>63</v>
      </c>
      <c r="K461" s="164">
        <v>5</v>
      </c>
      <c r="L461" s="91"/>
      <c r="M461" s="92"/>
    </row>
    <row r="462" spans="1:13" s="45" customFormat="1" ht="8.5500000000000007" customHeight="1" x14ac:dyDescent="0.2">
      <c r="A462" s="43"/>
      <c r="B462" s="158"/>
      <c r="C462" s="158"/>
      <c r="D462" s="158"/>
      <c r="E462" s="158"/>
      <c r="F462" s="159"/>
      <c r="G462" s="166"/>
      <c r="H462" s="168"/>
      <c r="I462" s="161"/>
      <c r="J462" s="163"/>
      <c r="K462" s="165"/>
      <c r="L462" s="91"/>
      <c r="M462" s="92"/>
    </row>
    <row r="463" spans="1:13" s="45" customFormat="1" ht="8.5500000000000007" customHeight="1" x14ac:dyDescent="0.2">
      <c r="A463" s="43"/>
      <c r="B463" s="156" t="s">
        <v>173</v>
      </c>
      <c r="C463" s="156"/>
      <c r="D463" s="156"/>
      <c r="E463" s="156"/>
      <c r="F463" s="157"/>
      <c r="G463" s="166">
        <v>2009</v>
      </c>
      <c r="H463" s="167">
        <v>98</v>
      </c>
      <c r="I463" s="160"/>
      <c r="J463" s="162" t="s">
        <v>266</v>
      </c>
      <c r="K463" s="164">
        <v>3</v>
      </c>
      <c r="L463" s="91"/>
      <c r="M463" s="92"/>
    </row>
    <row r="464" spans="1:13" s="45" customFormat="1" ht="8.5500000000000007" customHeight="1" x14ac:dyDescent="0.2">
      <c r="A464" s="43"/>
      <c r="B464" s="158"/>
      <c r="C464" s="158"/>
      <c r="D464" s="158"/>
      <c r="E464" s="158"/>
      <c r="F464" s="159"/>
      <c r="G464" s="166"/>
      <c r="H464" s="168"/>
      <c r="I464" s="161"/>
      <c r="J464" s="163"/>
      <c r="K464" s="165"/>
      <c r="L464" s="91"/>
      <c r="M464" s="92"/>
    </row>
    <row r="465" spans="1:13" s="45" customFormat="1" ht="8.5500000000000007" customHeight="1" x14ac:dyDescent="0.2">
      <c r="A465" s="43"/>
      <c r="B465" s="172" t="s">
        <v>175</v>
      </c>
      <c r="C465" s="172"/>
      <c r="D465" s="172"/>
      <c r="E465" s="172"/>
      <c r="F465" s="173"/>
      <c r="G465" s="166">
        <v>1961</v>
      </c>
      <c r="H465" s="167">
        <v>93</v>
      </c>
      <c r="I465" s="160"/>
      <c r="J465" s="162" t="s">
        <v>1919</v>
      </c>
      <c r="K465" s="164">
        <v>1</v>
      </c>
      <c r="L465" s="91"/>
      <c r="M465" s="92"/>
    </row>
    <row r="466" spans="1:13" s="45" customFormat="1" ht="8.5500000000000007" customHeight="1" x14ac:dyDescent="0.2">
      <c r="A466" s="43"/>
      <c r="B466" s="174"/>
      <c r="C466" s="174"/>
      <c r="D466" s="174"/>
      <c r="E466" s="174"/>
      <c r="F466" s="175"/>
      <c r="G466" s="166"/>
      <c r="H466" s="168"/>
      <c r="I466" s="161"/>
      <c r="J466" s="163"/>
      <c r="K466" s="165"/>
      <c r="L466" s="91"/>
      <c r="M466" s="92"/>
    </row>
    <row r="467" spans="1:13" s="45" customFormat="1" ht="8.5500000000000007" customHeight="1" x14ac:dyDescent="0.2">
      <c r="A467" s="43"/>
      <c r="B467" s="156" t="s">
        <v>175</v>
      </c>
      <c r="C467" s="156"/>
      <c r="D467" s="156"/>
      <c r="E467" s="156"/>
      <c r="F467" s="157"/>
      <c r="G467" s="166">
        <v>1982</v>
      </c>
      <c r="H467" s="167">
        <v>96</v>
      </c>
      <c r="I467" s="160">
        <v>91</v>
      </c>
      <c r="J467" s="162" t="s">
        <v>1920</v>
      </c>
      <c r="K467" s="164">
        <v>3</v>
      </c>
      <c r="L467" s="91"/>
      <c r="M467" s="92"/>
    </row>
    <row r="468" spans="1:13" s="45" customFormat="1" ht="8.5500000000000007" customHeight="1" x14ac:dyDescent="0.2">
      <c r="A468" s="43"/>
      <c r="B468" s="158"/>
      <c r="C468" s="158"/>
      <c r="D468" s="158"/>
      <c r="E468" s="158"/>
      <c r="F468" s="159"/>
      <c r="G468" s="166"/>
      <c r="H468" s="168"/>
      <c r="I468" s="161"/>
      <c r="J468" s="163"/>
      <c r="K468" s="165"/>
      <c r="L468" s="91"/>
      <c r="M468" s="92"/>
    </row>
    <row r="469" spans="1:13" s="45" customFormat="1" ht="8.5500000000000007" customHeight="1" x14ac:dyDescent="0.2">
      <c r="A469" s="43"/>
      <c r="B469" s="156" t="s">
        <v>175</v>
      </c>
      <c r="C469" s="156"/>
      <c r="D469" s="156"/>
      <c r="E469" s="156"/>
      <c r="F469" s="157"/>
      <c r="G469" s="166">
        <v>1986</v>
      </c>
      <c r="H469" s="167">
        <v>87</v>
      </c>
      <c r="I469" s="160"/>
      <c r="J469" s="162" t="s">
        <v>725</v>
      </c>
      <c r="K469" s="164">
        <v>1</v>
      </c>
      <c r="L469" s="91"/>
      <c r="M469" s="92"/>
    </row>
    <row r="470" spans="1:13" s="45" customFormat="1" ht="8.5500000000000007" customHeight="1" x14ac:dyDescent="0.2">
      <c r="A470" s="43"/>
      <c r="B470" s="158"/>
      <c r="C470" s="158"/>
      <c r="D470" s="158"/>
      <c r="E470" s="158"/>
      <c r="F470" s="159"/>
      <c r="G470" s="166"/>
      <c r="H470" s="168"/>
      <c r="I470" s="161"/>
      <c r="J470" s="163"/>
      <c r="K470" s="165"/>
      <c r="L470" s="91"/>
      <c r="M470" s="92"/>
    </row>
    <row r="471" spans="1:13" s="45" customFormat="1" ht="8.5500000000000007" customHeight="1" x14ac:dyDescent="0.2">
      <c r="A471" s="43"/>
      <c r="B471" s="156" t="s">
        <v>646</v>
      </c>
      <c r="C471" s="156"/>
      <c r="D471" s="156"/>
      <c r="E471" s="156"/>
      <c r="F471" s="157"/>
      <c r="G471" s="166">
        <v>1990</v>
      </c>
      <c r="H471" s="167">
        <v>97</v>
      </c>
      <c r="I471" s="160">
        <v>92</v>
      </c>
      <c r="J471" s="162" t="s">
        <v>408</v>
      </c>
      <c r="K471" s="164">
        <v>1</v>
      </c>
      <c r="L471" s="91"/>
      <c r="M471" s="92"/>
    </row>
    <row r="472" spans="1:13" s="45" customFormat="1" ht="8.5500000000000007" customHeight="1" x14ac:dyDescent="0.2">
      <c r="A472" s="43"/>
      <c r="B472" s="158"/>
      <c r="C472" s="158"/>
      <c r="D472" s="158"/>
      <c r="E472" s="158"/>
      <c r="F472" s="159"/>
      <c r="G472" s="166"/>
      <c r="H472" s="168"/>
      <c r="I472" s="161"/>
      <c r="J472" s="163"/>
      <c r="K472" s="165"/>
      <c r="L472" s="91"/>
      <c r="M472" s="92"/>
    </row>
    <row r="473" spans="1:13" s="45" customFormat="1" ht="8.5500000000000007" customHeight="1" x14ac:dyDescent="0.2">
      <c r="A473" s="43"/>
      <c r="B473" s="156" t="s">
        <v>175</v>
      </c>
      <c r="C473" s="156"/>
      <c r="D473" s="156"/>
      <c r="E473" s="156"/>
      <c r="F473" s="157"/>
      <c r="G473" s="166">
        <v>2000</v>
      </c>
      <c r="H473" s="167">
        <v>97</v>
      </c>
      <c r="I473" s="160">
        <v>94</v>
      </c>
      <c r="J473" s="162" t="s">
        <v>250</v>
      </c>
      <c r="K473" s="164">
        <v>4</v>
      </c>
      <c r="L473" s="91"/>
      <c r="M473" s="92"/>
    </row>
    <row r="474" spans="1:13" s="45" customFormat="1" ht="8.5500000000000007" customHeight="1" x14ac:dyDescent="0.2">
      <c r="A474" s="43"/>
      <c r="B474" s="158"/>
      <c r="C474" s="158"/>
      <c r="D474" s="158"/>
      <c r="E474" s="158"/>
      <c r="F474" s="159"/>
      <c r="G474" s="166"/>
      <c r="H474" s="168"/>
      <c r="I474" s="161"/>
      <c r="J474" s="163"/>
      <c r="K474" s="165"/>
      <c r="L474" s="91"/>
      <c r="M474" s="92"/>
    </row>
    <row r="475" spans="1:13" s="45" customFormat="1" ht="8.5500000000000007" customHeight="1" x14ac:dyDescent="0.2">
      <c r="A475" s="43"/>
      <c r="B475" s="156" t="s">
        <v>175</v>
      </c>
      <c r="C475" s="156"/>
      <c r="D475" s="156"/>
      <c r="E475" s="156"/>
      <c r="F475" s="157"/>
      <c r="G475" s="189">
        <v>2003</v>
      </c>
      <c r="H475" s="167">
        <v>96</v>
      </c>
      <c r="I475" s="160">
        <v>95</v>
      </c>
      <c r="J475" s="211" t="s">
        <v>95</v>
      </c>
      <c r="K475" s="164">
        <v>2</v>
      </c>
      <c r="L475" s="91"/>
      <c r="M475" s="92"/>
    </row>
    <row r="476" spans="1:13" s="45" customFormat="1" ht="8.5500000000000007" customHeight="1" x14ac:dyDescent="0.2">
      <c r="A476" s="43"/>
      <c r="B476" s="158"/>
      <c r="C476" s="158"/>
      <c r="D476" s="158"/>
      <c r="E476" s="158"/>
      <c r="F476" s="159"/>
      <c r="G476" s="190"/>
      <c r="H476" s="168"/>
      <c r="I476" s="161"/>
      <c r="J476" s="212"/>
      <c r="K476" s="165"/>
      <c r="L476" s="91"/>
      <c r="M476" s="92"/>
    </row>
    <row r="477" spans="1:13" s="45" customFormat="1" ht="8.5500000000000007" customHeight="1" x14ac:dyDescent="0.2">
      <c r="A477" s="43"/>
      <c r="B477" s="156" t="s">
        <v>175</v>
      </c>
      <c r="C477" s="156"/>
      <c r="D477" s="156"/>
      <c r="E477" s="156"/>
      <c r="F477" s="157"/>
      <c r="G477" s="166">
        <v>2005</v>
      </c>
      <c r="H477" s="167">
        <v>93</v>
      </c>
      <c r="I477" s="160">
        <v>92</v>
      </c>
      <c r="J477" s="162" t="s">
        <v>124</v>
      </c>
      <c r="K477" s="164">
        <v>2</v>
      </c>
      <c r="L477" s="91"/>
      <c r="M477" s="92"/>
    </row>
    <row r="478" spans="1:13" s="45" customFormat="1" ht="8.5500000000000007" customHeight="1" x14ac:dyDescent="0.2">
      <c r="A478" s="43"/>
      <c r="B478" s="158"/>
      <c r="C478" s="158"/>
      <c r="D478" s="158"/>
      <c r="E478" s="158"/>
      <c r="F478" s="159"/>
      <c r="G478" s="166"/>
      <c r="H478" s="168"/>
      <c r="I478" s="161"/>
      <c r="J478" s="163"/>
      <c r="K478" s="165"/>
      <c r="L478" s="91"/>
      <c r="M478" s="92"/>
    </row>
    <row r="479" spans="1:13" s="45" customFormat="1" ht="8.5500000000000007" customHeight="1" x14ac:dyDescent="0.2">
      <c r="A479" s="43"/>
      <c r="B479" s="156" t="s">
        <v>175</v>
      </c>
      <c r="C479" s="156"/>
      <c r="D479" s="156"/>
      <c r="E479" s="156"/>
      <c r="F479" s="157"/>
      <c r="G479" s="166">
        <v>2008</v>
      </c>
      <c r="H479" s="167">
        <v>94</v>
      </c>
      <c r="I479" s="160"/>
      <c r="J479" s="162" t="s">
        <v>861</v>
      </c>
      <c r="K479" s="164">
        <v>1</v>
      </c>
      <c r="L479" s="91"/>
      <c r="M479" s="92"/>
    </row>
    <row r="480" spans="1:13" s="45" customFormat="1" ht="8.5500000000000007" customHeight="1" x14ac:dyDescent="0.2">
      <c r="A480" s="43"/>
      <c r="B480" s="158"/>
      <c r="C480" s="158"/>
      <c r="D480" s="158"/>
      <c r="E480" s="158"/>
      <c r="F480" s="159"/>
      <c r="G480" s="166"/>
      <c r="H480" s="168"/>
      <c r="I480" s="161"/>
      <c r="J480" s="163"/>
      <c r="K480" s="165"/>
      <c r="L480" s="91"/>
      <c r="M480" s="92"/>
    </row>
    <row r="481" spans="1:13" s="45" customFormat="1" ht="8.5500000000000007" customHeight="1" x14ac:dyDescent="0.2">
      <c r="A481" s="43"/>
      <c r="B481" s="156" t="s">
        <v>175</v>
      </c>
      <c r="C481" s="156"/>
      <c r="D481" s="156"/>
      <c r="E481" s="156"/>
      <c r="F481" s="157"/>
      <c r="G481" s="166">
        <v>2009</v>
      </c>
      <c r="H481" s="167">
        <v>98</v>
      </c>
      <c r="I481" s="160"/>
      <c r="J481" s="162" t="s">
        <v>1552</v>
      </c>
      <c r="K481" s="164">
        <v>3</v>
      </c>
      <c r="L481" s="91"/>
      <c r="M481" s="92"/>
    </row>
    <row r="482" spans="1:13" s="45" customFormat="1" ht="8.5500000000000007" customHeight="1" x14ac:dyDescent="0.2">
      <c r="A482" s="43"/>
      <c r="B482" s="158"/>
      <c r="C482" s="158"/>
      <c r="D482" s="158"/>
      <c r="E482" s="158"/>
      <c r="F482" s="159"/>
      <c r="G482" s="166"/>
      <c r="H482" s="168"/>
      <c r="I482" s="161"/>
      <c r="J482" s="163"/>
      <c r="K482" s="165"/>
      <c r="L482" s="91"/>
      <c r="M482" s="92"/>
    </row>
    <row r="483" spans="1:13" s="45" customFormat="1" ht="8.5500000000000007" customHeight="1" x14ac:dyDescent="0.2">
      <c r="A483" s="43"/>
      <c r="B483" s="172" t="s">
        <v>176</v>
      </c>
      <c r="C483" s="172"/>
      <c r="D483" s="172"/>
      <c r="E483" s="172"/>
      <c r="F483" s="173"/>
      <c r="G483" s="166">
        <v>1988</v>
      </c>
      <c r="H483" s="167" t="s">
        <v>651</v>
      </c>
      <c r="I483" s="160"/>
      <c r="J483" s="162" t="s">
        <v>138</v>
      </c>
      <c r="K483" s="164">
        <v>1</v>
      </c>
      <c r="L483" s="91"/>
      <c r="M483" s="92"/>
    </row>
    <row r="484" spans="1:13" s="45" customFormat="1" ht="8.5500000000000007" customHeight="1" x14ac:dyDescent="0.2">
      <c r="A484" s="43"/>
      <c r="B484" s="174"/>
      <c r="C484" s="174"/>
      <c r="D484" s="174"/>
      <c r="E484" s="174"/>
      <c r="F484" s="175"/>
      <c r="G484" s="166"/>
      <c r="H484" s="168"/>
      <c r="I484" s="161"/>
      <c r="J484" s="163"/>
      <c r="K484" s="165"/>
      <c r="L484" s="91"/>
      <c r="M484" s="92"/>
    </row>
    <row r="485" spans="1:13" s="45" customFormat="1" ht="8.5500000000000007" customHeight="1" x14ac:dyDescent="0.2">
      <c r="A485" s="43"/>
      <c r="B485" s="156" t="s">
        <v>176</v>
      </c>
      <c r="C485" s="156"/>
      <c r="D485" s="156"/>
      <c r="E485" s="156"/>
      <c r="F485" s="157"/>
      <c r="G485" s="166">
        <v>1998</v>
      </c>
      <c r="H485" s="167">
        <v>91</v>
      </c>
      <c r="I485" s="160"/>
      <c r="J485" s="162" t="s">
        <v>110</v>
      </c>
      <c r="K485" s="164">
        <v>1</v>
      </c>
      <c r="L485" s="91"/>
      <c r="M485" s="92"/>
    </row>
    <row r="486" spans="1:13" s="45" customFormat="1" ht="8.5500000000000007" customHeight="1" x14ac:dyDescent="0.2">
      <c r="A486" s="43"/>
      <c r="B486" s="158"/>
      <c r="C486" s="158"/>
      <c r="D486" s="158"/>
      <c r="E486" s="158"/>
      <c r="F486" s="159"/>
      <c r="G486" s="166"/>
      <c r="H486" s="168"/>
      <c r="I486" s="161"/>
      <c r="J486" s="163"/>
      <c r="K486" s="165"/>
      <c r="L486" s="91"/>
      <c r="M486" s="92"/>
    </row>
    <row r="487" spans="1:13" s="45" customFormat="1" ht="8.5500000000000007" customHeight="1" x14ac:dyDescent="0.2">
      <c r="A487" s="43"/>
      <c r="B487" s="156" t="s">
        <v>176</v>
      </c>
      <c r="C487" s="156"/>
      <c r="D487" s="156"/>
      <c r="E487" s="156"/>
      <c r="F487" s="157"/>
      <c r="G487" s="166">
        <v>2000</v>
      </c>
      <c r="H487" s="167" t="s">
        <v>627</v>
      </c>
      <c r="I487" s="160">
        <v>97</v>
      </c>
      <c r="J487" s="162" t="s">
        <v>257</v>
      </c>
      <c r="K487" s="164">
        <v>4</v>
      </c>
      <c r="L487" s="91"/>
      <c r="M487" s="92"/>
    </row>
    <row r="488" spans="1:13" s="45" customFormat="1" ht="8.5500000000000007" customHeight="1" x14ac:dyDescent="0.2">
      <c r="A488" s="43"/>
      <c r="B488" s="158"/>
      <c r="C488" s="158"/>
      <c r="D488" s="158"/>
      <c r="E488" s="158"/>
      <c r="F488" s="159"/>
      <c r="G488" s="166"/>
      <c r="H488" s="168"/>
      <c r="I488" s="161"/>
      <c r="J488" s="163"/>
      <c r="K488" s="165"/>
      <c r="L488" s="91"/>
      <c r="M488" s="92"/>
    </row>
    <row r="489" spans="1:13" s="45" customFormat="1" ht="8.5500000000000007" customHeight="1" x14ac:dyDescent="0.2">
      <c r="A489" s="43"/>
      <c r="B489" s="156" t="s">
        <v>176</v>
      </c>
      <c r="C489" s="156"/>
      <c r="D489" s="156"/>
      <c r="E489" s="156"/>
      <c r="F489" s="157"/>
      <c r="G489" s="166">
        <v>2001</v>
      </c>
      <c r="H489" s="167">
        <v>93</v>
      </c>
      <c r="I489" s="160">
        <v>92</v>
      </c>
      <c r="J489" s="162" t="s">
        <v>479</v>
      </c>
      <c r="K489" s="164">
        <v>2</v>
      </c>
      <c r="L489" s="91"/>
      <c r="M489" s="92"/>
    </row>
    <row r="490" spans="1:13" s="45" customFormat="1" ht="8.5500000000000007" customHeight="1" x14ac:dyDescent="0.2">
      <c r="A490" s="43"/>
      <c r="B490" s="158"/>
      <c r="C490" s="158"/>
      <c r="D490" s="158"/>
      <c r="E490" s="158"/>
      <c r="F490" s="159"/>
      <c r="G490" s="166"/>
      <c r="H490" s="168"/>
      <c r="I490" s="161"/>
      <c r="J490" s="163"/>
      <c r="K490" s="165"/>
      <c r="L490" s="91"/>
      <c r="M490" s="92"/>
    </row>
    <row r="491" spans="1:13" s="45" customFormat="1" ht="8.5500000000000007" customHeight="1" x14ac:dyDescent="0.2">
      <c r="A491" s="43"/>
      <c r="B491" s="156" t="s">
        <v>176</v>
      </c>
      <c r="C491" s="156"/>
      <c r="D491" s="156"/>
      <c r="E491" s="156"/>
      <c r="F491" s="157"/>
      <c r="G491" s="166">
        <v>2003</v>
      </c>
      <c r="H491" s="167">
        <v>96</v>
      </c>
      <c r="I491" s="160">
        <v>98</v>
      </c>
      <c r="J491" s="162" t="s">
        <v>67</v>
      </c>
      <c r="K491" s="164">
        <v>6</v>
      </c>
      <c r="L491" s="91"/>
      <c r="M491" s="92"/>
    </row>
    <row r="492" spans="1:13" s="45" customFormat="1" ht="8.5500000000000007" customHeight="1" x14ac:dyDescent="0.2">
      <c r="A492" s="43"/>
      <c r="B492" s="158"/>
      <c r="C492" s="158"/>
      <c r="D492" s="158"/>
      <c r="E492" s="158"/>
      <c r="F492" s="159"/>
      <c r="G492" s="166"/>
      <c r="H492" s="168"/>
      <c r="I492" s="161"/>
      <c r="J492" s="163"/>
      <c r="K492" s="165"/>
      <c r="L492" s="91"/>
      <c r="M492" s="92"/>
    </row>
    <row r="493" spans="1:13" s="45" customFormat="1" ht="8.5500000000000007" customHeight="1" x14ac:dyDescent="0.2">
      <c r="A493" s="43"/>
      <c r="B493" s="156" t="s">
        <v>176</v>
      </c>
      <c r="C493" s="156"/>
      <c r="D493" s="156"/>
      <c r="E493" s="156"/>
      <c r="F493" s="157"/>
      <c r="G493" s="166">
        <v>2004</v>
      </c>
      <c r="H493" s="167" t="s">
        <v>628</v>
      </c>
      <c r="I493" s="160">
        <v>91</v>
      </c>
      <c r="J493" s="162" t="s">
        <v>124</v>
      </c>
      <c r="K493" s="164">
        <v>2</v>
      </c>
      <c r="L493" s="91"/>
      <c r="M493" s="92"/>
    </row>
    <row r="494" spans="1:13" s="45" customFormat="1" ht="8.5500000000000007" customHeight="1" x14ac:dyDescent="0.2">
      <c r="A494" s="43"/>
      <c r="B494" s="158"/>
      <c r="C494" s="158"/>
      <c r="D494" s="158"/>
      <c r="E494" s="158"/>
      <c r="F494" s="159"/>
      <c r="G494" s="166"/>
      <c r="H494" s="168"/>
      <c r="I494" s="161"/>
      <c r="J494" s="163"/>
      <c r="K494" s="165"/>
      <c r="L494" s="91"/>
      <c r="M494" s="92"/>
    </row>
    <row r="495" spans="1:13" s="45" customFormat="1" ht="8.5500000000000007" customHeight="1" x14ac:dyDescent="0.2">
      <c r="A495" s="43"/>
      <c r="B495" s="156" t="s">
        <v>176</v>
      </c>
      <c r="C495" s="156"/>
      <c r="D495" s="156"/>
      <c r="E495" s="156"/>
      <c r="F495" s="157"/>
      <c r="G495" s="166">
        <v>2005</v>
      </c>
      <c r="H495" s="167">
        <v>92</v>
      </c>
      <c r="I495" s="160">
        <v>96</v>
      </c>
      <c r="J495" s="162" t="s">
        <v>1553</v>
      </c>
      <c r="K495" s="164">
        <v>5</v>
      </c>
      <c r="L495" s="91"/>
      <c r="M495" s="92"/>
    </row>
    <row r="496" spans="1:13" s="45" customFormat="1" ht="8.5500000000000007" customHeight="1" x14ac:dyDescent="0.2">
      <c r="A496" s="43"/>
      <c r="B496" s="158"/>
      <c r="C496" s="158"/>
      <c r="D496" s="158"/>
      <c r="E496" s="158"/>
      <c r="F496" s="159"/>
      <c r="G496" s="166"/>
      <c r="H496" s="168"/>
      <c r="I496" s="161"/>
      <c r="J496" s="163"/>
      <c r="K496" s="165"/>
      <c r="L496" s="91"/>
      <c r="M496" s="92"/>
    </row>
    <row r="497" spans="1:13" s="45" customFormat="1" ht="8.5500000000000007" customHeight="1" x14ac:dyDescent="0.2">
      <c r="A497" s="43"/>
      <c r="B497" s="172" t="s">
        <v>151</v>
      </c>
      <c r="C497" s="172"/>
      <c r="D497" s="172"/>
      <c r="E497" s="172"/>
      <c r="F497" s="173"/>
      <c r="G497" s="166">
        <v>2005</v>
      </c>
      <c r="H497" s="167">
        <v>95</v>
      </c>
      <c r="I497" s="160">
        <v>92</v>
      </c>
      <c r="J497" s="162" t="s">
        <v>124</v>
      </c>
      <c r="K497" s="164">
        <v>6</v>
      </c>
      <c r="L497" s="91"/>
      <c r="M497" s="92"/>
    </row>
    <row r="498" spans="1:13" s="45" customFormat="1" ht="8.5500000000000007" customHeight="1" x14ac:dyDescent="0.2">
      <c r="A498" s="43"/>
      <c r="B498" s="174"/>
      <c r="C498" s="174"/>
      <c r="D498" s="174"/>
      <c r="E498" s="174"/>
      <c r="F498" s="175"/>
      <c r="G498" s="166"/>
      <c r="H498" s="168"/>
      <c r="I498" s="161"/>
      <c r="J498" s="163"/>
      <c r="K498" s="165"/>
      <c r="L498" s="91"/>
      <c r="M498" s="92"/>
    </row>
    <row r="499" spans="1:13" s="45" customFormat="1" ht="8.5500000000000007" customHeight="1" x14ac:dyDescent="0.2">
      <c r="A499" s="43"/>
      <c r="B499" s="156" t="s">
        <v>151</v>
      </c>
      <c r="C499" s="156"/>
      <c r="D499" s="156"/>
      <c r="E499" s="156"/>
      <c r="F499" s="157"/>
      <c r="G499" s="166">
        <v>2009</v>
      </c>
      <c r="H499" s="167" t="s">
        <v>633</v>
      </c>
      <c r="I499" s="160"/>
      <c r="J499" s="162" t="s">
        <v>227</v>
      </c>
      <c r="K499" s="164">
        <v>3</v>
      </c>
      <c r="L499" s="91"/>
      <c r="M499" s="92"/>
    </row>
    <row r="500" spans="1:13" s="45" customFormat="1" ht="8.5500000000000007" customHeight="1" x14ac:dyDescent="0.2">
      <c r="A500" s="43"/>
      <c r="B500" s="158"/>
      <c r="C500" s="158"/>
      <c r="D500" s="158"/>
      <c r="E500" s="158"/>
      <c r="F500" s="159"/>
      <c r="G500" s="166"/>
      <c r="H500" s="168"/>
      <c r="I500" s="161"/>
      <c r="J500" s="163"/>
      <c r="K500" s="165"/>
      <c r="L500" s="91"/>
      <c r="M500" s="92"/>
    </row>
    <row r="501" spans="1:13" s="45" customFormat="1" ht="8.5500000000000007" customHeight="1" x14ac:dyDescent="0.2">
      <c r="A501" s="43"/>
      <c r="B501" s="172" t="s">
        <v>152</v>
      </c>
      <c r="C501" s="172"/>
      <c r="D501" s="172"/>
      <c r="E501" s="172"/>
      <c r="F501" s="173"/>
      <c r="G501" s="166">
        <v>1949</v>
      </c>
      <c r="H501" s="167">
        <v>83</v>
      </c>
      <c r="I501" s="160"/>
      <c r="J501" s="160"/>
      <c r="K501" s="164">
        <v>1</v>
      </c>
      <c r="L501" s="91"/>
      <c r="M501" s="92"/>
    </row>
    <row r="502" spans="1:13" s="45" customFormat="1" ht="8.5500000000000007" customHeight="1" x14ac:dyDescent="0.2">
      <c r="A502" s="43"/>
      <c r="B502" s="174"/>
      <c r="C502" s="174"/>
      <c r="D502" s="174"/>
      <c r="E502" s="174"/>
      <c r="F502" s="175"/>
      <c r="G502" s="166"/>
      <c r="H502" s="168"/>
      <c r="I502" s="161"/>
      <c r="J502" s="161"/>
      <c r="K502" s="165"/>
      <c r="L502" s="91"/>
      <c r="M502" s="92"/>
    </row>
    <row r="503" spans="1:13" s="45" customFormat="1" ht="8.5500000000000007" customHeight="1" x14ac:dyDescent="0.2">
      <c r="A503" s="43"/>
      <c r="B503" s="156" t="s">
        <v>1519</v>
      </c>
      <c r="C503" s="156"/>
      <c r="D503" s="156"/>
      <c r="E503" s="156"/>
      <c r="F503" s="157"/>
      <c r="G503" s="166">
        <v>1953</v>
      </c>
      <c r="H503" s="160"/>
      <c r="I503" s="160"/>
      <c r="J503" s="160"/>
      <c r="K503" s="164">
        <v>1</v>
      </c>
      <c r="L503" s="91"/>
      <c r="M503" s="92"/>
    </row>
    <row r="504" spans="1:13" s="45" customFormat="1" ht="8.5500000000000007" customHeight="1" x14ac:dyDescent="0.2">
      <c r="A504" s="43"/>
      <c r="B504" s="158"/>
      <c r="C504" s="158"/>
      <c r="D504" s="158"/>
      <c r="E504" s="158"/>
      <c r="F504" s="159"/>
      <c r="G504" s="166"/>
      <c r="H504" s="161"/>
      <c r="I504" s="161"/>
      <c r="J504" s="161"/>
      <c r="K504" s="165"/>
      <c r="L504" s="91"/>
      <c r="M504" s="92"/>
    </row>
    <row r="505" spans="1:13" s="45" customFormat="1" ht="8.5500000000000007" customHeight="1" x14ac:dyDescent="0.2">
      <c r="A505" s="43"/>
      <c r="B505" s="156" t="s">
        <v>152</v>
      </c>
      <c r="C505" s="156"/>
      <c r="D505" s="156"/>
      <c r="E505" s="156"/>
      <c r="F505" s="157"/>
      <c r="G505" s="166">
        <v>1982</v>
      </c>
      <c r="H505" s="167">
        <v>96</v>
      </c>
      <c r="I505" s="160">
        <v>94</v>
      </c>
      <c r="J505" s="162" t="s">
        <v>215</v>
      </c>
      <c r="K505" s="164">
        <v>4</v>
      </c>
      <c r="L505" s="91"/>
      <c r="M505" s="92"/>
    </row>
    <row r="506" spans="1:13" s="45" customFormat="1" ht="8.5500000000000007" customHeight="1" x14ac:dyDescent="0.2">
      <c r="A506" s="43"/>
      <c r="B506" s="158"/>
      <c r="C506" s="158"/>
      <c r="D506" s="158"/>
      <c r="E506" s="158"/>
      <c r="F506" s="159"/>
      <c r="G506" s="166"/>
      <c r="H506" s="168"/>
      <c r="I506" s="161"/>
      <c r="J506" s="163"/>
      <c r="K506" s="165"/>
      <c r="L506" s="91"/>
      <c r="M506" s="92"/>
    </row>
    <row r="507" spans="1:13" s="45" customFormat="1" ht="8.5500000000000007" customHeight="1" x14ac:dyDescent="0.2">
      <c r="A507" s="43"/>
      <c r="B507" s="156" t="s">
        <v>647</v>
      </c>
      <c r="C507" s="156"/>
      <c r="D507" s="156"/>
      <c r="E507" s="156"/>
      <c r="F507" s="157"/>
      <c r="G507" s="166">
        <v>1982</v>
      </c>
      <c r="H507" s="167">
        <v>96</v>
      </c>
      <c r="I507" s="160">
        <v>94</v>
      </c>
      <c r="J507" s="162" t="s">
        <v>215</v>
      </c>
      <c r="K507" s="164">
        <v>1</v>
      </c>
      <c r="L507" s="91"/>
      <c r="M507" s="92"/>
    </row>
    <row r="508" spans="1:13" s="45" customFormat="1" ht="8.5500000000000007" customHeight="1" x14ac:dyDescent="0.2">
      <c r="A508" s="43"/>
      <c r="B508" s="158"/>
      <c r="C508" s="158"/>
      <c r="D508" s="158"/>
      <c r="E508" s="158"/>
      <c r="F508" s="159"/>
      <c r="G508" s="166"/>
      <c r="H508" s="168"/>
      <c r="I508" s="161"/>
      <c r="J508" s="163"/>
      <c r="K508" s="165"/>
      <c r="L508" s="91"/>
      <c r="M508" s="92"/>
    </row>
    <row r="509" spans="1:13" s="45" customFormat="1" ht="8.5500000000000007" customHeight="1" x14ac:dyDescent="0.2">
      <c r="A509" s="43"/>
      <c r="B509" s="156" t="s">
        <v>647</v>
      </c>
      <c r="C509" s="156"/>
      <c r="D509" s="156"/>
      <c r="E509" s="156"/>
      <c r="F509" s="157"/>
      <c r="G509" s="166">
        <v>1986</v>
      </c>
      <c r="H509" s="167">
        <v>95</v>
      </c>
      <c r="I509" s="160">
        <v>89</v>
      </c>
      <c r="J509" s="162" t="s">
        <v>258</v>
      </c>
      <c r="K509" s="164">
        <v>1</v>
      </c>
      <c r="L509" s="91"/>
      <c r="M509" s="92"/>
    </row>
    <row r="510" spans="1:13" s="45" customFormat="1" ht="8.5500000000000007" customHeight="1" x14ac:dyDescent="0.2">
      <c r="A510" s="43"/>
      <c r="B510" s="158"/>
      <c r="C510" s="158"/>
      <c r="D510" s="158"/>
      <c r="E510" s="158"/>
      <c r="F510" s="159"/>
      <c r="G510" s="166"/>
      <c r="H510" s="168"/>
      <c r="I510" s="161"/>
      <c r="J510" s="163"/>
      <c r="K510" s="165"/>
      <c r="L510" s="91"/>
      <c r="M510" s="92"/>
    </row>
    <row r="511" spans="1:13" s="45" customFormat="1" ht="8.5500000000000007" customHeight="1" x14ac:dyDescent="0.2">
      <c r="A511" s="43"/>
      <c r="B511" s="156" t="s">
        <v>1135</v>
      </c>
      <c r="C511" s="156"/>
      <c r="D511" s="156"/>
      <c r="E511" s="156"/>
      <c r="F511" s="157"/>
      <c r="G511" s="166">
        <v>1986</v>
      </c>
      <c r="H511" s="167">
        <v>95</v>
      </c>
      <c r="I511" s="160">
        <v>89</v>
      </c>
      <c r="J511" s="162" t="s">
        <v>258</v>
      </c>
      <c r="K511" s="164">
        <v>4</v>
      </c>
      <c r="L511" s="91"/>
      <c r="M511" s="92"/>
    </row>
    <row r="512" spans="1:13" s="45" customFormat="1" ht="8.5500000000000007" customHeight="1" x14ac:dyDescent="0.2">
      <c r="A512" s="43"/>
      <c r="B512" s="158"/>
      <c r="C512" s="158"/>
      <c r="D512" s="158"/>
      <c r="E512" s="158"/>
      <c r="F512" s="159"/>
      <c r="G512" s="166"/>
      <c r="H512" s="168"/>
      <c r="I512" s="161"/>
      <c r="J512" s="163"/>
      <c r="K512" s="165"/>
      <c r="L512" s="91"/>
      <c r="M512" s="92"/>
    </row>
    <row r="513" spans="1:13" s="45" customFormat="1" ht="8.5500000000000007" customHeight="1" x14ac:dyDescent="0.2">
      <c r="A513" s="43"/>
      <c r="B513" s="170" t="s">
        <v>952</v>
      </c>
      <c r="C513" s="170"/>
      <c r="D513" s="170"/>
      <c r="E513" s="170"/>
      <c r="F513" s="170"/>
      <c r="G513" s="178"/>
      <c r="H513" s="47"/>
      <c r="I513" s="48"/>
      <c r="J513" s="48"/>
      <c r="K513" s="164"/>
      <c r="L513" s="91"/>
      <c r="M513" s="92"/>
    </row>
    <row r="514" spans="1:13" s="45" customFormat="1" ht="8.5500000000000007" customHeight="1" x14ac:dyDescent="0.2">
      <c r="A514" s="43"/>
      <c r="B514" s="171"/>
      <c r="C514" s="171"/>
      <c r="D514" s="171"/>
      <c r="E514" s="171"/>
      <c r="F514" s="171"/>
      <c r="G514" s="178"/>
      <c r="H514" s="54"/>
      <c r="I514" s="49"/>
      <c r="J514" s="49"/>
      <c r="K514" s="165"/>
      <c r="L514" s="91"/>
      <c r="M514" s="92"/>
    </row>
    <row r="515" spans="1:13" s="45" customFormat="1" ht="8.5500000000000007" customHeight="1" x14ac:dyDescent="0.2">
      <c r="A515" s="43"/>
      <c r="B515" s="156" t="s">
        <v>152</v>
      </c>
      <c r="C515" s="156"/>
      <c r="D515" s="156"/>
      <c r="E515" s="156"/>
      <c r="F515" s="157"/>
      <c r="G515" s="166">
        <v>2005</v>
      </c>
      <c r="H515" s="167">
        <v>90</v>
      </c>
      <c r="I515" s="160">
        <v>91</v>
      </c>
      <c r="J515" s="162" t="s">
        <v>124</v>
      </c>
      <c r="K515" s="164">
        <v>5</v>
      </c>
      <c r="L515" s="91"/>
      <c r="M515" s="92"/>
    </row>
    <row r="516" spans="1:13" s="45" customFormat="1" ht="8.5500000000000007" customHeight="1" x14ac:dyDescent="0.2">
      <c r="A516" s="43"/>
      <c r="B516" s="158"/>
      <c r="C516" s="158"/>
      <c r="D516" s="158"/>
      <c r="E516" s="158"/>
      <c r="F516" s="159"/>
      <c r="G516" s="166"/>
      <c r="H516" s="168"/>
      <c r="I516" s="161"/>
      <c r="J516" s="163"/>
      <c r="K516" s="165"/>
      <c r="L516" s="91"/>
      <c r="M516" s="92"/>
    </row>
    <row r="517" spans="1:13" s="45" customFormat="1" ht="8.5500000000000007" customHeight="1" x14ac:dyDescent="0.2">
      <c r="A517" s="43"/>
      <c r="B517" s="172" t="s">
        <v>766</v>
      </c>
      <c r="C517" s="172"/>
      <c r="D517" s="172"/>
      <c r="E517" s="172"/>
      <c r="F517" s="173"/>
      <c r="G517" s="166">
        <v>1961</v>
      </c>
      <c r="H517" s="167">
        <v>88</v>
      </c>
      <c r="I517" s="160"/>
      <c r="J517" s="160"/>
      <c r="K517" s="164">
        <v>2</v>
      </c>
      <c r="L517" s="91"/>
      <c r="M517" s="92"/>
    </row>
    <row r="518" spans="1:13" s="45" customFormat="1" ht="8.5500000000000007" customHeight="1" x14ac:dyDescent="0.2">
      <c r="A518" s="43"/>
      <c r="B518" s="174"/>
      <c r="C518" s="174"/>
      <c r="D518" s="174"/>
      <c r="E518" s="174"/>
      <c r="F518" s="175"/>
      <c r="G518" s="166"/>
      <c r="H518" s="168"/>
      <c r="I518" s="161"/>
      <c r="J518" s="161"/>
      <c r="K518" s="165"/>
      <c r="L518" s="91"/>
      <c r="M518" s="92"/>
    </row>
    <row r="519" spans="1:13" s="45" customFormat="1" ht="8.5500000000000007" customHeight="1" x14ac:dyDescent="0.2">
      <c r="A519" s="43"/>
      <c r="B519" s="156" t="s">
        <v>766</v>
      </c>
      <c r="C519" s="156"/>
      <c r="D519" s="156"/>
      <c r="E519" s="156"/>
      <c r="F519" s="157"/>
      <c r="G519" s="166">
        <v>1982</v>
      </c>
      <c r="H519" s="167">
        <v>94</v>
      </c>
      <c r="I519" s="160">
        <v>88</v>
      </c>
      <c r="J519" s="162" t="s">
        <v>1922</v>
      </c>
      <c r="K519" s="164">
        <v>4</v>
      </c>
      <c r="L519" s="91"/>
      <c r="M519" s="92"/>
    </row>
    <row r="520" spans="1:13" s="45" customFormat="1" ht="8.5500000000000007" customHeight="1" x14ac:dyDescent="0.2">
      <c r="A520" s="43"/>
      <c r="B520" s="158"/>
      <c r="C520" s="158"/>
      <c r="D520" s="158"/>
      <c r="E520" s="158"/>
      <c r="F520" s="159"/>
      <c r="G520" s="166"/>
      <c r="H520" s="168"/>
      <c r="I520" s="161"/>
      <c r="J520" s="163"/>
      <c r="K520" s="165"/>
      <c r="L520" s="91"/>
      <c r="M520" s="92"/>
    </row>
    <row r="521" spans="1:13" s="45" customFormat="1" ht="8.5500000000000007" customHeight="1" x14ac:dyDescent="0.2">
      <c r="A521" s="43"/>
      <c r="B521" s="156" t="s">
        <v>766</v>
      </c>
      <c r="C521" s="156"/>
      <c r="D521" s="156"/>
      <c r="E521" s="156"/>
      <c r="F521" s="157"/>
      <c r="G521" s="166">
        <v>1989</v>
      </c>
      <c r="H521" s="167">
        <v>89</v>
      </c>
      <c r="I521" s="160"/>
      <c r="J521" s="162" t="s">
        <v>37</v>
      </c>
      <c r="K521" s="164">
        <v>2</v>
      </c>
      <c r="L521" s="91"/>
      <c r="M521" s="92"/>
    </row>
    <row r="522" spans="1:13" s="45" customFormat="1" ht="8.5500000000000007" customHeight="1" x14ac:dyDescent="0.2">
      <c r="A522" s="43"/>
      <c r="B522" s="158"/>
      <c r="C522" s="158"/>
      <c r="D522" s="158"/>
      <c r="E522" s="158"/>
      <c r="F522" s="159"/>
      <c r="G522" s="166"/>
      <c r="H522" s="168"/>
      <c r="I522" s="161"/>
      <c r="J522" s="163"/>
      <c r="K522" s="165"/>
      <c r="L522" s="91"/>
      <c r="M522" s="92"/>
    </row>
    <row r="523" spans="1:13" s="45" customFormat="1" ht="8.5500000000000007" customHeight="1" x14ac:dyDescent="0.2">
      <c r="A523" s="43"/>
      <c r="B523" s="172" t="s">
        <v>748</v>
      </c>
      <c r="C523" s="172"/>
      <c r="D523" s="172"/>
      <c r="E523" s="172"/>
      <c r="F523" s="173"/>
      <c r="G523" s="166">
        <v>1982</v>
      </c>
      <c r="H523" s="167">
        <v>94</v>
      </c>
      <c r="I523" s="160">
        <v>86</v>
      </c>
      <c r="J523" s="162" t="s">
        <v>1004</v>
      </c>
      <c r="K523" s="164">
        <v>5</v>
      </c>
      <c r="L523" s="91"/>
      <c r="M523" s="92"/>
    </row>
    <row r="524" spans="1:13" s="45" customFormat="1" ht="8.5500000000000007" customHeight="1" x14ac:dyDescent="0.2">
      <c r="A524" s="43"/>
      <c r="B524" s="174"/>
      <c r="C524" s="174"/>
      <c r="D524" s="174"/>
      <c r="E524" s="174"/>
      <c r="F524" s="175"/>
      <c r="G524" s="166"/>
      <c r="H524" s="168"/>
      <c r="I524" s="161"/>
      <c r="J524" s="163"/>
      <c r="K524" s="165"/>
      <c r="L524" s="91"/>
      <c r="M524" s="92"/>
    </row>
    <row r="525" spans="1:13" s="45" customFormat="1" ht="8.5500000000000007" customHeight="1" x14ac:dyDescent="0.2">
      <c r="A525" s="43"/>
      <c r="B525" s="156" t="s">
        <v>748</v>
      </c>
      <c r="C525" s="156"/>
      <c r="D525" s="156"/>
      <c r="E525" s="156"/>
      <c r="F525" s="157"/>
      <c r="G525" s="166">
        <v>1986</v>
      </c>
      <c r="H525" s="167">
        <v>96</v>
      </c>
      <c r="I525" s="160">
        <v>91</v>
      </c>
      <c r="J525" s="162" t="s">
        <v>36</v>
      </c>
      <c r="K525" s="164">
        <v>1</v>
      </c>
      <c r="L525" s="91"/>
      <c r="M525" s="92"/>
    </row>
    <row r="526" spans="1:13" s="45" customFormat="1" ht="8.5500000000000007" customHeight="1" x14ac:dyDescent="0.2">
      <c r="A526" s="43"/>
      <c r="B526" s="158"/>
      <c r="C526" s="158"/>
      <c r="D526" s="158"/>
      <c r="E526" s="158"/>
      <c r="F526" s="159"/>
      <c r="G526" s="166"/>
      <c r="H526" s="168"/>
      <c r="I526" s="161"/>
      <c r="J526" s="163"/>
      <c r="K526" s="165"/>
      <c r="L526" s="91"/>
      <c r="M526" s="92"/>
    </row>
    <row r="527" spans="1:13" s="45" customFormat="1" ht="8.5500000000000007" customHeight="1" x14ac:dyDescent="0.2">
      <c r="A527" s="43"/>
      <c r="B527" s="156" t="s">
        <v>748</v>
      </c>
      <c r="C527" s="156"/>
      <c r="D527" s="156"/>
      <c r="E527" s="156"/>
      <c r="F527" s="157"/>
      <c r="G527" s="166">
        <v>1995</v>
      </c>
      <c r="H527" s="167">
        <v>88</v>
      </c>
      <c r="I527" s="160"/>
      <c r="J527" s="162" t="s">
        <v>1923</v>
      </c>
      <c r="K527" s="164">
        <v>1</v>
      </c>
      <c r="L527" s="91"/>
      <c r="M527" s="92"/>
    </row>
    <row r="528" spans="1:13" s="45" customFormat="1" ht="8.5500000000000007" customHeight="1" x14ac:dyDescent="0.2">
      <c r="A528" s="43"/>
      <c r="B528" s="158"/>
      <c r="C528" s="158"/>
      <c r="D528" s="158"/>
      <c r="E528" s="158"/>
      <c r="F528" s="159"/>
      <c r="G528" s="166"/>
      <c r="H528" s="168"/>
      <c r="I528" s="161"/>
      <c r="J528" s="163"/>
      <c r="K528" s="165"/>
      <c r="L528" s="91"/>
      <c r="M528" s="92"/>
    </row>
    <row r="529" spans="1:13" s="45" customFormat="1" ht="8.5500000000000007" customHeight="1" x14ac:dyDescent="0.2">
      <c r="A529" s="43"/>
      <c r="B529" s="156" t="s">
        <v>748</v>
      </c>
      <c r="C529" s="156"/>
      <c r="D529" s="156"/>
      <c r="E529" s="156"/>
      <c r="F529" s="157"/>
      <c r="G529" s="166">
        <v>1998</v>
      </c>
      <c r="H529" s="167">
        <v>88</v>
      </c>
      <c r="I529" s="160"/>
      <c r="J529" s="162" t="s">
        <v>1924</v>
      </c>
      <c r="K529" s="164">
        <v>1</v>
      </c>
      <c r="L529" s="91"/>
      <c r="M529" s="92"/>
    </row>
    <row r="530" spans="1:13" s="45" customFormat="1" ht="8.5500000000000007" customHeight="1" x14ac:dyDescent="0.2">
      <c r="A530" s="43"/>
      <c r="B530" s="158"/>
      <c r="C530" s="158"/>
      <c r="D530" s="158"/>
      <c r="E530" s="158"/>
      <c r="F530" s="159"/>
      <c r="G530" s="166"/>
      <c r="H530" s="168"/>
      <c r="I530" s="161"/>
      <c r="J530" s="163"/>
      <c r="K530" s="165"/>
      <c r="L530" s="91"/>
      <c r="M530" s="92"/>
    </row>
    <row r="531" spans="1:13" s="45" customFormat="1" ht="8.5500000000000007" customHeight="1" x14ac:dyDescent="0.2">
      <c r="A531" s="43"/>
      <c r="B531" s="156" t="s">
        <v>748</v>
      </c>
      <c r="C531" s="156"/>
      <c r="D531" s="156"/>
      <c r="E531" s="156"/>
      <c r="F531" s="157"/>
      <c r="G531" s="166">
        <v>2009</v>
      </c>
      <c r="H531" s="167">
        <v>91</v>
      </c>
      <c r="I531" s="160"/>
      <c r="J531" s="246" t="s">
        <v>249</v>
      </c>
      <c r="K531" s="164">
        <v>4</v>
      </c>
      <c r="L531" s="91"/>
      <c r="M531" s="92"/>
    </row>
    <row r="532" spans="1:13" s="45" customFormat="1" ht="8.5500000000000007" customHeight="1" x14ac:dyDescent="0.2">
      <c r="A532" s="43"/>
      <c r="B532" s="158"/>
      <c r="C532" s="158"/>
      <c r="D532" s="158"/>
      <c r="E532" s="158"/>
      <c r="F532" s="159"/>
      <c r="G532" s="166"/>
      <c r="H532" s="168"/>
      <c r="I532" s="161"/>
      <c r="J532" s="163"/>
      <c r="K532" s="165"/>
      <c r="L532" s="91"/>
      <c r="M532" s="92"/>
    </row>
    <row r="533" spans="1:13" s="45" customFormat="1" ht="8.5500000000000007" customHeight="1" x14ac:dyDescent="0.2">
      <c r="A533" s="43"/>
      <c r="B533" s="172" t="s">
        <v>8</v>
      </c>
      <c r="C533" s="172"/>
      <c r="D533" s="172"/>
      <c r="E533" s="172"/>
      <c r="F533" s="173"/>
      <c r="G533" s="166">
        <v>2006</v>
      </c>
      <c r="H533" s="167">
        <v>93</v>
      </c>
      <c r="I533" s="160">
        <v>90</v>
      </c>
      <c r="J533" s="162" t="s">
        <v>25</v>
      </c>
      <c r="K533" s="164">
        <v>4</v>
      </c>
      <c r="L533" s="91"/>
      <c r="M533" s="92"/>
    </row>
    <row r="534" spans="1:13" s="45" customFormat="1" ht="8.5500000000000007" customHeight="1" x14ac:dyDescent="0.2">
      <c r="A534" s="43"/>
      <c r="B534" s="174"/>
      <c r="C534" s="174"/>
      <c r="D534" s="174"/>
      <c r="E534" s="174"/>
      <c r="F534" s="175"/>
      <c r="G534" s="166"/>
      <c r="H534" s="168"/>
      <c r="I534" s="161"/>
      <c r="J534" s="163"/>
      <c r="K534" s="165"/>
      <c r="L534" s="91"/>
      <c r="M534" s="92"/>
    </row>
    <row r="535" spans="1:13" s="45" customFormat="1" ht="8.5500000000000007" customHeight="1" x14ac:dyDescent="0.2">
      <c r="A535" s="43"/>
      <c r="B535" s="156" t="s">
        <v>66</v>
      </c>
      <c r="C535" s="156"/>
      <c r="D535" s="156"/>
      <c r="E535" s="156"/>
      <c r="F535" s="157"/>
      <c r="G535" s="166">
        <v>2006</v>
      </c>
      <c r="H535" s="167">
        <v>87</v>
      </c>
      <c r="I535" s="160">
        <v>90</v>
      </c>
      <c r="J535" s="162" t="s">
        <v>1622</v>
      </c>
      <c r="K535" s="164">
        <v>1</v>
      </c>
      <c r="L535" s="91"/>
      <c r="M535" s="92"/>
    </row>
    <row r="536" spans="1:13" s="45" customFormat="1" ht="8.5500000000000007" customHeight="1" x14ac:dyDescent="0.2">
      <c r="A536" s="43"/>
      <c r="B536" s="158"/>
      <c r="C536" s="158"/>
      <c r="D536" s="158"/>
      <c r="E536" s="158"/>
      <c r="F536" s="159"/>
      <c r="G536" s="166"/>
      <c r="H536" s="168"/>
      <c r="I536" s="161"/>
      <c r="J536" s="163"/>
      <c r="K536" s="165"/>
      <c r="L536" s="91"/>
      <c r="M536" s="92"/>
    </row>
    <row r="537" spans="1:13" s="45" customFormat="1" ht="8.5500000000000007" customHeight="1" x14ac:dyDescent="0.2">
      <c r="A537" s="43"/>
      <c r="B537" s="156" t="s">
        <v>778</v>
      </c>
      <c r="C537" s="156"/>
      <c r="D537" s="156"/>
      <c r="E537" s="156"/>
      <c r="F537" s="157"/>
      <c r="G537" s="166">
        <v>2005</v>
      </c>
      <c r="H537" s="206" t="s">
        <v>1564</v>
      </c>
      <c r="I537" s="160">
        <v>92</v>
      </c>
      <c r="J537" s="162" t="s">
        <v>1554</v>
      </c>
      <c r="K537" s="164">
        <v>1</v>
      </c>
      <c r="L537" s="91"/>
      <c r="M537" s="92"/>
    </row>
    <row r="538" spans="1:13" s="45" customFormat="1" ht="8.5500000000000007" customHeight="1" x14ac:dyDescent="0.2">
      <c r="A538" s="43"/>
      <c r="B538" s="158"/>
      <c r="C538" s="158"/>
      <c r="D538" s="158"/>
      <c r="E538" s="158"/>
      <c r="F538" s="159"/>
      <c r="G538" s="166"/>
      <c r="H538" s="207"/>
      <c r="I538" s="161"/>
      <c r="J538" s="163"/>
      <c r="K538" s="165"/>
      <c r="L538" s="91"/>
      <c r="M538" s="92"/>
    </row>
    <row r="539" spans="1:13" s="45" customFormat="1" ht="8.5500000000000007" customHeight="1" x14ac:dyDescent="0.2">
      <c r="A539" s="43"/>
      <c r="B539" s="170" t="s">
        <v>953</v>
      </c>
      <c r="C539" s="170"/>
      <c r="D539" s="170"/>
      <c r="E539" s="170"/>
      <c r="F539" s="170"/>
      <c r="G539" s="47"/>
      <c r="H539" s="47"/>
      <c r="I539" s="48"/>
      <c r="J539" s="48"/>
      <c r="K539" s="224">
        <v>177</v>
      </c>
      <c r="L539" s="230">
        <f>+K539</f>
        <v>177</v>
      </c>
      <c r="M539" s="92"/>
    </row>
    <row r="540" spans="1:13" s="45" customFormat="1" ht="8.5500000000000007" customHeight="1" x14ac:dyDescent="0.2">
      <c r="A540" s="43"/>
      <c r="B540" s="171"/>
      <c r="C540" s="171"/>
      <c r="D540" s="171"/>
      <c r="E540" s="171"/>
      <c r="F540" s="171"/>
      <c r="G540" s="54"/>
      <c r="H540" s="54"/>
      <c r="I540" s="49"/>
      <c r="J540" s="49"/>
      <c r="K540" s="225"/>
      <c r="L540" s="231"/>
      <c r="M540" s="92"/>
    </row>
    <row r="541" spans="1:13" s="45" customFormat="1" ht="8.5500000000000007" customHeight="1" x14ac:dyDescent="0.2">
      <c r="A541" s="43"/>
      <c r="B541" s="170" t="s">
        <v>941</v>
      </c>
      <c r="C541" s="170"/>
      <c r="D541" s="170"/>
      <c r="E541" s="170"/>
      <c r="F541" s="170"/>
      <c r="G541" s="178"/>
      <c r="H541" s="47"/>
      <c r="I541" s="48"/>
      <c r="J541" s="48"/>
      <c r="K541" s="222"/>
      <c r="L541" s="91"/>
      <c r="M541" s="92"/>
    </row>
    <row r="542" spans="1:13" s="45" customFormat="1" ht="8.5500000000000007" customHeight="1" x14ac:dyDescent="0.2">
      <c r="A542" s="43"/>
      <c r="B542" s="171"/>
      <c r="C542" s="171"/>
      <c r="D542" s="171"/>
      <c r="E542" s="171"/>
      <c r="F542" s="171"/>
      <c r="G542" s="178"/>
      <c r="H542" s="54"/>
      <c r="I542" s="49"/>
      <c r="J542" s="49"/>
      <c r="K542" s="165"/>
      <c r="L542" s="91"/>
      <c r="M542" s="92"/>
    </row>
    <row r="543" spans="1:13" s="45" customFormat="1" ht="8.5500000000000007" customHeight="1" x14ac:dyDescent="0.2">
      <c r="A543" s="43"/>
      <c r="B543" s="172" t="s">
        <v>120</v>
      </c>
      <c r="C543" s="172"/>
      <c r="D543" s="172"/>
      <c r="E543" s="172"/>
      <c r="F543" s="173"/>
      <c r="G543" s="166">
        <v>2003</v>
      </c>
      <c r="H543" s="167">
        <v>93</v>
      </c>
      <c r="I543" s="160">
        <v>92</v>
      </c>
      <c r="J543" s="162" t="s">
        <v>1616</v>
      </c>
      <c r="K543" s="164">
        <v>2</v>
      </c>
      <c r="L543" s="91"/>
      <c r="M543" s="92"/>
    </row>
    <row r="544" spans="1:13" s="45" customFormat="1" ht="8.5500000000000007" customHeight="1" x14ac:dyDescent="0.2">
      <c r="A544" s="43"/>
      <c r="B544" s="174"/>
      <c r="C544" s="174"/>
      <c r="D544" s="174"/>
      <c r="E544" s="174"/>
      <c r="F544" s="175"/>
      <c r="G544" s="166"/>
      <c r="H544" s="168"/>
      <c r="I544" s="161"/>
      <c r="J544" s="163"/>
      <c r="K544" s="165"/>
      <c r="L544" s="91"/>
      <c r="M544" s="92"/>
    </row>
    <row r="545" spans="1:13" s="45" customFormat="1" ht="8.5500000000000007" customHeight="1" x14ac:dyDescent="0.2">
      <c r="A545" s="43"/>
      <c r="B545" s="156" t="s">
        <v>120</v>
      </c>
      <c r="C545" s="156"/>
      <c r="D545" s="156"/>
      <c r="E545" s="156"/>
      <c r="F545" s="157"/>
      <c r="G545" s="166">
        <v>2005</v>
      </c>
      <c r="H545" s="167" t="s">
        <v>638</v>
      </c>
      <c r="I545" s="160">
        <v>88</v>
      </c>
      <c r="J545" s="162" t="s">
        <v>1036</v>
      </c>
      <c r="K545" s="164">
        <v>3</v>
      </c>
      <c r="L545" s="91"/>
      <c r="M545" s="92"/>
    </row>
    <row r="546" spans="1:13" s="45" customFormat="1" ht="8.5500000000000007" customHeight="1" x14ac:dyDescent="0.2">
      <c r="A546" s="43"/>
      <c r="B546" s="158"/>
      <c r="C546" s="158"/>
      <c r="D546" s="158"/>
      <c r="E546" s="158"/>
      <c r="F546" s="159"/>
      <c r="G546" s="166"/>
      <c r="H546" s="168"/>
      <c r="I546" s="161"/>
      <c r="J546" s="163"/>
      <c r="K546" s="165"/>
      <c r="L546" s="91"/>
      <c r="M546" s="92"/>
    </row>
    <row r="547" spans="1:13" s="45" customFormat="1" ht="8.5500000000000007" customHeight="1" x14ac:dyDescent="0.2">
      <c r="A547" s="43"/>
      <c r="B547" s="156" t="s">
        <v>71</v>
      </c>
      <c r="C547" s="156"/>
      <c r="D547" s="156"/>
      <c r="E547" s="156"/>
      <c r="F547" s="157"/>
      <c r="G547" s="166">
        <v>2005</v>
      </c>
      <c r="H547" s="167">
        <v>94</v>
      </c>
      <c r="I547" s="160">
        <v>91</v>
      </c>
      <c r="J547" s="162" t="s">
        <v>1925</v>
      </c>
      <c r="K547" s="164">
        <v>2</v>
      </c>
      <c r="L547" s="91"/>
      <c r="M547" s="92"/>
    </row>
    <row r="548" spans="1:13" s="45" customFormat="1" ht="8.5500000000000007" customHeight="1" x14ac:dyDescent="0.2">
      <c r="A548" s="43"/>
      <c r="B548" s="158"/>
      <c r="C548" s="158"/>
      <c r="D548" s="158"/>
      <c r="E548" s="158"/>
      <c r="F548" s="159"/>
      <c r="G548" s="166"/>
      <c r="H548" s="168"/>
      <c r="I548" s="161"/>
      <c r="J548" s="163"/>
      <c r="K548" s="165"/>
      <c r="L548" s="91"/>
      <c r="M548" s="92"/>
    </row>
    <row r="549" spans="1:13" s="45" customFormat="1" ht="8.5500000000000007" customHeight="1" x14ac:dyDescent="0.2">
      <c r="A549" s="43"/>
      <c r="B549" s="170" t="s">
        <v>954</v>
      </c>
      <c r="C549" s="170"/>
      <c r="D549" s="170"/>
      <c r="E549" s="170"/>
      <c r="F549" s="170"/>
      <c r="G549" s="47"/>
      <c r="H549" s="47"/>
      <c r="I549" s="48"/>
      <c r="J549" s="48"/>
      <c r="K549" s="224">
        <v>7</v>
      </c>
      <c r="L549" s="230">
        <f>+K549</f>
        <v>7</v>
      </c>
      <c r="M549" s="92"/>
    </row>
    <row r="550" spans="1:13" s="45" customFormat="1" ht="8.5500000000000007" customHeight="1" x14ac:dyDescent="0.2">
      <c r="A550" s="43"/>
      <c r="B550" s="171"/>
      <c r="C550" s="171"/>
      <c r="D550" s="171"/>
      <c r="E550" s="171"/>
      <c r="F550" s="171"/>
      <c r="G550" s="54"/>
      <c r="H550" s="54"/>
      <c r="I550" s="49"/>
      <c r="J550" s="49"/>
      <c r="K550" s="225"/>
      <c r="L550" s="231"/>
      <c r="M550" s="92"/>
    </row>
    <row r="551" spans="1:13" s="45" customFormat="1" ht="8.5500000000000007" customHeight="1" x14ac:dyDescent="0.2">
      <c r="A551" s="43"/>
      <c r="B551" s="170" t="s">
        <v>955</v>
      </c>
      <c r="C551" s="170"/>
      <c r="D551" s="170"/>
      <c r="E551" s="170"/>
      <c r="F551" s="170"/>
      <c r="G551" s="178"/>
      <c r="H551" s="47"/>
      <c r="I551" s="48"/>
      <c r="J551" s="48"/>
      <c r="K551" s="222"/>
      <c r="L551" s="91"/>
      <c r="M551" s="92"/>
    </row>
    <row r="552" spans="1:13" s="45" customFormat="1" ht="8.5500000000000007" customHeight="1" x14ac:dyDescent="0.2">
      <c r="A552" s="43"/>
      <c r="B552" s="171"/>
      <c r="C552" s="171"/>
      <c r="D552" s="171"/>
      <c r="E552" s="171"/>
      <c r="F552" s="171"/>
      <c r="G552" s="178"/>
      <c r="H552" s="54"/>
      <c r="I552" s="49"/>
      <c r="J552" s="49"/>
      <c r="K552" s="165"/>
      <c r="L552" s="91"/>
      <c r="M552" s="92"/>
    </row>
    <row r="553" spans="1:13" s="45" customFormat="1" ht="8.5500000000000007" customHeight="1" x14ac:dyDescent="0.2">
      <c r="A553" s="43"/>
      <c r="B553" s="156" t="s">
        <v>167</v>
      </c>
      <c r="C553" s="156"/>
      <c r="D553" s="156"/>
      <c r="E553" s="156"/>
      <c r="F553" s="157"/>
      <c r="G553" s="166">
        <v>1959</v>
      </c>
      <c r="H553" s="167">
        <v>93</v>
      </c>
      <c r="I553" s="160">
        <v>98</v>
      </c>
      <c r="J553" s="169"/>
      <c r="K553" s="164">
        <v>1</v>
      </c>
      <c r="L553" s="91"/>
      <c r="M553" s="92"/>
    </row>
    <row r="554" spans="1:13" s="45" customFormat="1" ht="8.5500000000000007" customHeight="1" x14ac:dyDescent="0.2">
      <c r="A554" s="43"/>
      <c r="B554" s="158"/>
      <c r="C554" s="158"/>
      <c r="D554" s="158"/>
      <c r="E554" s="158"/>
      <c r="F554" s="159"/>
      <c r="G554" s="166"/>
      <c r="H554" s="168"/>
      <c r="I554" s="161"/>
      <c r="J554" s="168"/>
      <c r="K554" s="165"/>
      <c r="L554" s="91"/>
      <c r="M554" s="92"/>
    </row>
    <row r="555" spans="1:13" s="45" customFormat="1" ht="8.5500000000000007" customHeight="1" x14ac:dyDescent="0.2">
      <c r="A555" s="243"/>
      <c r="B555" s="172" t="s">
        <v>167</v>
      </c>
      <c r="C555" s="172"/>
      <c r="D555" s="172"/>
      <c r="E555" s="172"/>
      <c r="F555" s="173"/>
      <c r="G555" s="196">
        <v>1979</v>
      </c>
      <c r="H555" s="197">
        <v>93</v>
      </c>
      <c r="I555" s="203"/>
      <c r="J555" s="244" t="s">
        <v>113</v>
      </c>
      <c r="K555" s="228">
        <v>2</v>
      </c>
      <c r="L555" s="91"/>
      <c r="M555" s="92"/>
    </row>
    <row r="556" spans="1:13" s="45" customFormat="1" ht="8.5500000000000007" customHeight="1" x14ac:dyDescent="0.2">
      <c r="A556" s="243"/>
      <c r="B556" s="174"/>
      <c r="C556" s="174"/>
      <c r="D556" s="174"/>
      <c r="E556" s="174"/>
      <c r="F556" s="175"/>
      <c r="G556" s="196"/>
      <c r="H556" s="198"/>
      <c r="I556" s="204"/>
      <c r="J556" s="245"/>
      <c r="K556" s="229"/>
      <c r="L556" s="91"/>
      <c r="M556" s="92"/>
    </row>
    <row r="557" spans="1:13" s="45" customFormat="1" ht="8.5500000000000007" customHeight="1" x14ac:dyDescent="0.2">
      <c r="A557" s="43"/>
      <c r="B557" s="156" t="s">
        <v>167</v>
      </c>
      <c r="C557" s="156"/>
      <c r="D557" s="156"/>
      <c r="E557" s="156"/>
      <c r="F557" s="157"/>
      <c r="G557" s="166">
        <v>1982</v>
      </c>
      <c r="H557" s="167">
        <v>96</v>
      </c>
      <c r="I557" s="160"/>
      <c r="J557" s="162" t="s">
        <v>1926</v>
      </c>
      <c r="K557" s="164">
        <v>1</v>
      </c>
      <c r="L557" s="91"/>
      <c r="M557" s="92"/>
    </row>
    <row r="558" spans="1:13" s="45" customFormat="1" ht="8.5500000000000007" customHeight="1" x14ac:dyDescent="0.2">
      <c r="A558" s="43"/>
      <c r="B558" s="158"/>
      <c r="C558" s="158"/>
      <c r="D558" s="158"/>
      <c r="E558" s="158"/>
      <c r="F558" s="159"/>
      <c r="G558" s="166"/>
      <c r="H558" s="168"/>
      <c r="I558" s="161"/>
      <c r="J558" s="163"/>
      <c r="K558" s="165"/>
      <c r="L558" s="91"/>
      <c r="M558" s="92"/>
    </row>
    <row r="559" spans="1:13" s="45" customFormat="1" ht="8.5500000000000007" customHeight="1" x14ac:dyDescent="0.2">
      <c r="A559" s="43"/>
      <c r="B559" s="156" t="s">
        <v>167</v>
      </c>
      <c r="C559" s="156"/>
      <c r="D559" s="156"/>
      <c r="E559" s="156"/>
      <c r="F559" s="157"/>
      <c r="G559" s="166">
        <v>1989</v>
      </c>
      <c r="H559" s="167">
        <v>100</v>
      </c>
      <c r="I559" s="160">
        <v>100</v>
      </c>
      <c r="J559" s="169" t="s">
        <v>1927</v>
      </c>
      <c r="K559" s="164">
        <v>7</v>
      </c>
      <c r="L559" s="91"/>
      <c r="M559" s="92"/>
    </row>
    <row r="560" spans="1:13" s="45" customFormat="1" ht="8.5500000000000007" customHeight="1" x14ac:dyDescent="0.2">
      <c r="A560" s="43"/>
      <c r="B560" s="158"/>
      <c r="C560" s="158"/>
      <c r="D560" s="158"/>
      <c r="E560" s="158"/>
      <c r="F560" s="159"/>
      <c r="G560" s="166"/>
      <c r="H560" s="168"/>
      <c r="I560" s="161"/>
      <c r="J560" s="168"/>
      <c r="K560" s="165"/>
      <c r="L560" s="91"/>
      <c r="M560" s="92"/>
    </row>
    <row r="561" spans="1:13" s="45" customFormat="1" ht="8.5500000000000007" customHeight="1" x14ac:dyDescent="0.2">
      <c r="A561" s="43"/>
      <c r="B561" s="156" t="s">
        <v>167</v>
      </c>
      <c r="C561" s="156"/>
      <c r="D561" s="156"/>
      <c r="E561" s="156"/>
      <c r="F561" s="157"/>
      <c r="G561" s="166">
        <v>1990</v>
      </c>
      <c r="H561" s="167">
        <v>98</v>
      </c>
      <c r="I561" s="160">
        <v>94</v>
      </c>
      <c r="J561" s="162" t="s">
        <v>34</v>
      </c>
      <c r="K561" s="164">
        <v>7</v>
      </c>
      <c r="L561" s="91"/>
      <c r="M561" s="92"/>
    </row>
    <row r="562" spans="1:13" s="45" customFormat="1" ht="8.5500000000000007" customHeight="1" x14ac:dyDescent="0.2">
      <c r="A562" s="43"/>
      <c r="B562" s="158"/>
      <c r="C562" s="158"/>
      <c r="D562" s="158"/>
      <c r="E562" s="158"/>
      <c r="F562" s="159"/>
      <c r="G562" s="166"/>
      <c r="H562" s="168"/>
      <c r="I562" s="161"/>
      <c r="J562" s="163"/>
      <c r="K562" s="165"/>
      <c r="L562" s="91"/>
      <c r="M562" s="92"/>
    </row>
    <row r="563" spans="1:13" s="45" customFormat="1" ht="8.5500000000000007" customHeight="1" x14ac:dyDescent="0.2">
      <c r="A563" s="43"/>
      <c r="B563" s="156" t="s">
        <v>167</v>
      </c>
      <c r="C563" s="156"/>
      <c r="D563" s="156"/>
      <c r="E563" s="156"/>
      <c r="F563" s="157"/>
      <c r="G563" s="166">
        <v>1994</v>
      </c>
      <c r="H563" s="167">
        <v>92</v>
      </c>
      <c r="I563" s="160"/>
      <c r="J563" s="162" t="s">
        <v>2006</v>
      </c>
      <c r="K563" s="164">
        <v>3</v>
      </c>
      <c r="L563" s="91"/>
      <c r="M563" s="92"/>
    </row>
    <row r="564" spans="1:13" s="45" customFormat="1" ht="8.5500000000000007" customHeight="1" x14ac:dyDescent="0.2">
      <c r="A564" s="43"/>
      <c r="B564" s="158"/>
      <c r="C564" s="158"/>
      <c r="D564" s="158"/>
      <c r="E564" s="158"/>
      <c r="F564" s="159"/>
      <c r="G564" s="166"/>
      <c r="H564" s="168"/>
      <c r="I564" s="161"/>
      <c r="J564" s="163"/>
      <c r="K564" s="165"/>
      <c r="L564" s="91"/>
      <c r="M564" s="92"/>
    </row>
    <row r="565" spans="1:13" s="45" customFormat="1" ht="8.5500000000000007" customHeight="1" x14ac:dyDescent="0.2">
      <c r="A565" s="43"/>
      <c r="B565" s="156" t="s">
        <v>167</v>
      </c>
      <c r="C565" s="156"/>
      <c r="D565" s="156"/>
      <c r="E565" s="156"/>
      <c r="F565" s="157"/>
      <c r="G565" s="166">
        <v>1995</v>
      </c>
      <c r="H565" s="167">
        <v>96</v>
      </c>
      <c r="I565" s="160">
        <v>95</v>
      </c>
      <c r="J565" s="162" t="s">
        <v>399</v>
      </c>
      <c r="K565" s="164">
        <v>4</v>
      </c>
      <c r="L565" s="91"/>
      <c r="M565" s="92"/>
    </row>
    <row r="566" spans="1:13" s="45" customFormat="1" ht="8.5500000000000007" customHeight="1" x14ac:dyDescent="0.2">
      <c r="A566" s="43"/>
      <c r="B566" s="158"/>
      <c r="C566" s="158"/>
      <c r="D566" s="158"/>
      <c r="E566" s="158"/>
      <c r="F566" s="159"/>
      <c r="G566" s="166"/>
      <c r="H566" s="168"/>
      <c r="I566" s="161"/>
      <c r="J566" s="163"/>
      <c r="K566" s="165"/>
      <c r="L566" s="91"/>
      <c r="M566" s="92"/>
    </row>
    <row r="567" spans="1:13" s="45" customFormat="1" ht="8.5500000000000007" customHeight="1" x14ac:dyDescent="0.2">
      <c r="A567" s="43"/>
      <c r="B567" s="156" t="s">
        <v>167</v>
      </c>
      <c r="C567" s="156"/>
      <c r="D567" s="156"/>
      <c r="E567" s="156"/>
      <c r="F567" s="157"/>
      <c r="G567" s="166">
        <v>1998</v>
      </c>
      <c r="H567" s="167">
        <v>100</v>
      </c>
      <c r="I567" s="160">
        <v>97</v>
      </c>
      <c r="J567" s="162" t="s">
        <v>419</v>
      </c>
      <c r="K567" s="164">
        <v>7</v>
      </c>
      <c r="L567" s="91"/>
      <c r="M567" s="92"/>
    </row>
    <row r="568" spans="1:13" s="45" customFormat="1" ht="8.5500000000000007" customHeight="1" x14ac:dyDescent="0.2">
      <c r="A568" s="43"/>
      <c r="B568" s="158"/>
      <c r="C568" s="158"/>
      <c r="D568" s="158"/>
      <c r="E568" s="158"/>
      <c r="F568" s="159"/>
      <c r="G568" s="166"/>
      <c r="H568" s="168"/>
      <c r="I568" s="161"/>
      <c r="J568" s="163"/>
      <c r="K568" s="165"/>
      <c r="L568" s="91"/>
      <c r="M568" s="92"/>
    </row>
    <row r="569" spans="1:13" s="45" customFormat="1" ht="8.5500000000000007" customHeight="1" x14ac:dyDescent="0.2">
      <c r="A569" s="43"/>
      <c r="B569" s="170" t="s">
        <v>956</v>
      </c>
      <c r="C569" s="170"/>
      <c r="D569" s="170"/>
      <c r="E569" s="170"/>
      <c r="F569" s="170"/>
      <c r="G569" s="178"/>
      <c r="H569" s="47"/>
      <c r="I569" s="48"/>
      <c r="J569" s="48"/>
      <c r="K569" s="164"/>
      <c r="L569" s="91"/>
      <c r="M569" s="92"/>
    </row>
    <row r="570" spans="1:13" s="45" customFormat="1" ht="8.5500000000000007" customHeight="1" x14ac:dyDescent="0.2">
      <c r="A570" s="43"/>
      <c r="B570" s="171"/>
      <c r="C570" s="171"/>
      <c r="D570" s="171"/>
      <c r="E570" s="171"/>
      <c r="F570" s="171"/>
      <c r="G570" s="178"/>
      <c r="H570" s="54"/>
      <c r="I570" s="49"/>
      <c r="J570" s="49"/>
      <c r="K570" s="165"/>
      <c r="L570" s="91"/>
      <c r="M570" s="92"/>
    </row>
    <row r="571" spans="1:13" s="45" customFormat="1" ht="8.5500000000000007" customHeight="1" x14ac:dyDescent="0.2">
      <c r="A571" s="43"/>
      <c r="B571" s="156" t="s">
        <v>167</v>
      </c>
      <c r="C571" s="156"/>
      <c r="D571" s="156"/>
      <c r="E571" s="156"/>
      <c r="F571" s="157"/>
      <c r="G571" s="166">
        <v>2000</v>
      </c>
      <c r="H571" s="167" t="s">
        <v>630</v>
      </c>
      <c r="I571" s="160">
        <v>94</v>
      </c>
      <c r="J571" s="169" t="s">
        <v>39</v>
      </c>
      <c r="K571" s="164">
        <v>8</v>
      </c>
      <c r="L571" s="91"/>
      <c r="M571" s="92"/>
    </row>
    <row r="572" spans="1:13" s="45" customFormat="1" ht="8.5500000000000007" customHeight="1" x14ac:dyDescent="0.2">
      <c r="A572" s="43"/>
      <c r="B572" s="158"/>
      <c r="C572" s="158"/>
      <c r="D572" s="158"/>
      <c r="E572" s="158"/>
      <c r="F572" s="159"/>
      <c r="G572" s="166"/>
      <c r="H572" s="168"/>
      <c r="I572" s="161"/>
      <c r="J572" s="168"/>
      <c r="K572" s="165"/>
      <c r="L572" s="91"/>
      <c r="M572" s="92"/>
    </row>
    <row r="573" spans="1:13" s="45" customFormat="1" ht="8.5500000000000007" customHeight="1" x14ac:dyDescent="0.2">
      <c r="A573" s="43"/>
      <c r="B573" s="156" t="s">
        <v>167</v>
      </c>
      <c r="C573" s="156"/>
      <c r="D573" s="156"/>
      <c r="E573" s="156"/>
      <c r="F573" s="157"/>
      <c r="G573" s="166">
        <v>2001</v>
      </c>
      <c r="H573" s="167">
        <v>94</v>
      </c>
      <c r="I573" s="160">
        <v>95</v>
      </c>
      <c r="J573" s="162" t="s">
        <v>121</v>
      </c>
      <c r="K573" s="164">
        <v>10</v>
      </c>
      <c r="L573" s="91"/>
      <c r="M573" s="92"/>
    </row>
    <row r="574" spans="1:13" s="45" customFormat="1" ht="8.5500000000000007" customHeight="1" x14ac:dyDescent="0.2">
      <c r="A574" s="43"/>
      <c r="B574" s="158"/>
      <c r="C574" s="158"/>
      <c r="D574" s="158"/>
      <c r="E574" s="158"/>
      <c r="F574" s="159"/>
      <c r="G574" s="166"/>
      <c r="H574" s="168"/>
      <c r="I574" s="161"/>
      <c r="J574" s="163"/>
      <c r="K574" s="165"/>
      <c r="L574" s="91"/>
      <c r="M574" s="92"/>
    </row>
    <row r="575" spans="1:13" s="45" customFormat="1" ht="8.5500000000000007" customHeight="1" x14ac:dyDescent="0.2">
      <c r="A575" s="43"/>
      <c r="B575" s="156" t="s">
        <v>167</v>
      </c>
      <c r="C575" s="156"/>
      <c r="D575" s="156"/>
      <c r="E575" s="156"/>
      <c r="F575" s="157"/>
      <c r="G575" s="166">
        <v>2002</v>
      </c>
      <c r="H575" s="167">
        <v>93</v>
      </c>
      <c r="I575" s="160">
        <v>93</v>
      </c>
      <c r="J575" s="162" t="s">
        <v>265</v>
      </c>
      <c r="K575" s="164">
        <v>3</v>
      </c>
      <c r="L575" s="91"/>
      <c r="M575" s="92"/>
    </row>
    <row r="576" spans="1:13" s="45" customFormat="1" ht="8.5500000000000007" customHeight="1" x14ac:dyDescent="0.2">
      <c r="A576" s="43"/>
      <c r="B576" s="158"/>
      <c r="C576" s="158"/>
      <c r="D576" s="158"/>
      <c r="E576" s="158"/>
      <c r="F576" s="159"/>
      <c r="G576" s="166"/>
      <c r="H576" s="168"/>
      <c r="I576" s="161"/>
      <c r="J576" s="163"/>
      <c r="K576" s="165"/>
      <c r="L576" s="91"/>
      <c r="M576" s="92"/>
    </row>
    <row r="577" spans="1:13" s="45" customFormat="1" ht="8.5500000000000007" customHeight="1" x14ac:dyDescent="0.2">
      <c r="A577" s="43"/>
      <c r="B577" s="156" t="s">
        <v>167</v>
      </c>
      <c r="C577" s="156"/>
      <c r="D577" s="156"/>
      <c r="E577" s="156"/>
      <c r="F577" s="157"/>
      <c r="G577" s="166">
        <v>2003</v>
      </c>
      <c r="H577" s="167">
        <v>95</v>
      </c>
      <c r="I577" s="160">
        <v>96</v>
      </c>
      <c r="J577" s="162" t="s">
        <v>251</v>
      </c>
      <c r="K577" s="164">
        <v>8</v>
      </c>
      <c r="L577" s="91"/>
      <c r="M577" s="92"/>
    </row>
    <row r="578" spans="1:13" s="45" customFormat="1" ht="8.5500000000000007" customHeight="1" x14ac:dyDescent="0.2">
      <c r="A578" s="43"/>
      <c r="B578" s="158"/>
      <c r="C578" s="158"/>
      <c r="D578" s="158"/>
      <c r="E578" s="158"/>
      <c r="F578" s="159"/>
      <c r="G578" s="166"/>
      <c r="H578" s="168"/>
      <c r="I578" s="161"/>
      <c r="J578" s="163"/>
      <c r="K578" s="165"/>
      <c r="L578" s="91"/>
      <c r="M578" s="92"/>
    </row>
    <row r="579" spans="1:13" s="45" customFormat="1" ht="8.5500000000000007" customHeight="1" x14ac:dyDescent="0.2">
      <c r="A579" s="43"/>
      <c r="B579" s="156" t="s">
        <v>167</v>
      </c>
      <c r="C579" s="156"/>
      <c r="D579" s="156"/>
      <c r="E579" s="156"/>
      <c r="F579" s="157"/>
      <c r="G579" s="166">
        <v>2009</v>
      </c>
      <c r="H579" s="167">
        <v>100</v>
      </c>
      <c r="I579" s="160"/>
      <c r="J579" s="162" t="s">
        <v>1928</v>
      </c>
      <c r="K579" s="164">
        <v>3</v>
      </c>
      <c r="L579" s="91"/>
      <c r="M579" s="92"/>
    </row>
    <row r="580" spans="1:13" s="45" customFormat="1" ht="8.5500000000000007" customHeight="1" x14ac:dyDescent="0.2">
      <c r="A580" s="43"/>
      <c r="B580" s="158"/>
      <c r="C580" s="158"/>
      <c r="D580" s="158"/>
      <c r="E580" s="158"/>
      <c r="F580" s="159"/>
      <c r="G580" s="166"/>
      <c r="H580" s="168"/>
      <c r="I580" s="161"/>
      <c r="J580" s="163"/>
      <c r="K580" s="165"/>
      <c r="L580" s="91"/>
      <c r="M580" s="92"/>
    </row>
    <row r="581" spans="1:13" s="45" customFormat="1" ht="8.5500000000000007" customHeight="1" x14ac:dyDescent="0.2">
      <c r="A581" s="43"/>
      <c r="B581" s="156" t="s">
        <v>167</v>
      </c>
      <c r="C581" s="156"/>
      <c r="D581" s="156"/>
      <c r="E581" s="156"/>
      <c r="F581" s="157"/>
      <c r="G581" s="166">
        <v>2016</v>
      </c>
      <c r="H581" s="167">
        <v>100</v>
      </c>
      <c r="I581" s="160"/>
      <c r="J581" s="162" t="s">
        <v>1555</v>
      </c>
      <c r="K581" s="164">
        <v>6</v>
      </c>
      <c r="L581" s="91"/>
      <c r="M581" s="92"/>
    </row>
    <row r="582" spans="1:13" s="45" customFormat="1" ht="8.5500000000000007" customHeight="1" x14ac:dyDescent="0.2">
      <c r="A582" s="43"/>
      <c r="B582" s="158"/>
      <c r="C582" s="158"/>
      <c r="D582" s="158"/>
      <c r="E582" s="158"/>
      <c r="F582" s="159"/>
      <c r="G582" s="166"/>
      <c r="H582" s="168"/>
      <c r="I582" s="161"/>
      <c r="J582" s="163"/>
      <c r="K582" s="165"/>
      <c r="L582" s="91"/>
      <c r="M582" s="92"/>
    </row>
    <row r="583" spans="1:13" s="45" customFormat="1" ht="8.5500000000000007" customHeight="1" x14ac:dyDescent="0.2">
      <c r="A583" s="43"/>
      <c r="B583" s="172" t="s">
        <v>56</v>
      </c>
      <c r="C583" s="172"/>
      <c r="D583" s="172"/>
      <c r="E583" s="172"/>
      <c r="F583" s="173"/>
      <c r="G583" s="166">
        <v>1955</v>
      </c>
      <c r="H583" s="167">
        <v>100</v>
      </c>
      <c r="I583" s="160">
        <v>89</v>
      </c>
      <c r="J583" s="162" t="s">
        <v>32</v>
      </c>
      <c r="K583" s="164">
        <v>1</v>
      </c>
      <c r="L583" s="91"/>
      <c r="M583" s="92"/>
    </row>
    <row r="584" spans="1:13" s="45" customFormat="1" ht="8.5500000000000007" customHeight="1" x14ac:dyDescent="0.2">
      <c r="A584" s="43"/>
      <c r="B584" s="174"/>
      <c r="C584" s="174"/>
      <c r="D584" s="174"/>
      <c r="E584" s="174"/>
      <c r="F584" s="175"/>
      <c r="G584" s="166"/>
      <c r="H584" s="168"/>
      <c r="I584" s="161"/>
      <c r="J584" s="163"/>
      <c r="K584" s="165"/>
      <c r="L584" s="91"/>
      <c r="M584" s="92"/>
    </row>
    <row r="585" spans="1:13" s="45" customFormat="1" ht="8.5500000000000007" customHeight="1" x14ac:dyDescent="0.2">
      <c r="A585" s="43"/>
      <c r="B585" s="156" t="s">
        <v>56</v>
      </c>
      <c r="C585" s="156"/>
      <c r="D585" s="156"/>
      <c r="E585" s="156"/>
      <c r="F585" s="157"/>
      <c r="G585" s="166">
        <v>1961</v>
      </c>
      <c r="H585" s="167">
        <v>100</v>
      </c>
      <c r="I585" s="160"/>
      <c r="J585" s="162" t="s">
        <v>674</v>
      </c>
      <c r="K585" s="164">
        <v>2</v>
      </c>
      <c r="L585" s="91"/>
      <c r="M585" s="92"/>
    </row>
    <row r="586" spans="1:13" s="45" customFormat="1" ht="8.5500000000000007" customHeight="1" x14ac:dyDescent="0.2">
      <c r="A586" s="43"/>
      <c r="B586" s="158"/>
      <c r="C586" s="158"/>
      <c r="D586" s="158"/>
      <c r="E586" s="158"/>
      <c r="F586" s="159"/>
      <c r="G586" s="166"/>
      <c r="H586" s="168"/>
      <c r="I586" s="161"/>
      <c r="J586" s="163"/>
      <c r="K586" s="165"/>
      <c r="L586" s="91"/>
      <c r="M586" s="92"/>
    </row>
    <row r="587" spans="1:13" s="45" customFormat="1" ht="8.5500000000000007" customHeight="1" x14ac:dyDescent="0.2">
      <c r="A587" s="43"/>
      <c r="B587" s="156" t="s">
        <v>56</v>
      </c>
      <c r="C587" s="156"/>
      <c r="D587" s="156"/>
      <c r="E587" s="156"/>
      <c r="F587" s="157"/>
      <c r="G587" s="166">
        <v>1975</v>
      </c>
      <c r="H587" s="167">
        <v>97</v>
      </c>
      <c r="I587" s="160">
        <v>90</v>
      </c>
      <c r="J587" s="162" t="s">
        <v>1929</v>
      </c>
      <c r="K587" s="164">
        <v>1</v>
      </c>
      <c r="L587" s="91"/>
      <c r="M587" s="92"/>
    </row>
    <row r="588" spans="1:13" s="45" customFormat="1" ht="8.5500000000000007" customHeight="1" x14ac:dyDescent="0.2">
      <c r="A588" s="43"/>
      <c r="B588" s="158"/>
      <c r="C588" s="158"/>
      <c r="D588" s="158"/>
      <c r="E588" s="158"/>
      <c r="F588" s="159"/>
      <c r="G588" s="166"/>
      <c r="H588" s="168"/>
      <c r="I588" s="161"/>
      <c r="J588" s="163"/>
      <c r="K588" s="165"/>
      <c r="L588" s="91"/>
      <c r="M588" s="92"/>
    </row>
    <row r="589" spans="1:13" s="45" customFormat="1" ht="8.5500000000000007" customHeight="1" x14ac:dyDescent="0.2">
      <c r="A589" s="43"/>
      <c r="B589" s="156" t="s">
        <v>56</v>
      </c>
      <c r="C589" s="156"/>
      <c r="D589" s="156"/>
      <c r="E589" s="156"/>
      <c r="F589" s="157"/>
      <c r="G589" s="166">
        <v>1978</v>
      </c>
      <c r="H589" s="167">
        <v>97</v>
      </c>
      <c r="I589" s="160">
        <v>94</v>
      </c>
      <c r="J589" s="162" t="s">
        <v>1930</v>
      </c>
      <c r="K589" s="164">
        <v>1</v>
      </c>
      <c r="L589" s="91"/>
      <c r="M589" s="92"/>
    </row>
    <row r="590" spans="1:13" s="45" customFormat="1" ht="8.5500000000000007" customHeight="1" x14ac:dyDescent="0.2">
      <c r="A590" s="43"/>
      <c r="B590" s="158"/>
      <c r="C590" s="158"/>
      <c r="D590" s="158"/>
      <c r="E590" s="158"/>
      <c r="F590" s="159"/>
      <c r="G590" s="166"/>
      <c r="H590" s="168"/>
      <c r="I590" s="161"/>
      <c r="J590" s="163"/>
      <c r="K590" s="165"/>
      <c r="L590" s="91"/>
      <c r="M590" s="92"/>
    </row>
    <row r="591" spans="1:13" s="45" customFormat="1" ht="8.5500000000000007" customHeight="1" x14ac:dyDescent="0.2">
      <c r="A591" s="43"/>
      <c r="B591" s="156" t="s">
        <v>56</v>
      </c>
      <c r="C591" s="156"/>
      <c r="D591" s="156"/>
      <c r="E591" s="156"/>
      <c r="F591" s="157"/>
      <c r="G591" s="166">
        <v>1982</v>
      </c>
      <c r="H591" s="167">
        <v>100</v>
      </c>
      <c r="I591" s="160">
        <v>94</v>
      </c>
      <c r="J591" s="162" t="s">
        <v>215</v>
      </c>
      <c r="K591" s="164">
        <v>5</v>
      </c>
      <c r="L591" s="91"/>
      <c r="M591" s="92"/>
    </row>
    <row r="592" spans="1:13" s="45" customFormat="1" ht="8.5500000000000007" customHeight="1" x14ac:dyDescent="0.2">
      <c r="A592" s="43"/>
      <c r="B592" s="158"/>
      <c r="C592" s="158"/>
      <c r="D592" s="158"/>
      <c r="E592" s="158"/>
      <c r="F592" s="159"/>
      <c r="G592" s="166"/>
      <c r="H592" s="168"/>
      <c r="I592" s="161"/>
      <c r="J592" s="163"/>
      <c r="K592" s="165"/>
      <c r="L592" s="91"/>
      <c r="M592" s="92"/>
    </row>
    <row r="593" spans="1:13" s="45" customFormat="1" ht="8.5500000000000007" customHeight="1" x14ac:dyDescent="0.2">
      <c r="A593" s="43"/>
      <c r="B593" s="156" t="s">
        <v>56</v>
      </c>
      <c r="C593" s="156"/>
      <c r="D593" s="156"/>
      <c r="E593" s="156"/>
      <c r="F593" s="157"/>
      <c r="G593" s="166">
        <v>1989</v>
      </c>
      <c r="H593" s="167">
        <v>100</v>
      </c>
      <c r="I593" s="160">
        <v>96</v>
      </c>
      <c r="J593" s="162" t="s">
        <v>295</v>
      </c>
      <c r="K593" s="164">
        <v>4</v>
      </c>
      <c r="L593" s="91"/>
      <c r="M593" s="92"/>
    </row>
    <row r="594" spans="1:13" s="45" customFormat="1" ht="8.5500000000000007" customHeight="1" x14ac:dyDescent="0.2">
      <c r="A594" s="43"/>
      <c r="B594" s="158"/>
      <c r="C594" s="158"/>
      <c r="D594" s="158"/>
      <c r="E594" s="158"/>
      <c r="F594" s="159"/>
      <c r="G594" s="166"/>
      <c r="H594" s="168"/>
      <c r="I594" s="161"/>
      <c r="J594" s="163"/>
      <c r="K594" s="165"/>
      <c r="L594" s="91"/>
      <c r="M594" s="92"/>
    </row>
    <row r="595" spans="1:13" s="45" customFormat="1" ht="8.5500000000000007" customHeight="1" x14ac:dyDescent="0.2">
      <c r="A595" s="43"/>
      <c r="B595" s="156" t="s">
        <v>56</v>
      </c>
      <c r="C595" s="156"/>
      <c r="D595" s="156"/>
      <c r="E595" s="156"/>
      <c r="F595" s="157"/>
      <c r="G595" s="166">
        <v>1990</v>
      </c>
      <c r="H595" s="167">
        <v>96</v>
      </c>
      <c r="I595" s="160">
        <v>93</v>
      </c>
      <c r="J595" s="162" t="s">
        <v>1785</v>
      </c>
      <c r="K595" s="164">
        <v>5</v>
      </c>
      <c r="L595" s="91"/>
      <c r="M595" s="92"/>
    </row>
    <row r="596" spans="1:13" s="45" customFormat="1" ht="8.5500000000000007" customHeight="1" x14ac:dyDescent="0.2">
      <c r="A596" s="43"/>
      <c r="B596" s="158"/>
      <c r="C596" s="158"/>
      <c r="D596" s="158"/>
      <c r="E596" s="158"/>
      <c r="F596" s="159"/>
      <c r="G596" s="166"/>
      <c r="H596" s="168"/>
      <c r="I596" s="161"/>
      <c r="J596" s="163"/>
      <c r="K596" s="165"/>
      <c r="L596" s="91"/>
      <c r="M596" s="92"/>
    </row>
    <row r="597" spans="1:13" s="45" customFormat="1" ht="8.5500000000000007" customHeight="1" x14ac:dyDescent="0.2">
      <c r="A597" s="43"/>
      <c r="B597" s="156" t="s">
        <v>56</v>
      </c>
      <c r="C597" s="156"/>
      <c r="D597" s="156"/>
      <c r="E597" s="156"/>
      <c r="F597" s="157"/>
      <c r="G597" s="166">
        <v>1995</v>
      </c>
      <c r="H597" s="167" t="s">
        <v>627</v>
      </c>
      <c r="I597" s="160">
        <v>92</v>
      </c>
      <c r="J597" s="162" t="s">
        <v>63</v>
      </c>
      <c r="K597" s="164">
        <v>1</v>
      </c>
      <c r="L597" s="91"/>
      <c r="M597" s="92"/>
    </row>
    <row r="598" spans="1:13" s="45" customFormat="1" ht="8.5500000000000007" customHeight="1" x14ac:dyDescent="0.2">
      <c r="A598" s="43"/>
      <c r="B598" s="158"/>
      <c r="C598" s="158"/>
      <c r="D598" s="158"/>
      <c r="E598" s="158"/>
      <c r="F598" s="159"/>
      <c r="G598" s="166"/>
      <c r="H598" s="168"/>
      <c r="I598" s="161"/>
      <c r="J598" s="163"/>
      <c r="K598" s="165"/>
      <c r="L598" s="91"/>
      <c r="M598" s="92"/>
    </row>
    <row r="599" spans="1:13" s="45" customFormat="1" ht="8.5500000000000007" customHeight="1" x14ac:dyDescent="0.2">
      <c r="A599" s="43"/>
      <c r="B599" s="156" t="s">
        <v>56</v>
      </c>
      <c r="C599" s="156"/>
      <c r="D599" s="156"/>
      <c r="E599" s="156"/>
      <c r="F599" s="157"/>
      <c r="G599" s="166">
        <v>1996</v>
      </c>
      <c r="H599" s="167">
        <v>88</v>
      </c>
      <c r="I599" s="160">
        <v>90</v>
      </c>
      <c r="J599" s="162" t="s">
        <v>267</v>
      </c>
      <c r="K599" s="164">
        <v>1</v>
      </c>
      <c r="L599" s="91"/>
      <c r="M599" s="92"/>
    </row>
    <row r="600" spans="1:13" s="45" customFormat="1" ht="8.5500000000000007" customHeight="1" x14ac:dyDescent="0.2">
      <c r="A600" s="43"/>
      <c r="B600" s="158"/>
      <c r="C600" s="158"/>
      <c r="D600" s="158"/>
      <c r="E600" s="158"/>
      <c r="F600" s="159"/>
      <c r="G600" s="166"/>
      <c r="H600" s="168"/>
      <c r="I600" s="161"/>
      <c r="J600" s="163"/>
      <c r="K600" s="165"/>
      <c r="L600" s="91"/>
      <c r="M600" s="92"/>
    </row>
    <row r="601" spans="1:13" s="45" customFormat="1" ht="8.5500000000000007" customHeight="1" x14ac:dyDescent="0.2">
      <c r="A601" s="43"/>
      <c r="B601" s="156" t="s">
        <v>56</v>
      </c>
      <c r="C601" s="156"/>
      <c r="D601" s="156"/>
      <c r="E601" s="156"/>
      <c r="F601" s="157"/>
      <c r="G601" s="166">
        <v>1998</v>
      </c>
      <c r="H601" s="167">
        <v>97</v>
      </c>
      <c r="I601" s="160">
        <v>96</v>
      </c>
      <c r="J601" s="169" t="s">
        <v>582</v>
      </c>
      <c r="K601" s="164">
        <v>1</v>
      </c>
      <c r="L601" s="91"/>
      <c r="M601" s="92"/>
    </row>
    <row r="602" spans="1:13" s="45" customFormat="1" ht="8.5500000000000007" customHeight="1" x14ac:dyDescent="0.2">
      <c r="A602" s="43"/>
      <c r="B602" s="158"/>
      <c r="C602" s="158"/>
      <c r="D602" s="158"/>
      <c r="E602" s="158"/>
      <c r="F602" s="159"/>
      <c r="G602" s="166"/>
      <c r="H602" s="168"/>
      <c r="I602" s="161"/>
      <c r="J602" s="168"/>
      <c r="K602" s="165"/>
      <c r="L602" s="91"/>
      <c r="M602" s="92"/>
    </row>
    <row r="603" spans="1:13" s="45" customFormat="1" ht="8.5500000000000007" customHeight="1" x14ac:dyDescent="0.2">
      <c r="A603" s="43"/>
      <c r="B603" s="156" t="s">
        <v>1105</v>
      </c>
      <c r="C603" s="156"/>
      <c r="D603" s="156"/>
      <c r="E603" s="156"/>
      <c r="F603" s="157"/>
      <c r="G603" s="166">
        <v>1998</v>
      </c>
      <c r="H603" s="167">
        <v>97</v>
      </c>
      <c r="I603" s="160">
        <v>96</v>
      </c>
      <c r="J603" s="169" t="s">
        <v>582</v>
      </c>
      <c r="K603" s="164">
        <v>1</v>
      </c>
      <c r="L603" s="91"/>
      <c r="M603" s="92"/>
    </row>
    <row r="604" spans="1:13" s="45" customFormat="1" ht="8.5500000000000007" customHeight="1" x14ac:dyDescent="0.2">
      <c r="A604" s="43"/>
      <c r="B604" s="158"/>
      <c r="C604" s="158"/>
      <c r="D604" s="158"/>
      <c r="E604" s="158"/>
      <c r="F604" s="159"/>
      <c r="G604" s="166"/>
      <c r="H604" s="168"/>
      <c r="I604" s="161"/>
      <c r="J604" s="168"/>
      <c r="K604" s="165"/>
      <c r="L604" s="91"/>
      <c r="M604" s="92"/>
    </row>
    <row r="605" spans="1:13" s="45" customFormat="1" ht="8.5500000000000007" customHeight="1" x14ac:dyDescent="0.2">
      <c r="A605" s="43"/>
      <c r="B605" s="156" t="s">
        <v>56</v>
      </c>
      <c r="C605" s="156"/>
      <c r="D605" s="156"/>
      <c r="E605" s="156"/>
      <c r="F605" s="157"/>
      <c r="G605" s="166">
        <v>2000</v>
      </c>
      <c r="H605" s="167">
        <v>100</v>
      </c>
      <c r="I605" s="160">
        <v>93</v>
      </c>
      <c r="J605" s="162" t="s">
        <v>266</v>
      </c>
      <c r="K605" s="164">
        <v>6</v>
      </c>
      <c r="L605" s="91"/>
      <c r="M605" s="92"/>
    </row>
    <row r="606" spans="1:13" s="45" customFormat="1" ht="8.5500000000000007" customHeight="1" x14ac:dyDescent="0.2">
      <c r="A606" s="43"/>
      <c r="B606" s="158"/>
      <c r="C606" s="158"/>
      <c r="D606" s="158"/>
      <c r="E606" s="158"/>
      <c r="F606" s="159"/>
      <c r="G606" s="166"/>
      <c r="H606" s="168"/>
      <c r="I606" s="161"/>
      <c r="J606" s="163"/>
      <c r="K606" s="165"/>
      <c r="L606" s="91"/>
      <c r="M606" s="92"/>
    </row>
    <row r="607" spans="1:13" s="45" customFormat="1" ht="8.5500000000000007" customHeight="1" x14ac:dyDescent="0.2">
      <c r="A607" s="43"/>
      <c r="B607" s="156" t="s">
        <v>56</v>
      </c>
      <c r="C607" s="156"/>
      <c r="D607" s="156"/>
      <c r="E607" s="156"/>
      <c r="F607" s="157"/>
      <c r="G607" s="166">
        <v>2001</v>
      </c>
      <c r="H607" s="167">
        <v>96</v>
      </c>
      <c r="I607" s="160">
        <v>92</v>
      </c>
      <c r="J607" s="169" t="s">
        <v>50</v>
      </c>
      <c r="K607" s="164">
        <v>3</v>
      </c>
      <c r="L607" s="91"/>
      <c r="M607" s="92"/>
    </row>
    <row r="608" spans="1:13" s="45" customFormat="1" ht="8.5500000000000007" customHeight="1" x14ac:dyDescent="0.2">
      <c r="A608" s="43"/>
      <c r="B608" s="158"/>
      <c r="C608" s="158"/>
      <c r="D608" s="158"/>
      <c r="E608" s="158"/>
      <c r="F608" s="159"/>
      <c r="G608" s="166"/>
      <c r="H608" s="168"/>
      <c r="I608" s="161"/>
      <c r="J608" s="168"/>
      <c r="K608" s="165"/>
      <c r="L608" s="91"/>
      <c r="M608" s="92"/>
    </row>
    <row r="609" spans="1:13" s="45" customFormat="1" ht="8.5500000000000007" customHeight="1" x14ac:dyDescent="0.2">
      <c r="A609" s="43"/>
      <c r="B609" s="156" t="s">
        <v>56</v>
      </c>
      <c r="C609" s="156"/>
      <c r="D609" s="156"/>
      <c r="E609" s="156"/>
      <c r="F609" s="157"/>
      <c r="G609" s="166">
        <v>2003</v>
      </c>
      <c r="H609" s="167">
        <v>93</v>
      </c>
      <c r="I609" s="160">
        <v>94</v>
      </c>
      <c r="J609" s="162" t="s">
        <v>251</v>
      </c>
      <c r="K609" s="164">
        <v>8</v>
      </c>
      <c r="L609" s="91"/>
      <c r="M609" s="92"/>
    </row>
    <row r="610" spans="1:13" s="45" customFormat="1" ht="8.5500000000000007" customHeight="1" x14ac:dyDescent="0.2">
      <c r="A610" s="43"/>
      <c r="B610" s="158"/>
      <c r="C610" s="158"/>
      <c r="D610" s="158"/>
      <c r="E610" s="158"/>
      <c r="F610" s="159"/>
      <c r="G610" s="166"/>
      <c r="H610" s="168"/>
      <c r="I610" s="161"/>
      <c r="J610" s="163"/>
      <c r="K610" s="165"/>
      <c r="L610" s="91"/>
      <c r="M610" s="92"/>
    </row>
    <row r="611" spans="1:13" s="45" customFormat="1" ht="8.5500000000000007" customHeight="1" x14ac:dyDescent="0.2">
      <c r="A611" s="43"/>
      <c r="B611" s="156" t="s">
        <v>56</v>
      </c>
      <c r="C611" s="156"/>
      <c r="D611" s="156"/>
      <c r="E611" s="156"/>
      <c r="F611" s="157"/>
      <c r="G611" s="166">
        <v>2005</v>
      </c>
      <c r="H611" s="167">
        <v>100</v>
      </c>
      <c r="I611" s="160">
        <v>97</v>
      </c>
      <c r="J611" s="162" t="s">
        <v>26</v>
      </c>
      <c r="K611" s="164">
        <v>2</v>
      </c>
      <c r="L611" s="91"/>
      <c r="M611" s="92"/>
    </row>
    <row r="612" spans="1:13" s="45" customFormat="1" ht="8.5500000000000007" customHeight="1" x14ac:dyDescent="0.2">
      <c r="A612" s="43"/>
      <c r="B612" s="158"/>
      <c r="C612" s="158"/>
      <c r="D612" s="158"/>
      <c r="E612" s="158"/>
      <c r="F612" s="159"/>
      <c r="G612" s="166"/>
      <c r="H612" s="168"/>
      <c r="I612" s="161"/>
      <c r="J612" s="163"/>
      <c r="K612" s="165"/>
      <c r="L612" s="91"/>
      <c r="M612" s="92"/>
    </row>
    <row r="613" spans="1:13" s="45" customFormat="1" ht="8.5500000000000007" customHeight="1" x14ac:dyDescent="0.2">
      <c r="A613" s="43"/>
      <c r="B613" s="172" t="s">
        <v>634</v>
      </c>
      <c r="C613" s="172"/>
      <c r="D613" s="172"/>
      <c r="E613" s="172"/>
      <c r="F613" s="173"/>
      <c r="G613" s="166">
        <v>1995</v>
      </c>
      <c r="H613" s="167">
        <v>90</v>
      </c>
      <c r="I613" s="160"/>
      <c r="J613" s="160"/>
      <c r="K613" s="164">
        <v>1</v>
      </c>
      <c r="L613" s="91"/>
      <c r="M613" s="92"/>
    </row>
    <row r="614" spans="1:13" s="45" customFormat="1" ht="8.5500000000000007" customHeight="1" x14ac:dyDescent="0.2">
      <c r="A614" s="43"/>
      <c r="B614" s="174"/>
      <c r="C614" s="174"/>
      <c r="D614" s="174"/>
      <c r="E614" s="174"/>
      <c r="F614" s="175"/>
      <c r="G614" s="166"/>
      <c r="H614" s="168"/>
      <c r="I614" s="161"/>
      <c r="J614" s="161"/>
      <c r="K614" s="165"/>
      <c r="L614" s="91"/>
      <c r="M614" s="92"/>
    </row>
    <row r="615" spans="1:13" s="45" customFormat="1" ht="8.5500000000000007" customHeight="1" x14ac:dyDescent="0.2">
      <c r="A615" s="43"/>
      <c r="B615" s="156" t="s">
        <v>73</v>
      </c>
      <c r="C615" s="156"/>
      <c r="D615" s="156"/>
      <c r="E615" s="156"/>
      <c r="F615" s="157"/>
      <c r="G615" s="166">
        <v>2000</v>
      </c>
      <c r="H615" s="167">
        <v>97</v>
      </c>
      <c r="I615" s="160">
        <v>92</v>
      </c>
      <c r="J615" s="162"/>
      <c r="K615" s="164">
        <v>1</v>
      </c>
      <c r="L615" s="91"/>
      <c r="M615" s="92"/>
    </row>
    <row r="616" spans="1:13" s="45" customFormat="1" ht="8.5500000000000007" customHeight="1" x14ac:dyDescent="0.2">
      <c r="A616" s="43"/>
      <c r="B616" s="158"/>
      <c r="C616" s="158"/>
      <c r="D616" s="158"/>
      <c r="E616" s="158"/>
      <c r="F616" s="159"/>
      <c r="G616" s="166"/>
      <c r="H616" s="168"/>
      <c r="I616" s="161"/>
      <c r="J616" s="163"/>
      <c r="K616" s="165"/>
      <c r="L616" s="91"/>
      <c r="M616" s="92"/>
    </row>
    <row r="617" spans="1:13" s="45" customFormat="1" ht="8.5500000000000007" customHeight="1" x14ac:dyDescent="0.2">
      <c r="A617" s="43"/>
      <c r="B617" s="172" t="s">
        <v>914</v>
      </c>
      <c r="C617" s="172"/>
      <c r="D617" s="172"/>
      <c r="E617" s="172"/>
      <c r="F617" s="173"/>
      <c r="G617" s="166">
        <v>1998</v>
      </c>
      <c r="H617" s="167">
        <v>93</v>
      </c>
      <c r="I617" s="160"/>
      <c r="J617" s="162" t="s">
        <v>33</v>
      </c>
      <c r="K617" s="164">
        <v>1</v>
      </c>
      <c r="L617" s="91"/>
      <c r="M617" s="92"/>
    </row>
    <row r="618" spans="1:13" s="45" customFormat="1" ht="8.5500000000000007" customHeight="1" x14ac:dyDescent="0.2">
      <c r="A618" s="43"/>
      <c r="B618" s="174"/>
      <c r="C618" s="174"/>
      <c r="D618" s="174"/>
      <c r="E618" s="174"/>
      <c r="F618" s="175"/>
      <c r="G618" s="166"/>
      <c r="H618" s="168"/>
      <c r="I618" s="161"/>
      <c r="J618" s="163"/>
      <c r="K618" s="165"/>
      <c r="L618" s="91"/>
      <c r="M618" s="92"/>
    </row>
    <row r="619" spans="1:13" s="45" customFormat="1" ht="8.5500000000000007" customHeight="1" x14ac:dyDescent="0.2">
      <c r="A619" s="43"/>
      <c r="B619" s="156" t="s">
        <v>147</v>
      </c>
      <c r="C619" s="156"/>
      <c r="D619" s="156"/>
      <c r="E619" s="156"/>
      <c r="F619" s="157"/>
      <c r="G619" s="166">
        <v>2000</v>
      </c>
      <c r="H619" s="167">
        <v>96</v>
      </c>
      <c r="I619" s="160"/>
      <c r="J619" s="162" t="s">
        <v>53</v>
      </c>
      <c r="K619" s="164">
        <v>3</v>
      </c>
      <c r="L619" s="91"/>
      <c r="M619" s="92"/>
    </row>
    <row r="620" spans="1:13" s="45" customFormat="1" ht="8.5500000000000007" customHeight="1" x14ac:dyDescent="0.2">
      <c r="A620" s="43"/>
      <c r="B620" s="158"/>
      <c r="C620" s="158"/>
      <c r="D620" s="158"/>
      <c r="E620" s="158"/>
      <c r="F620" s="159"/>
      <c r="G620" s="166"/>
      <c r="H620" s="168"/>
      <c r="I620" s="161"/>
      <c r="J620" s="163"/>
      <c r="K620" s="165"/>
      <c r="L620" s="91"/>
      <c r="M620" s="92"/>
    </row>
    <row r="621" spans="1:13" s="45" customFormat="1" ht="8.5500000000000007" customHeight="1" x14ac:dyDescent="0.2">
      <c r="A621" s="43"/>
      <c r="B621" s="156" t="s">
        <v>147</v>
      </c>
      <c r="C621" s="156"/>
      <c r="D621" s="156"/>
      <c r="E621" s="156"/>
      <c r="F621" s="157"/>
      <c r="G621" s="166">
        <v>2003</v>
      </c>
      <c r="H621" s="167">
        <v>95</v>
      </c>
      <c r="I621" s="160"/>
      <c r="J621" s="162" t="s">
        <v>95</v>
      </c>
      <c r="K621" s="164">
        <v>3</v>
      </c>
      <c r="L621" s="91"/>
      <c r="M621" s="92"/>
    </row>
    <row r="622" spans="1:13" s="45" customFormat="1" ht="8.5500000000000007" customHeight="1" x14ac:dyDescent="0.2">
      <c r="A622" s="43"/>
      <c r="B622" s="158"/>
      <c r="C622" s="158"/>
      <c r="D622" s="158"/>
      <c r="E622" s="158"/>
      <c r="F622" s="159"/>
      <c r="G622" s="166"/>
      <c r="H622" s="168"/>
      <c r="I622" s="161"/>
      <c r="J622" s="163"/>
      <c r="K622" s="165"/>
      <c r="L622" s="91"/>
      <c r="M622" s="92"/>
    </row>
    <row r="623" spans="1:13" s="45" customFormat="1" ht="8.5500000000000007" customHeight="1" x14ac:dyDescent="0.2">
      <c r="A623" s="43"/>
      <c r="B623" s="156" t="s">
        <v>147</v>
      </c>
      <c r="C623" s="156"/>
      <c r="D623" s="156"/>
      <c r="E623" s="156"/>
      <c r="F623" s="157"/>
      <c r="G623" s="166">
        <v>2005</v>
      </c>
      <c r="H623" s="167">
        <v>99</v>
      </c>
      <c r="I623" s="160">
        <v>96</v>
      </c>
      <c r="J623" s="162" t="s">
        <v>248</v>
      </c>
      <c r="K623" s="164">
        <v>9</v>
      </c>
      <c r="L623" s="91"/>
      <c r="M623" s="92"/>
    </row>
    <row r="624" spans="1:13" s="45" customFormat="1" ht="8.5500000000000007" customHeight="1" x14ac:dyDescent="0.2">
      <c r="A624" s="43"/>
      <c r="B624" s="158"/>
      <c r="C624" s="158"/>
      <c r="D624" s="158"/>
      <c r="E624" s="158"/>
      <c r="F624" s="159"/>
      <c r="G624" s="166"/>
      <c r="H624" s="168"/>
      <c r="I624" s="161"/>
      <c r="J624" s="163"/>
      <c r="K624" s="165"/>
      <c r="L624" s="91"/>
      <c r="M624" s="92"/>
    </row>
    <row r="625" spans="1:13" s="45" customFormat="1" ht="8.5500000000000007" customHeight="1" x14ac:dyDescent="0.2">
      <c r="A625" s="43"/>
      <c r="B625" s="170" t="s">
        <v>956</v>
      </c>
      <c r="C625" s="170"/>
      <c r="D625" s="170"/>
      <c r="E625" s="170"/>
      <c r="F625" s="170"/>
      <c r="G625" s="178"/>
      <c r="H625" s="47"/>
      <c r="I625" s="48"/>
      <c r="J625" s="48"/>
      <c r="K625" s="164"/>
      <c r="L625" s="91"/>
      <c r="M625" s="92"/>
    </row>
    <row r="626" spans="1:13" s="45" customFormat="1" ht="8.5500000000000007" customHeight="1" x14ac:dyDescent="0.2">
      <c r="A626" s="43"/>
      <c r="B626" s="171"/>
      <c r="C626" s="171"/>
      <c r="D626" s="171"/>
      <c r="E626" s="171"/>
      <c r="F626" s="171"/>
      <c r="G626" s="178"/>
      <c r="H626" s="54"/>
      <c r="I626" s="49"/>
      <c r="J626" s="49"/>
      <c r="K626" s="165"/>
      <c r="L626" s="91"/>
      <c r="M626" s="92"/>
    </row>
    <row r="627" spans="1:13" s="45" customFormat="1" ht="8.5500000000000007" customHeight="1" x14ac:dyDescent="0.2">
      <c r="A627" s="43"/>
      <c r="B627" s="156" t="s">
        <v>147</v>
      </c>
      <c r="C627" s="156"/>
      <c r="D627" s="156"/>
      <c r="E627" s="156"/>
      <c r="F627" s="157"/>
      <c r="G627" s="166">
        <v>2006</v>
      </c>
      <c r="H627" s="167">
        <v>94</v>
      </c>
      <c r="I627" s="160">
        <v>91</v>
      </c>
      <c r="J627" s="162" t="s">
        <v>265</v>
      </c>
      <c r="K627" s="164">
        <v>5</v>
      </c>
      <c r="L627" s="91"/>
      <c r="M627" s="92"/>
    </row>
    <row r="628" spans="1:13" s="45" customFormat="1" ht="8.5500000000000007" customHeight="1" x14ac:dyDescent="0.2">
      <c r="A628" s="43"/>
      <c r="B628" s="158"/>
      <c r="C628" s="158"/>
      <c r="D628" s="158"/>
      <c r="E628" s="158"/>
      <c r="F628" s="159"/>
      <c r="G628" s="166"/>
      <c r="H628" s="168"/>
      <c r="I628" s="161"/>
      <c r="J628" s="163"/>
      <c r="K628" s="165"/>
      <c r="L628" s="91"/>
      <c r="M628" s="92"/>
    </row>
    <row r="629" spans="1:13" s="45" customFormat="1" ht="8.5500000000000007" customHeight="1" x14ac:dyDescent="0.2">
      <c r="A629" s="43"/>
      <c r="B629" s="156" t="s">
        <v>147</v>
      </c>
      <c r="C629" s="156"/>
      <c r="D629" s="156"/>
      <c r="E629" s="156"/>
      <c r="F629" s="157"/>
      <c r="G629" s="166">
        <v>2009</v>
      </c>
      <c r="H629" s="167">
        <v>99</v>
      </c>
      <c r="I629" s="160"/>
      <c r="J629" s="162" t="s">
        <v>1557</v>
      </c>
      <c r="K629" s="164">
        <v>8</v>
      </c>
      <c r="L629" s="91"/>
      <c r="M629" s="92"/>
    </row>
    <row r="630" spans="1:13" s="45" customFormat="1" ht="8.5500000000000007" customHeight="1" x14ac:dyDescent="0.2">
      <c r="A630" s="43"/>
      <c r="B630" s="158"/>
      <c r="C630" s="158"/>
      <c r="D630" s="158"/>
      <c r="E630" s="158"/>
      <c r="F630" s="159"/>
      <c r="G630" s="166"/>
      <c r="H630" s="168"/>
      <c r="I630" s="161"/>
      <c r="J630" s="163"/>
      <c r="K630" s="165"/>
      <c r="L630" s="91"/>
      <c r="M630" s="92"/>
    </row>
    <row r="631" spans="1:13" s="45" customFormat="1" ht="8.5500000000000007" customHeight="1" x14ac:dyDescent="0.2">
      <c r="A631" s="43"/>
      <c r="B631" s="172" t="s">
        <v>148</v>
      </c>
      <c r="C631" s="172"/>
      <c r="D631" s="172"/>
      <c r="E631" s="172"/>
      <c r="F631" s="173"/>
      <c r="G631" s="166">
        <v>2005</v>
      </c>
      <c r="H631" s="167">
        <v>98</v>
      </c>
      <c r="I631" s="160">
        <v>93</v>
      </c>
      <c r="J631" s="162" t="s">
        <v>26</v>
      </c>
      <c r="K631" s="164">
        <v>5</v>
      </c>
      <c r="L631" s="91"/>
      <c r="M631" s="92"/>
    </row>
    <row r="632" spans="1:13" s="45" customFormat="1" ht="8.5500000000000007" customHeight="1" x14ac:dyDescent="0.2">
      <c r="A632" s="43"/>
      <c r="B632" s="174"/>
      <c r="C632" s="174"/>
      <c r="D632" s="174"/>
      <c r="E632" s="174"/>
      <c r="F632" s="175"/>
      <c r="G632" s="166"/>
      <c r="H632" s="168"/>
      <c r="I632" s="161"/>
      <c r="J632" s="163"/>
      <c r="K632" s="165"/>
      <c r="L632" s="91"/>
      <c r="M632" s="92"/>
    </row>
    <row r="633" spans="1:13" s="45" customFormat="1" ht="8.5500000000000007" customHeight="1" x14ac:dyDescent="0.2">
      <c r="A633" s="43"/>
      <c r="B633" s="156" t="s">
        <v>148</v>
      </c>
      <c r="C633" s="156"/>
      <c r="D633" s="156"/>
      <c r="E633" s="156"/>
      <c r="F633" s="157"/>
      <c r="G633" s="166">
        <v>2009</v>
      </c>
      <c r="H633" s="167">
        <v>100</v>
      </c>
      <c r="I633" s="160"/>
      <c r="J633" s="162" t="s">
        <v>1931</v>
      </c>
      <c r="K633" s="164">
        <v>4</v>
      </c>
      <c r="L633" s="91"/>
      <c r="M633" s="92"/>
    </row>
    <row r="634" spans="1:13" s="45" customFormat="1" ht="8.5500000000000007" customHeight="1" x14ac:dyDescent="0.2">
      <c r="A634" s="43"/>
      <c r="B634" s="158"/>
      <c r="C634" s="158"/>
      <c r="D634" s="158"/>
      <c r="E634" s="158"/>
      <c r="F634" s="159"/>
      <c r="G634" s="166"/>
      <c r="H634" s="168"/>
      <c r="I634" s="161"/>
      <c r="J634" s="163"/>
      <c r="K634" s="165"/>
      <c r="L634" s="91"/>
      <c r="M634" s="92"/>
    </row>
    <row r="635" spans="1:13" s="45" customFormat="1" ht="8.5500000000000007" customHeight="1" x14ac:dyDescent="0.2">
      <c r="A635" s="43"/>
      <c r="B635" s="156" t="s">
        <v>9</v>
      </c>
      <c r="C635" s="156"/>
      <c r="D635" s="156"/>
      <c r="E635" s="156"/>
      <c r="F635" s="157"/>
      <c r="G635" s="166">
        <v>2006</v>
      </c>
      <c r="H635" s="167">
        <v>93</v>
      </c>
      <c r="I635" s="160">
        <v>92</v>
      </c>
      <c r="J635" s="162" t="s">
        <v>581</v>
      </c>
      <c r="K635" s="164">
        <v>2</v>
      </c>
      <c r="L635" s="91"/>
      <c r="M635" s="92"/>
    </row>
    <row r="636" spans="1:13" s="45" customFormat="1" ht="8.5500000000000007" customHeight="1" x14ac:dyDescent="0.2">
      <c r="A636" s="43"/>
      <c r="B636" s="158"/>
      <c r="C636" s="158"/>
      <c r="D636" s="158"/>
      <c r="E636" s="158"/>
      <c r="F636" s="159"/>
      <c r="G636" s="166"/>
      <c r="H636" s="168"/>
      <c r="I636" s="161"/>
      <c r="J636" s="163"/>
      <c r="K636" s="165"/>
      <c r="L636" s="91"/>
      <c r="M636" s="92"/>
    </row>
    <row r="637" spans="1:13" s="45" customFormat="1" ht="8.5500000000000007" customHeight="1" x14ac:dyDescent="0.2">
      <c r="A637" s="43"/>
      <c r="B637" s="170" t="s">
        <v>957</v>
      </c>
      <c r="C637" s="170"/>
      <c r="D637" s="170"/>
      <c r="E637" s="170"/>
      <c r="F637" s="170"/>
      <c r="G637" s="47"/>
      <c r="H637" s="47"/>
      <c r="I637" s="48"/>
      <c r="J637" s="48"/>
      <c r="K637" s="224">
        <v>154</v>
      </c>
      <c r="L637" s="230">
        <f>+K637</f>
        <v>154</v>
      </c>
      <c r="M637" s="92"/>
    </row>
    <row r="638" spans="1:13" s="45" customFormat="1" ht="8.5500000000000007" customHeight="1" x14ac:dyDescent="0.2">
      <c r="A638" s="43"/>
      <c r="B638" s="171"/>
      <c r="C638" s="171"/>
      <c r="D638" s="171"/>
      <c r="E638" s="171"/>
      <c r="F638" s="171"/>
      <c r="G638" s="54"/>
      <c r="H638" s="54"/>
      <c r="I638" s="49"/>
      <c r="J638" s="49"/>
      <c r="K638" s="225"/>
      <c r="L638" s="231"/>
      <c r="M638" s="92"/>
    </row>
    <row r="639" spans="1:13" s="45" customFormat="1" ht="8.5500000000000007" customHeight="1" x14ac:dyDescent="0.2">
      <c r="A639" s="43"/>
      <c r="B639" s="170" t="s">
        <v>153</v>
      </c>
      <c r="C639" s="170"/>
      <c r="D639" s="170"/>
      <c r="E639" s="170"/>
      <c r="F639" s="170"/>
      <c r="G639" s="178"/>
      <c r="H639" s="47"/>
      <c r="I639" s="48"/>
      <c r="J639" s="48"/>
      <c r="K639" s="222"/>
      <c r="L639" s="91"/>
      <c r="M639" s="92"/>
    </row>
    <row r="640" spans="1:13" s="45" customFormat="1" ht="8.5500000000000007" customHeight="1" x14ac:dyDescent="0.2">
      <c r="A640" s="43"/>
      <c r="B640" s="171"/>
      <c r="C640" s="171"/>
      <c r="D640" s="171"/>
      <c r="E640" s="171"/>
      <c r="F640" s="171"/>
      <c r="G640" s="178"/>
      <c r="H640" s="54"/>
      <c r="I640" s="49"/>
      <c r="J640" s="49"/>
      <c r="K640" s="165"/>
      <c r="L640" s="91"/>
      <c r="M640" s="92"/>
    </row>
    <row r="641" spans="1:13" s="45" customFormat="1" ht="8.5500000000000007" customHeight="1" x14ac:dyDescent="0.2">
      <c r="A641" s="43"/>
      <c r="B641" s="172" t="s">
        <v>19</v>
      </c>
      <c r="C641" s="172"/>
      <c r="D641" s="172"/>
      <c r="E641" s="172"/>
      <c r="F641" s="173"/>
      <c r="G641" s="166">
        <v>1947</v>
      </c>
      <c r="H641" s="167">
        <v>100</v>
      </c>
      <c r="I641" s="160"/>
      <c r="J641" s="162" t="s">
        <v>1932</v>
      </c>
      <c r="K641" s="164">
        <v>1</v>
      </c>
      <c r="L641" s="91"/>
      <c r="M641" s="92"/>
    </row>
    <row r="642" spans="1:13" s="45" customFormat="1" ht="8.5500000000000007" customHeight="1" x14ac:dyDescent="0.2">
      <c r="A642" s="43"/>
      <c r="B642" s="174"/>
      <c r="C642" s="174"/>
      <c r="D642" s="174"/>
      <c r="E642" s="174"/>
      <c r="F642" s="175"/>
      <c r="G642" s="166"/>
      <c r="H642" s="168"/>
      <c r="I642" s="161"/>
      <c r="J642" s="163"/>
      <c r="K642" s="165"/>
      <c r="L642" s="91"/>
      <c r="M642" s="92"/>
    </row>
    <row r="643" spans="1:13" s="45" customFormat="1" ht="8.5500000000000007" customHeight="1" x14ac:dyDescent="0.2">
      <c r="A643" s="43"/>
      <c r="B643" s="156" t="s">
        <v>19</v>
      </c>
      <c r="C643" s="156"/>
      <c r="D643" s="156"/>
      <c r="E643" s="156"/>
      <c r="F643" s="157"/>
      <c r="G643" s="166">
        <v>1959</v>
      </c>
      <c r="H643" s="167">
        <v>93</v>
      </c>
      <c r="I643" s="160"/>
      <c r="J643" s="162" t="s">
        <v>675</v>
      </c>
      <c r="K643" s="164">
        <v>1</v>
      </c>
      <c r="L643" s="91"/>
      <c r="M643" s="92"/>
    </row>
    <row r="644" spans="1:13" s="45" customFormat="1" ht="8.5500000000000007" customHeight="1" x14ac:dyDescent="0.2">
      <c r="A644" s="43"/>
      <c r="B644" s="158"/>
      <c r="C644" s="158"/>
      <c r="D644" s="158"/>
      <c r="E644" s="158"/>
      <c r="F644" s="159"/>
      <c r="G644" s="166"/>
      <c r="H644" s="168"/>
      <c r="I644" s="161"/>
      <c r="J644" s="163"/>
      <c r="K644" s="165"/>
      <c r="L644" s="91"/>
      <c r="M644" s="92"/>
    </row>
    <row r="645" spans="1:13" s="45" customFormat="1" ht="8.5500000000000007" customHeight="1" x14ac:dyDescent="0.2">
      <c r="A645" s="43"/>
      <c r="B645" s="156" t="s">
        <v>1463</v>
      </c>
      <c r="C645" s="156"/>
      <c r="D645" s="156"/>
      <c r="E645" s="156"/>
      <c r="F645" s="157"/>
      <c r="G645" s="166">
        <v>1964</v>
      </c>
      <c r="H645" s="167">
        <v>99</v>
      </c>
      <c r="I645" s="160"/>
      <c r="J645" s="162" t="s">
        <v>125</v>
      </c>
      <c r="K645" s="164">
        <v>1</v>
      </c>
      <c r="L645" s="91"/>
      <c r="M645" s="92"/>
    </row>
    <row r="646" spans="1:13" s="45" customFormat="1" ht="8.5500000000000007" customHeight="1" x14ac:dyDescent="0.2">
      <c r="A646" s="43"/>
      <c r="B646" s="158"/>
      <c r="C646" s="158"/>
      <c r="D646" s="158"/>
      <c r="E646" s="158"/>
      <c r="F646" s="159"/>
      <c r="G646" s="166"/>
      <c r="H646" s="168"/>
      <c r="I646" s="161"/>
      <c r="J646" s="163"/>
      <c r="K646" s="165"/>
      <c r="L646" s="91"/>
      <c r="M646" s="92"/>
    </row>
    <row r="647" spans="1:13" s="45" customFormat="1" ht="8.5500000000000007" customHeight="1" x14ac:dyDescent="0.2">
      <c r="A647" s="43"/>
      <c r="B647" s="156" t="s">
        <v>19</v>
      </c>
      <c r="C647" s="156"/>
      <c r="D647" s="156"/>
      <c r="E647" s="156"/>
      <c r="F647" s="157"/>
      <c r="G647" s="166">
        <v>1967</v>
      </c>
      <c r="H647" s="167">
        <v>99</v>
      </c>
      <c r="I647" s="160"/>
      <c r="J647" s="162"/>
      <c r="K647" s="164">
        <v>1</v>
      </c>
      <c r="L647" s="91"/>
      <c r="M647" s="92"/>
    </row>
    <row r="648" spans="1:13" s="45" customFormat="1" ht="8.5500000000000007" customHeight="1" x14ac:dyDescent="0.2">
      <c r="A648" s="43"/>
      <c r="B648" s="158"/>
      <c r="C648" s="158"/>
      <c r="D648" s="158"/>
      <c r="E648" s="158"/>
      <c r="F648" s="159"/>
      <c r="G648" s="166"/>
      <c r="H648" s="168"/>
      <c r="I648" s="161"/>
      <c r="J648" s="163"/>
      <c r="K648" s="165"/>
      <c r="L648" s="91"/>
      <c r="M648" s="92"/>
    </row>
    <row r="649" spans="1:13" s="45" customFormat="1" ht="8.5500000000000007" customHeight="1" x14ac:dyDescent="0.2">
      <c r="A649" s="43"/>
      <c r="B649" s="156" t="s">
        <v>19</v>
      </c>
      <c r="C649" s="156"/>
      <c r="D649" s="156"/>
      <c r="E649" s="156"/>
      <c r="F649" s="157"/>
      <c r="G649" s="166">
        <v>1970</v>
      </c>
      <c r="H649" s="167">
        <v>99</v>
      </c>
      <c r="I649" s="160"/>
      <c r="J649" s="162" t="s">
        <v>33</v>
      </c>
      <c r="K649" s="164">
        <v>2</v>
      </c>
      <c r="L649" s="91"/>
      <c r="M649" s="92"/>
    </row>
    <row r="650" spans="1:13" s="45" customFormat="1" ht="8.5500000000000007" customHeight="1" x14ac:dyDescent="0.2">
      <c r="A650" s="43"/>
      <c r="B650" s="158"/>
      <c r="C650" s="158"/>
      <c r="D650" s="158"/>
      <c r="E650" s="158"/>
      <c r="F650" s="159"/>
      <c r="G650" s="166"/>
      <c r="H650" s="168"/>
      <c r="I650" s="161"/>
      <c r="J650" s="163"/>
      <c r="K650" s="165"/>
      <c r="L650" s="91"/>
      <c r="M650" s="92"/>
    </row>
    <row r="651" spans="1:13" s="45" customFormat="1" ht="8.5500000000000007" customHeight="1" x14ac:dyDescent="0.2">
      <c r="A651" s="43"/>
      <c r="B651" s="156" t="s">
        <v>19</v>
      </c>
      <c r="C651" s="156"/>
      <c r="D651" s="156"/>
      <c r="E651" s="156"/>
      <c r="F651" s="157"/>
      <c r="G651" s="166">
        <v>1975</v>
      </c>
      <c r="H651" s="167" t="s">
        <v>629</v>
      </c>
      <c r="I651" s="160">
        <v>93</v>
      </c>
      <c r="J651" s="162" t="s">
        <v>395</v>
      </c>
      <c r="K651" s="164">
        <v>1</v>
      </c>
      <c r="L651" s="91"/>
      <c r="M651" s="92"/>
    </row>
    <row r="652" spans="1:13" s="45" customFormat="1" ht="8.5500000000000007" customHeight="1" x14ac:dyDescent="0.2">
      <c r="A652" s="43"/>
      <c r="B652" s="158"/>
      <c r="C652" s="158"/>
      <c r="D652" s="158"/>
      <c r="E652" s="158"/>
      <c r="F652" s="159"/>
      <c r="G652" s="166"/>
      <c r="H652" s="168"/>
      <c r="I652" s="161"/>
      <c r="J652" s="163"/>
      <c r="K652" s="165"/>
      <c r="L652" s="91"/>
      <c r="M652" s="92"/>
    </row>
    <row r="653" spans="1:13" s="45" customFormat="1" ht="8.5500000000000007" customHeight="1" x14ac:dyDescent="0.2">
      <c r="A653" s="43"/>
      <c r="B653" s="156" t="s">
        <v>19</v>
      </c>
      <c r="C653" s="156"/>
      <c r="D653" s="156"/>
      <c r="E653" s="156"/>
      <c r="F653" s="157"/>
      <c r="G653" s="166">
        <v>1976</v>
      </c>
      <c r="H653" s="167">
        <v>88</v>
      </c>
      <c r="I653" s="160"/>
      <c r="J653" s="160"/>
      <c r="K653" s="164">
        <v>1</v>
      </c>
      <c r="L653" s="91"/>
      <c r="M653" s="92"/>
    </row>
    <row r="654" spans="1:13" s="45" customFormat="1" ht="8.5500000000000007" customHeight="1" x14ac:dyDescent="0.2">
      <c r="A654" s="43"/>
      <c r="B654" s="158"/>
      <c r="C654" s="158"/>
      <c r="D654" s="158"/>
      <c r="E654" s="158"/>
      <c r="F654" s="159"/>
      <c r="G654" s="166"/>
      <c r="H654" s="168"/>
      <c r="I654" s="161"/>
      <c r="J654" s="161"/>
      <c r="K654" s="165"/>
      <c r="L654" s="91"/>
      <c r="M654" s="92"/>
    </row>
    <row r="655" spans="1:13" s="45" customFormat="1" ht="8.5500000000000007" customHeight="1" x14ac:dyDescent="0.2">
      <c r="A655" s="43"/>
      <c r="B655" s="156" t="s">
        <v>19</v>
      </c>
      <c r="C655" s="156"/>
      <c r="D655" s="156"/>
      <c r="E655" s="156"/>
      <c r="F655" s="157"/>
      <c r="G655" s="166">
        <v>1978</v>
      </c>
      <c r="H655" s="167">
        <v>89</v>
      </c>
      <c r="I655" s="160"/>
      <c r="J655" s="162" t="s">
        <v>251</v>
      </c>
      <c r="K655" s="164">
        <v>1</v>
      </c>
      <c r="L655" s="91"/>
      <c r="M655" s="92"/>
    </row>
    <row r="656" spans="1:13" s="45" customFormat="1" ht="8.5500000000000007" customHeight="1" x14ac:dyDescent="0.2">
      <c r="A656" s="43"/>
      <c r="B656" s="158"/>
      <c r="C656" s="158"/>
      <c r="D656" s="158"/>
      <c r="E656" s="158"/>
      <c r="F656" s="159"/>
      <c r="G656" s="166"/>
      <c r="H656" s="168"/>
      <c r="I656" s="161"/>
      <c r="J656" s="163"/>
      <c r="K656" s="165"/>
      <c r="L656" s="91"/>
      <c r="M656" s="92"/>
    </row>
    <row r="657" spans="1:13" s="45" customFormat="1" ht="8.5500000000000007" customHeight="1" x14ac:dyDescent="0.2">
      <c r="A657" s="43"/>
      <c r="B657" s="156" t="s">
        <v>19</v>
      </c>
      <c r="C657" s="156"/>
      <c r="D657" s="156"/>
      <c r="E657" s="156"/>
      <c r="F657" s="157"/>
      <c r="G657" s="166">
        <v>1982</v>
      </c>
      <c r="H657" s="167">
        <v>93</v>
      </c>
      <c r="I657" s="160"/>
      <c r="J657" s="162" t="s">
        <v>1926</v>
      </c>
      <c r="K657" s="164">
        <v>2</v>
      </c>
      <c r="L657" s="91"/>
      <c r="M657" s="92"/>
    </row>
    <row r="658" spans="1:13" s="45" customFormat="1" ht="8.5500000000000007" customHeight="1" x14ac:dyDescent="0.2">
      <c r="A658" s="43"/>
      <c r="B658" s="158"/>
      <c r="C658" s="158"/>
      <c r="D658" s="158"/>
      <c r="E658" s="158"/>
      <c r="F658" s="159"/>
      <c r="G658" s="166"/>
      <c r="H658" s="168"/>
      <c r="I658" s="161"/>
      <c r="J658" s="163"/>
      <c r="K658" s="165"/>
      <c r="L658" s="91"/>
      <c r="M658" s="92"/>
    </row>
    <row r="659" spans="1:13" s="45" customFormat="1" ht="8.5500000000000007" customHeight="1" x14ac:dyDescent="0.2">
      <c r="A659" s="43"/>
      <c r="B659" s="156" t="s">
        <v>19</v>
      </c>
      <c r="C659" s="156"/>
      <c r="D659" s="156"/>
      <c r="E659" s="156"/>
      <c r="F659" s="157"/>
      <c r="G659" s="166">
        <v>1988</v>
      </c>
      <c r="H659" s="167">
        <v>91</v>
      </c>
      <c r="I659" s="160"/>
      <c r="J659" s="162" t="s">
        <v>398</v>
      </c>
      <c r="K659" s="164">
        <v>1</v>
      </c>
      <c r="L659" s="91"/>
      <c r="M659" s="92"/>
    </row>
    <row r="660" spans="1:13" s="45" customFormat="1" ht="8.5500000000000007" customHeight="1" x14ac:dyDescent="0.2">
      <c r="A660" s="43"/>
      <c r="B660" s="158"/>
      <c r="C660" s="158"/>
      <c r="D660" s="158"/>
      <c r="E660" s="158"/>
      <c r="F660" s="159"/>
      <c r="G660" s="166"/>
      <c r="H660" s="168"/>
      <c r="I660" s="161"/>
      <c r="J660" s="163"/>
      <c r="K660" s="165"/>
      <c r="L660" s="91"/>
      <c r="M660" s="92"/>
    </row>
    <row r="661" spans="1:13" s="45" customFormat="1" ht="8.5500000000000007" customHeight="1" x14ac:dyDescent="0.2">
      <c r="A661" s="43"/>
      <c r="B661" s="156" t="s">
        <v>19</v>
      </c>
      <c r="C661" s="156"/>
      <c r="D661" s="156"/>
      <c r="E661" s="156"/>
      <c r="F661" s="157"/>
      <c r="G661" s="166">
        <v>1989</v>
      </c>
      <c r="H661" s="167">
        <v>100</v>
      </c>
      <c r="I661" s="160"/>
      <c r="J661" s="162" t="s">
        <v>1927</v>
      </c>
      <c r="K661" s="164">
        <v>2</v>
      </c>
      <c r="L661" s="91"/>
      <c r="M661" s="92"/>
    </row>
    <row r="662" spans="1:13" s="45" customFormat="1" ht="8.5500000000000007" customHeight="1" x14ac:dyDescent="0.2">
      <c r="A662" s="43"/>
      <c r="B662" s="158"/>
      <c r="C662" s="158"/>
      <c r="D662" s="158"/>
      <c r="E662" s="158"/>
      <c r="F662" s="159"/>
      <c r="G662" s="166"/>
      <c r="H662" s="168"/>
      <c r="I662" s="161"/>
      <c r="J662" s="163"/>
      <c r="K662" s="165"/>
      <c r="L662" s="91"/>
      <c r="M662" s="92"/>
    </row>
    <row r="663" spans="1:13" s="45" customFormat="1" ht="8.5500000000000007" customHeight="1" x14ac:dyDescent="0.2">
      <c r="A663" s="43"/>
      <c r="B663" s="156" t="s">
        <v>19</v>
      </c>
      <c r="C663" s="156"/>
      <c r="D663" s="156"/>
      <c r="E663" s="156"/>
      <c r="F663" s="157"/>
      <c r="G663" s="166">
        <v>1990</v>
      </c>
      <c r="H663" s="167">
        <v>100</v>
      </c>
      <c r="I663" s="160">
        <v>98</v>
      </c>
      <c r="J663" s="162" t="s">
        <v>838</v>
      </c>
      <c r="K663" s="164">
        <v>2</v>
      </c>
      <c r="L663" s="91"/>
      <c r="M663" s="92"/>
    </row>
    <row r="664" spans="1:13" s="45" customFormat="1" ht="8.5500000000000007" customHeight="1" x14ac:dyDescent="0.2">
      <c r="A664" s="43"/>
      <c r="B664" s="158"/>
      <c r="C664" s="158"/>
      <c r="D664" s="158"/>
      <c r="E664" s="158"/>
      <c r="F664" s="159"/>
      <c r="G664" s="166"/>
      <c r="H664" s="168"/>
      <c r="I664" s="161"/>
      <c r="J664" s="163"/>
      <c r="K664" s="165"/>
      <c r="L664" s="91"/>
      <c r="M664" s="92"/>
    </row>
    <row r="665" spans="1:13" s="45" customFormat="1" ht="8.5500000000000007" customHeight="1" x14ac:dyDescent="0.2">
      <c r="A665" s="43"/>
      <c r="B665" s="156" t="s">
        <v>19</v>
      </c>
      <c r="C665" s="156"/>
      <c r="D665" s="156"/>
      <c r="E665" s="156"/>
      <c r="F665" s="157"/>
      <c r="G665" s="166">
        <v>1993</v>
      </c>
      <c r="H665" s="167">
        <v>92</v>
      </c>
      <c r="I665" s="160"/>
      <c r="J665" s="162" t="s">
        <v>128</v>
      </c>
      <c r="K665" s="164">
        <v>2</v>
      </c>
      <c r="L665" s="91"/>
      <c r="M665" s="92"/>
    </row>
    <row r="666" spans="1:13" s="45" customFormat="1" ht="8.5500000000000007" customHeight="1" x14ac:dyDescent="0.2">
      <c r="A666" s="43"/>
      <c r="B666" s="158"/>
      <c r="C666" s="158"/>
      <c r="D666" s="158"/>
      <c r="E666" s="158"/>
      <c r="F666" s="159"/>
      <c r="G666" s="166"/>
      <c r="H666" s="168"/>
      <c r="I666" s="161"/>
      <c r="J666" s="163"/>
      <c r="K666" s="165"/>
      <c r="L666" s="91"/>
      <c r="M666" s="92"/>
    </row>
    <row r="667" spans="1:13" s="45" customFormat="1" ht="8.5500000000000007" customHeight="1" x14ac:dyDescent="0.2">
      <c r="A667" s="43"/>
      <c r="B667" s="156" t="s">
        <v>19</v>
      </c>
      <c r="C667" s="156"/>
      <c r="D667" s="156"/>
      <c r="E667" s="156"/>
      <c r="F667" s="157"/>
      <c r="G667" s="166">
        <v>1995</v>
      </c>
      <c r="H667" s="167">
        <v>96</v>
      </c>
      <c r="I667" s="160">
        <v>97</v>
      </c>
      <c r="J667" s="162" t="s">
        <v>366</v>
      </c>
      <c r="K667" s="164">
        <v>1</v>
      </c>
      <c r="L667" s="91"/>
      <c r="M667" s="92"/>
    </row>
    <row r="668" spans="1:13" s="45" customFormat="1" ht="8.5500000000000007" customHeight="1" x14ac:dyDescent="0.2">
      <c r="A668" s="43"/>
      <c r="B668" s="158"/>
      <c r="C668" s="158"/>
      <c r="D668" s="158"/>
      <c r="E668" s="158"/>
      <c r="F668" s="159"/>
      <c r="G668" s="166"/>
      <c r="H668" s="168"/>
      <c r="I668" s="161"/>
      <c r="J668" s="163"/>
      <c r="K668" s="165"/>
      <c r="L668" s="91"/>
      <c r="M668" s="92"/>
    </row>
    <row r="669" spans="1:13" s="45" customFormat="1" ht="8.5500000000000007" customHeight="1" x14ac:dyDescent="0.2">
      <c r="A669" s="43"/>
      <c r="B669" s="156" t="s">
        <v>19</v>
      </c>
      <c r="C669" s="156"/>
      <c r="D669" s="156"/>
      <c r="E669" s="156"/>
      <c r="F669" s="157"/>
      <c r="G669" s="166">
        <v>1996</v>
      </c>
      <c r="H669" s="167">
        <v>92</v>
      </c>
      <c r="I669" s="160">
        <v>94</v>
      </c>
      <c r="J669" s="162" t="s">
        <v>250</v>
      </c>
      <c r="K669" s="164">
        <v>2</v>
      </c>
      <c r="L669" s="91"/>
      <c r="M669" s="92"/>
    </row>
    <row r="670" spans="1:13" s="45" customFormat="1" ht="8.5500000000000007" customHeight="1" x14ac:dyDescent="0.2">
      <c r="A670" s="43"/>
      <c r="B670" s="158"/>
      <c r="C670" s="158"/>
      <c r="D670" s="158"/>
      <c r="E670" s="158"/>
      <c r="F670" s="159"/>
      <c r="G670" s="166"/>
      <c r="H670" s="168"/>
      <c r="I670" s="161"/>
      <c r="J670" s="163"/>
      <c r="K670" s="165"/>
      <c r="L670" s="91"/>
      <c r="M670" s="92"/>
    </row>
    <row r="671" spans="1:13" s="45" customFormat="1" ht="8.5500000000000007" customHeight="1" x14ac:dyDescent="0.2">
      <c r="A671" s="43"/>
      <c r="B671" s="156" t="s">
        <v>19</v>
      </c>
      <c r="C671" s="156"/>
      <c r="D671" s="156"/>
      <c r="E671" s="156"/>
      <c r="F671" s="157"/>
      <c r="G671" s="166">
        <v>1999</v>
      </c>
      <c r="H671" s="167">
        <v>94</v>
      </c>
      <c r="I671" s="160">
        <v>90</v>
      </c>
      <c r="J671" s="162" t="s">
        <v>122</v>
      </c>
      <c r="K671" s="164">
        <v>1</v>
      </c>
      <c r="L671" s="91"/>
      <c r="M671" s="92"/>
    </row>
    <row r="672" spans="1:13" s="45" customFormat="1" ht="8.5500000000000007" customHeight="1" x14ac:dyDescent="0.2">
      <c r="A672" s="43"/>
      <c r="B672" s="158"/>
      <c r="C672" s="158"/>
      <c r="D672" s="158"/>
      <c r="E672" s="158"/>
      <c r="F672" s="159"/>
      <c r="G672" s="166"/>
      <c r="H672" s="168"/>
      <c r="I672" s="161"/>
      <c r="J672" s="163"/>
      <c r="K672" s="165"/>
      <c r="L672" s="91"/>
      <c r="M672" s="92"/>
    </row>
    <row r="673" spans="1:13" s="45" customFormat="1" ht="8.5500000000000007" customHeight="1" x14ac:dyDescent="0.2">
      <c r="A673" s="43"/>
      <c r="B673" s="156" t="s">
        <v>19</v>
      </c>
      <c r="C673" s="156"/>
      <c r="D673" s="156"/>
      <c r="E673" s="156"/>
      <c r="F673" s="157"/>
      <c r="G673" s="166">
        <v>2003</v>
      </c>
      <c r="H673" s="167">
        <v>93</v>
      </c>
      <c r="I673" s="160">
        <v>98</v>
      </c>
      <c r="J673" s="162" t="s">
        <v>1766</v>
      </c>
      <c r="K673" s="164">
        <v>2</v>
      </c>
      <c r="L673" s="91"/>
      <c r="M673" s="92"/>
    </row>
    <row r="674" spans="1:13" s="45" customFormat="1" ht="8.5500000000000007" customHeight="1" x14ac:dyDescent="0.2">
      <c r="A674" s="43"/>
      <c r="B674" s="158"/>
      <c r="C674" s="158"/>
      <c r="D674" s="158"/>
      <c r="E674" s="158"/>
      <c r="F674" s="159"/>
      <c r="G674" s="166"/>
      <c r="H674" s="168"/>
      <c r="I674" s="161"/>
      <c r="J674" s="163"/>
      <c r="K674" s="165"/>
      <c r="L674" s="91"/>
      <c r="M674" s="92"/>
    </row>
    <row r="675" spans="1:13" s="45" customFormat="1" ht="8.5500000000000007" customHeight="1" x14ac:dyDescent="0.2">
      <c r="A675" s="43"/>
      <c r="B675" s="172" t="s">
        <v>384</v>
      </c>
      <c r="C675" s="172"/>
      <c r="D675" s="172"/>
      <c r="E675" s="172"/>
      <c r="F675" s="173"/>
      <c r="G675" s="166">
        <v>1995</v>
      </c>
      <c r="H675" s="167">
        <v>94</v>
      </c>
      <c r="I675" s="160">
        <v>94</v>
      </c>
      <c r="J675" s="162" t="s">
        <v>33</v>
      </c>
      <c r="K675" s="164">
        <v>2</v>
      </c>
      <c r="L675" s="91"/>
      <c r="M675" s="92"/>
    </row>
    <row r="676" spans="1:13" s="45" customFormat="1" ht="8.5500000000000007" customHeight="1" x14ac:dyDescent="0.2">
      <c r="A676" s="43"/>
      <c r="B676" s="174"/>
      <c r="C676" s="174"/>
      <c r="D676" s="174"/>
      <c r="E676" s="174"/>
      <c r="F676" s="175"/>
      <c r="G676" s="166"/>
      <c r="H676" s="168"/>
      <c r="I676" s="161"/>
      <c r="J676" s="163"/>
      <c r="K676" s="165"/>
      <c r="L676" s="91"/>
      <c r="M676" s="92"/>
    </row>
    <row r="677" spans="1:13" s="45" customFormat="1" ht="8.5500000000000007" customHeight="1" x14ac:dyDescent="0.2">
      <c r="A677" s="43"/>
      <c r="B677" s="156" t="s">
        <v>77</v>
      </c>
      <c r="C677" s="156"/>
      <c r="D677" s="156"/>
      <c r="E677" s="156"/>
      <c r="F677" s="157"/>
      <c r="G677" s="166">
        <v>1979</v>
      </c>
      <c r="H677" s="167" t="s">
        <v>629</v>
      </c>
      <c r="I677" s="160">
        <v>87</v>
      </c>
      <c r="J677" s="162" t="s">
        <v>125</v>
      </c>
      <c r="K677" s="164">
        <v>1</v>
      </c>
      <c r="L677" s="91"/>
      <c r="M677" s="92"/>
    </row>
    <row r="678" spans="1:13" s="45" customFormat="1" ht="8.5500000000000007" customHeight="1" x14ac:dyDescent="0.2">
      <c r="A678" s="43"/>
      <c r="B678" s="158"/>
      <c r="C678" s="158"/>
      <c r="D678" s="158"/>
      <c r="E678" s="158"/>
      <c r="F678" s="159"/>
      <c r="G678" s="166"/>
      <c r="H678" s="168"/>
      <c r="I678" s="161"/>
      <c r="J678" s="163"/>
      <c r="K678" s="165"/>
      <c r="L678" s="91"/>
      <c r="M678" s="92"/>
    </row>
    <row r="679" spans="1:13" s="45" customFormat="1" ht="8.5500000000000007" customHeight="1" x14ac:dyDescent="0.2">
      <c r="A679" s="43"/>
      <c r="B679" s="156" t="s">
        <v>77</v>
      </c>
      <c r="C679" s="156"/>
      <c r="D679" s="156"/>
      <c r="E679" s="156"/>
      <c r="F679" s="157"/>
      <c r="G679" s="166">
        <v>1982</v>
      </c>
      <c r="H679" s="167">
        <v>100</v>
      </c>
      <c r="I679" s="160">
        <v>99</v>
      </c>
      <c r="J679" s="162" t="s">
        <v>215</v>
      </c>
      <c r="K679" s="164">
        <v>1</v>
      </c>
      <c r="L679" s="91"/>
      <c r="M679" s="92"/>
    </row>
    <row r="680" spans="1:13" s="45" customFormat="1" ht="8.5500000000000007" customHeight="1" x14ac:dyDescent="0.2">
      <c r="A680" s="43"/>
      <c r="B680" s="158"/>
      <c r="C680" s="158"/>
      <c r="D680" s="158"/>
      <c r="E680" s="158"/>
      <c r="F680" s="159"/>
      <c r="G680" s="166"/>
      <c r="H680" s="168"/>
      <c r="I680" s="161"/>
      <c r="J680" s="163"/>
      <c r="K680" s="165"/>
      <c r="L680" s="91"/>
      <c r="M680" s="92"/>
    </row>
    <row r="681" spans="1:13" s="45" customFormat="1" ht="8.5500000000000007" customHeight="1" x14ac:dyDescent="0.2">
      <c r="A681" s="43"/>
      <c r="B681" s="170" t="s">
        <v>691</v>
      </c>
      <c r="C681" s="170"/>
      <c r="D681" s="170"/>
      <c r="E681" s="170"/>
      <c r="F681" s="170"/>
      <c r="G681" s="187"/>
      <c r="H681" s="44"/>
      <c r="I681" s="85"/>
      <c r="J681" s="44"/>
      <c r="K681" s="164"/>
      <c r="L681" s="91"/>
      <c r="M681" s="92"/>
    </row>
    <row r="682" spans="1:13" s="45" customFormat="1" ht="8.5500000000000007" customHeight="1" x14ac:dyDescent="0.2">
      <c r="A682" s="43"/>
      <c r="B682" s="171"/>
      <c r="C682" s="171"/>
      <c r="D682" s="171"/>
      <c r="E682" s="171"/>
      <c r="F682" s="171"/>
      <c r="G682" s="188"/>
      <c r="H682" s="46"/>
      <c r="I682" s="86"/>
      <c r="J682" s="46"/>
      <c r="K682" s="165"/>
      <c r="L682" s="91"/>
      <c r="M682" s="92"/>
    </row>
    <row r="683" spans="1:13" s="45" customFormat="1" ht="8.5500000000000007" customHeight="1" x14ac:dyDescent="0.2">
      <c r="A683" s="43"/>
      <c r="B683" s="156" t="s">
        <v>77</v>
      </c>
      <c r="C683" s="156"/>
      <c r="D683" s="156"/>
      <c r="E683" s="156"/>
      <c r="F683" s="157"/>
      <c r="G683" s="166">
        <v>1985</v>
      </c>
      <c r="H683" s="167">
        <v>94</v>
      </c>
      <c r="I683" s="160">
        <v>96</v>
      </c>
      <c r="J683" s="162" t="s">
        <v>125</v>
      </c>
      <c r="K683" s="164">
        <v>2</v>
      </c>
      <c r="L683" s="91"/>
      <c r="M683" s="92"/>
    </row>
    <row r="684" spans="1:13" s="45" customFormat="1" ht="8.5500000000000007" customHeight="1" x14ac:dyDescent="0.2">
      <c r="A684" s="43"/>
      <c r="B684" s="158"/>
      <c r="C684" s="158"/>
      <c r="D684" s="158"/>
      <c r="E684" s="158"/>
      <c r="F684" s="159"/>
      <c r="G684" s="166"/>
      <c r="H684" s="168"/>
      <c r="I684" s="161"/>
      <c r="J684" s="163"/>
      <c r="K684" s="165"/>
      <c r="L684" s="91"/>
      <c r="M684" s="92"/>
    </row>
    <row r="685" spans="1:13" s="45" customFormat="1" ht="8.5500000000000007" customHeight="1" x14ac:dyDescent="0.2">
      <c r="A685" s="43"/>
      <c r="B685" s="156" t="s">
        <v>77</v>
      </c>
      <c r="C685" s="156"/>
      <c r="D685" s="156"/>
      <c r="E685" s="156"/>
      <c r="F685" s="157"/>
      <c r="G685" s="166">
        <v>1988</v>
      </c>
      <c r="H685" s="167">
        <v>93</v>
      </c>
      <c r="I685" s="160">
        <v>90</v>
      </c>
      <c r="J685" s="162" t="s">
        <v>33</v>
      </c>
      <c r="K685" s="164">
        <v>4</v>
      </c>
      <c r="L685" s="91"/>
      <c r="M685" s="92"/>
    </row>
    <row r="686" spans="1:13" s="45" customFormat="1" ht="8.5500000000000007" customHeight="1" x14ac:dyDescent="0.2">
      <c r="A686" s="43"/>
      <c r="B686" s="158"/>
      <c r="C686" s="158"/>
      <c r="D686" s="158"/>
      <c r="E686" s="158"/>
      <c r="F686" s="159"/>
      <c r="G686" s="166"/>
      <c r="H686" s="168"/>
      <c r="I686" s="161"/>
      <c r="J686" s="163"/>
      <c r="K686" s="165"/>
      <c r="L686" s="91"/>
      <c r="M686" s="92"/>
    </row>
    <row r="687" spans="1:13" s="45" customFormat="1" ht="8.5500000000000007" customHeight="1" x14ac:dyDescent="0.2">
      <c r="A687" s="43"/>
      <c r="B687" s="156" t="s">
        <v>77</v>
      </c>
      <c r="C687" s="156"/>
      <c r="D687" s="156"/>
      <c r="E687" s="156"/>
      <c r="F687" s="157"/>
      <c r="G687" s="166">
        <v>1989</v>
      </c>
      <c r="H687" s="167">
        <v>95</v>
      </c>
      <c r="I687" s="160">
        <v>98</v>
      </c>
      <c r="J687" s="169" t="s">
        <v>40</v>
      </c>
      <c r="K687" s="164">
        <v>3</v>
      </c>
      <c r="L687" s="91"/>
      <c r="M687" s="92"/>
    </row>
    <row r="688" spans="1:13" s="45" customFormat="1" ht="8.5500000000000007" customHeight="1" x14ac:dyDescent="0.2">
      <c r="A688" s="43"/>
      <c r="B688" s="158"/>
      <c r="C688" s="158"/>
      <c r="D688" s="158"/>
      <c r="E688" s="158"/>
      <c r="F688" s="159"/>
      <c r="G688" s="166"/>
      <c r="H688" s="168"/>
      <c r="I688" s="161"/>
      <c r="J688" s="168"/>
      <c r="K688" s="165"/>
      <c r="L688" s="91"/>
      <c r="M688" s="92"/>
    </row>
    <row r="689" spans="1:13" s="45" customFormat="1" ht="8.5500000000000007" customHeight="1" x14ac:dyDescent="0.2">
      <c r="A689" s="43"/>
      <c r="B689" s="156" t="s">
        <v>77</v>
      </c>
      <c r="C689" s="156"/>
      <c r="D689" s="156"/>
      <c r="E689" s="156"/>
      <c r="F689" s="157"/>
      <c r="G689" s="166">
        <v>1990</v>
      </c>
      <c r="H689" s="167" t="s">
        <v>640</v>
      </c>
      <c r="I689" s="160">
        <v>92</v>
      </c>
      <c r="J689" s="169" t="s">
        <v>47</v>
      </c>
      <c r="K689" s="164">
        <v>1</v>
      </c>
      <c r="L689" s="91"/>
      <c r="M689" s="92"/>
    </row>
    <row r="690" spans="1:13" s="45" customFormat="1" ht="8.5500000000000007" customHeight="1" x14ac:dyDescent="0.2">
      <c r="A690" s="43"/>
      <c r="B690" s="158"/>
      <c r="C690" s="158"/>
      <c r="D690" s="158"/>
      <c r="E690" s="158"/>
      <c r="F690" s="159"/>
      <c r="G690" s="166"/>
      <c r="H690" s="168"/>
      <c r="I690" s="161"/>
      <c r="J690" s="168"/>
      <c r="K690" s="165"/>
      <c r="L690" s="91"/>
      <c r="M690" s="92"/>
    </row>
    <row r="691" spans="1:13" s="45" customFormat="1" ht="8.5500000000000007" customHeight="1" x14ac:dyDescent="0.2">
      <c r="A691" s="43"/>
      <c r="B691" s="156" t="s">
        <v>77</v>
      </c>
      <c r="C691" s="156"/>
      <c r="D691" s="156"/>
      <c r="E691" s="156"/>
      <c r="F691" s="157"/>
      <c r="G691" s="166">
        <v>1995</v>
      </c>
      <c r="H691" s="167">
        <v>96</v>
      </c>
      <c r="I691" s="160">
        <v>98</v>
      </c>
      <c r="J691" s="211" t="s">
        <v>1933</v>
      </c>
      <c r="K691" s="164">
        <v>5</v>
      </c>
      <c r="L691" s="91"/>
      <c r="M691" s="92"/>
    </row>
    <row r="692" spans="1:13" s="45" customFormat="1" ht="8.5500000000000007" customHeight="1" x14ac:dyDescent="0.2">
      <c r="A692" s="43"/>
      <c r="B692" s="158"/>
      <c r="C692" s="158"/>
      <c r="D692" s="158"/>
      <c r="E692" s="158"/>
      <c r="F692" s="159"/>
      <c r="G692" s="166"/>
      <c r="H692" s="168"/>
      <c r="I692" s="161"/>
      <c r="J692" s="168"/>
      <c r="K692" s="165"/>
      <c r="L692" s="91"/>
      <c r="M692" s="92"/>
    </row>
    <row r="693" spans="1:13" s="45" customFormat="1" ht="8.5500000000000007" customHeight="1" x14ac:dyDescent="0.2">
      <c r="A693" s="43"/>
      <c r="B693" s="156" t="s">
        <v>77</v>
      </c>
      <c r="C693" s="156"/>
      <c r="D693" s="156"/>
      <c r="E693" s="156"/>
      <c r="F693" s="157"/>
      <c r="G693" s="166">
        <v>1998</v>
      </c>
      <c r="H693" s="167">
        <v>94</v>
      </c>
      <c r="I693" s="160">
        <v>98</v>
      </c>
      <c r="J693" s="211" t="s">
        <v>1933</v>
      </c>
      <c r="K693" s="164">
        <v>4</v>
      </c>
      <c r="L693" s="91"/>
      <c r="M693" s="92"/>
    </row>
    <row r="694" spans="1:13" s="45" customFormat="1" ht="8.5500000000000007" customHeight="1" x14ac:dyDescent="0.2">
      <c r="A694" s="43"/>
      <c r="B694" s="158"/>
      <c r="C694" s="158"/>
      <c r="D694" s="158"/>
      <c r="E694" s="158"/>
      <c r="F694" s="159"/>
      <c r="G694" s="166"/>
      <c r="H694" s="168"/>
      <c r="I694" s="161"/>
      <c r="J694" s="168"/>
      <c r="K694" s="165"/>
      <c r="L694" s="91"/>
      <c r="M694" s="92"/>
    </row>
    <row r="695" spans="1:13" s="45" customFormat="1" ht="8.5500000000000007" customHeight="1" x14ac:dyDescent="0.2">
      <c r="A695" s="43"/>
      <c r="B695" s="156" t="s">
        <v>77</v>
      </c>
      <c r="C695" s="156"/>
      <c r="D695" s="156"/>
      <c r="E695" s="156"/>
      <c r="F695" s="157"/>
      <c r="G695" s="166">
        <v>2000</v>
      </c>
      <c r="H695" s="167">
        <v>100</v>
      </c>
      <c r="I695" s="160" t="s">
        <v>61</v>
      </c>
      <c r="J695" s="162" t="s">
        <v>39</v>
      </c>
      <c r="K695" s="164">
        <v>1</v>
      </c>
      <c r="L695" s="91"/>
      <c r="M695" s="92"/>
    </row>
    <row r="696" spans="1:13" s="45" customFormat="1" ht="8.5500000000000007" customHeight="1" x14ac:dyDescent="0.2">
      <c r="A696" s="43"/>
      <c r="B696" s="158"/>
      <c r="C696" s="158"/>
      <c r="D696" s="158"/>
      <c r="E696" s="158"/>
      <c r="F696" s="159"/>
      <c r="G696" s="166"/>
      <c r="H696" s="168"/>
      <c r="I696" s="161"/>
      <c r="J696" s="163"/>
      <c r="K696" s="165"/>
      <c r="L696" s="91"/>
      <c r="M696" s="92"/>
    </row>
    <row r="697" spans="1:13" s="45" customFormat="1" ht="8.5500000000000007" customHeight="1" x14ac:dyDescent="0.2">
      <c r="A697" s="43"/>
      <c r="B697" s="156" t="s">
        <v>77</v>
      </c>
      <c r="C697" s="156"/>
      <c r="D697" s="156"/>
      <c r="E697" s="156"/>
      <c r="F697" s="157"/>
      <c r="G697" s="166">
        <v>2003</v>
      </c>
      <c r="H697" s="167">
        <v>95</v>
      </c>
      <c r="I697" s="160">
        <v>97</v>
      </c>
      <c r="J697" s="169" t="s">
        <v>136</v>
      </c>
      <c r="K697" s="164">
        <v>5</v>
      </c>
      <c r="L697" s="91"/>
      <c r="M697" s="92"/>
    </row>
    <row r="698" spans="1:13" s="45" customFormat="1" ht="8.5500000000000007" customHeight="1" x14ac:dyDescent="0.2">
      <c r="A698" s="43"/>
      <c r="B698" s="158"/>
      <c r="C698" s="158"/>
      <c r="D698" s="158"/>
      <c r="E698" s="158"/>
      <c r="F698" s="159"/>
      <c r="G698" s="166"/>
      <c r="H698" s="168"/>
      <c r="I698" s="161"/>
      <c r="J698" s="168"/>
      <c r="K698" s="165"/>
      <c r="L698" s="91"/>
      <c r="M698" s="92"/>
    </row>
    <row r="699" spans="1:13" s="45" customFormat="1" ht="8.5500000000000007" customHeight="1" x14ac:dyDescent="0.2">
      <c r="A699" s="43"/>
      <c r="B699" s="156" t="s">
        <v>77</v>
      </c>
      <c r="C699" s="156"/>
      <c r="D699" s="156"/>
      <c r="E699" s="156"/>
      <c r="F699" s="157"/>
      <c r="G699" s="166">
        <v>2005</v>
      </c>
      <c r="H699" s="167">
        <v>100</v>
      </c>
      <c r="I699" s="160">
        <v>100</v>
      </c>
      <c r="J699" s="162" t="s">
        <v>266</v>
      </c>
      <c r="K699" s="164">
        <v>4</v>
      </c>
      <c r="L699" s="91"/>
      <c r="M699" s="92"/>
    </row>
    <row r="700" spans="1:13" s="45" customFormat="1" ht="8.5500000000000007" customHeight="1" x14ac:dyDescent="0.2">
      <c r="A700" s="43"/>
      <c r="B700" s="158"/>
      <c r="C700" s="158"/>
      <c r="D700" s="158"/>
      <c r="E700" s="158"/>
      <c r="F700" s="159"/>
      <c r="G700" s="166"/>
      <c r="H700" s="168"/>
      <c r="I700" s="161"/>
      <c r="J700" s="163"/>
      <c r="K700" s="165"/>
      <c r="L700" s="91"/>
      <c r="M700" s="92"/>
    </row>
    <row r="701" spans="1:13" s="45" customFormat="1" ht="8.5500000000000007" customHeight="1" x14ac:dyDescent="0.2">
      <c r="A701" s="43"/>
      <c r="B701" s="201" t="s">
        <v>77</v>
      </c>
      <c r="C701" s="201"/>
      <c r="D701" s="201"/>
      <c r="E701" s="201"/>
      <c r="F701" s="157"/>
      <c r="G701" s="189">
        <v>2006</v>
      </c>
      <c r="H701" s="167">
        <v>93</v>
      </c>
      <c r="I701" s="160" t="s">
        <v>58</v>
      </c>
      <c r="J701" s="209" t="s">
        <v>1934</v>
      </c>
      <c r="K701" s="234">
        <v>3</v>
      </c>
      <c r="L701" s="91"/>
      <c r="M701" s="92"/>
    </row>
    <row r="702" spans="1:13" s="45" customFormat="1" ht="8.5500000000000007" customHeight="1" x14ac:dyDescent="0.2">
      <c r="A702" s="43"/>
      <c r="B702" s="158"/>
      <c r="C702" s="158"/>
      <c r="D702" s="158"/>
      <c r="E702" s="158"/>
      <c r="F702" s="159"/>
      <c r="G702" s="190"/>
      <c r="H702" s="168"/>
      <c r="I702" s="161"/>
      <c r="J702" s="210"/>
      <c r="K702" s="235"/>
      <c r="L702" s="91"/>
      <c r="M702" s="92"/>
    </row>
    <row r="703" spans="1:13" s="45" customFormat="1" ht="8.5500000000000007" customHeight="1" x14ac:dyDescent="0.2">
      <c r="A703" s="43"/>
      <c r="B703" s="172" t="s">
        <v>177</v>
      </c>
      <c r="C703" s="172"/>
      <c r="D703" s="172"/>
      <c r="E703" s="172"/>
      <c r="F703" s="173"/>
      <c r="G703" s="166">
        <v>1989</v>
      </c>
      <c r="H703" s="167">
        <v>100</v>
      </c>
      <c r="I703" s="160">
        <v>89</v>
      </c>
      <c r="J703" s="162" t="s">
        <v>33</v>
      </c>
      <c r="K703" s="164">
        <v>3</v>
      </c>
      <c r="L703" s="91"/>
      <c r="M703" s="92"/>
    </row>
    <row r="704" spans="1:13" s="45" customFormat="1" ht="8.5500000000000007" customHeight="1" x14ac:dyDescent="0.2">
      <c r="A704" s="43"/>
      <c r="B704" s="174"/>
      <c r="C704" s="174"/>
      <c r="D704" s="174"/>
      <c r="E704" s="174"/>
      <c r="F704" s="175"/>
      <c r="G704" s="166"/>
      <c r="H704" s="168"/>
      <c r="I704" s="161"/>
      <c r="J704" s="163"/>
      <c r="K704" s="165"/>
      <c r="L704" s="91"/>
      <c r="M704" s="92"/>
    </row>
    <row r="705" spans="1:13" s="45" customFormat="1" ht="8.5500000000000007" customHeight="1" x14ac:dyDescent="0.2">
      <c r="A705" s="43"/>
      <c r="B705" s="156" t="s">
        <v>896</v>
      </c>
      <c r="C705" s="156"/>
      <c r="D705" s="156"/>
      <c r="E705" s="156"/>
      <c r="F705" s="157"/>
      <c r="G705" s="166">
        <v>1989</v>
      </c>
      <c r="H705" s="167">
        <v>100</v>
      </c>
      <c r="I705" s="160">
        <v>89</v>
      </c>
      <c r="J705" s="162" t="s">
        <v>33</v>
      </c>
      <c r="K705" s="164">
        <v>2</v>
      </c>
      <c r="L705" s="91"/>
      <c r="M705" s="92"/>
    </row>
    <row r="706" spans="1:13" s="45" customFormat="1" ht="8.5500000000000007" customHeight="1" x14ac:dyDescent="0.2">
      <c r="A706" s="43"/>
      <c r="B706" s="158"/>
      <c r="C706" s="158"/>
      <c r="D706" s="158"/>
      <c r="E706" s="158"/>
      <c r="F706" s="159"/>
      <c r="G706" s="166"/>
      <c r="H706" s="168"/>
      <c r="I706" s="161"/>
      <c r="J706" s="163"/>
      <c r="K706" s="165"/>
      <c r="L706" s="91"/>
      <c r="M706" s="92"/>
    </row>
    <row r="707" spans="1:13" s="45" customFormat="1" ht="8.5500000000000007" customHeight="1" x14ac:dyDescent="0.2">
      <c r="A707" s="43"/>
      <c r="B707" s="156" t="s">
        <v>177</v>
      </c>
      <c r="C707" s="156"/>
      <c r="D707" s="156"/>
      <c r="E707" s="156"/>
      <c r="F707" s="157"/>
      <c r="G707" s="166">
        <v>1990</v>
      </c>
      <c r="H707" s="167">
        <v>97</v>
      </c>
      <c r="I707" s="160">
        <v>92</v>
      </c>
      <c r="J707" s="162" t="s">
        <v>38</v>
      </c>
      <c r="K707" s="164">
        <v>1</v>
      </c>
      <c r="L707" s="91"/>
      <c r="M707" s="92"/>
    </row>
    <row r="708" spans="1:13" s="45" customFormat="1" ht="8.5500000000000007" customHeight="1" x14ac:dyDescent="0.2">
      <c r="A708" s="43"/>
      <c r="B708" s="158"/>
      <c r="C708" s="158"/>
      <c r="D708" s="158"/>
      <c r="E708" s="158"/>
      <c r="F708" s="159"/>
      <c r="G708" s="166"/>
      <c r="H708" s="168"/>
      <c r="I708" s="161"/>
      <c r="J708" s="163"/>
      <c r="K708" s="165"/>
      <c r="L708" s="91"/>
      <c r="M708" s="92"/>
    </row>
    <row r="709" spans="1:13" s="45" customFormat="1" ht="8.5500000000000007" customHeight="1" x14ac:dyDescent="0.2">
      <c r="A709" s="43"/>
      <c r="B709" s="156" t="s">
        <v>177</v>
      </c>
      <c r="C709" s="156"/>
      <c r="D709" s="156"/>
      <c r="E709" s="156"/>
      <c r="F709" s="157"/>
      <c r="G709" s="166">
        <v>1995</v>
      </c>
      <c r="H709" s="167">
        <v>96</v>
      </c>
      <c r="I709" s="160">
        <v>92</v>
      </c>
      <c r="J709" s="169" t="s">
        <v>139</v>
      </c>
      <c r="K709" s="164">
        <v>3</v>
      </c>
      <c r="L709" s="91"/>
      <c r="M709" s="92"/>
    </row>
    <row r="710" spans="1:13" s="45" customFormat="1" ht="8.5500000000000007" customHeight="1" x14ac:dyDescent="0.2">
      <c r="A710" s="43"/>
      <c r="B710" s="158"/>
      <c r="C710" s="158"/>
      <c r="D710" s="158"/>
      <c r="E710" s="158"/>
      <c r="F710" s="159"/>
      <c r="G710" s="166"/>
      <c r="H710" s="168"/>
      <c r="I710" s="161"/>
      <c r="J710" s="168"/>
      <c r="K710" s="165"/>
      <c r="L710" s="91"/>
      <c r="M710" s="92"/>
    </row>
    <row r="711" spans="1:13" s="45" customFormat="1" ht="8.5500000000000007" customHeight="1" x14ac:dyDescent="0.2">
      <c r="A711" s="43"/>
      <c r="B711" s="156" t="s">
        <v>614</v>
      </c>
      <c r="C711" s="156"/>
      <c r="D711" s="156"/>
      <c r="E711" s="156"/>
      <c r="F711" s="157"/>
      <c r="G711" s="166">
        <v>1982</v>
      </c>
      <c r="H711" s="167">
        <v>95</v>
      </c>
      <c r="I711" s="160">
        <v>90</v>
      </c>
      <c r="J711" s="169" t="s">
        <v>25</v>
      </c>
      <c r="K711" s="164">
        <v>2</v>
      </c>
      <c r="L711" s="91"/>
      <c r="M711" s="92"/>
    </row>
    <row r="712" spans="1:13" s="45" customFormat="1" ht="8.5500000000000007" customHeight="1" x14ac:dyDescent="0.2">
      <c r="A712" s="43"/>
      <c r="B712" s="158"/>
      <c r="C712" s="158"/>
      <c r="D712" s="158"/>
      <c r="E712" s="158"/>
      <c r="F712" s="159"/>
      <c r="G712" s="166"/>
      <c r="H712" s="168"/>
      <c r="I712" s="161"/>
      <c r="J712" s="168"/>
      <c r="K712" s="165"/>
      <c r="L712" s="91"/>
      <c r="M712" s="92"/>
    </row>
    <row r="713" spans="1:13" s="45" customFormat="1" ht="8.5500000000000007" customHeight="1" x14ac:dyDescent="0.2">
      <c r="A713" s="43"/>
      <c r="B713" s="156" t="s">
        <v>386</v>
      </c>
      <c r="C713" s="156"/>
      <c r="D713" s="156"/>
      <c r="E713" s="156"/>
      <c r="F713" s="157"/>
      <c r="G713" s="166">
        <v>1982</v>
      </c>
      <c r="H713" s="167">
        <v>89</v>
      </c>
      <c r="I713" s="160">
        <v>96</v>
      </c>
      <c r="J713" s="160"/>
      <c r="K713" s="164">
        <v>1</v>
      </c>
      <c r="L713" s="91"/>
      <c r="M713" s="92"/>
    </row>
    <row r="714" spans="1:13" s="45" customFormat="1" ht="8.5500000000000007" customHeight="1" x14ac:dyDescent="0.2">
      <c r="A714" s="43"/>
      <c r="B714" s="158"/>
      <c r="C714" s="158"/>
      <c r="D714" s="158"/>
      <c r="E714" s="158"/>
      <c r="F714" s="159"/>
      <c r="G714" s="166"/>
      <c r="H714" s="168"/>
      <c r="I714" s="161"/>
      <c r="J714" s="161"/>
      <c r="K714" s="165"/>
      <c r="L714" s="91"/>
      <c r="M714" s="92"/>
    </row>
    <row r="715" spans="1:13" s="45" customFormat="1" ht="8.5500000000000007" customHeight="1" x14ac:dyDescent="0.2">
      <c r="A715" s="43"/>
      <c r="B715" s="156" t="s">
        <v>386</v>
      </c>
      <c r="C715" s="156"/>
      <c r="D715" s="156"/>
      <c r="E715" s="156"/>
      <c r="F715" s="157"/>
      <c r="G715" s="166">
        <v>2000</v>
      </c>
      <c r="H715" s="167" t="s">
        <v>638</v>
      </c>
      <c r="I715" s="160">
        <v>92</v>
      </c>
      <c r="J715" s="162" t="s">
        <v>222</v>
      </c>
      <c r="K715" s="164">
        <v>1</v>
      </c>
      <c r="L715" s="91"/>
      <c r="M715" s="92"/>
    </row>
    <row r="716" spans="1:13" s="45" customFormat="1" ht="8.5500000000000007" customHeight="1" x14ac:dyDescent="0.2">
      <c r="A716" s="43"/>
      <c r="B716" s="158"/>
      <c r="C716" s="158"/>
      <c r="D716" s="158"/>
      <c r="E716" s="158"/>
      <c r="F716" s="159"/>
      <c r="G716" s="166"/>
      <c r="H716" s="168"/>
      <c r="I716" s="161"/>
      <c r="J716" s="163"/>
      <c r="K716" s="165"/>
      <c r="L716" s="91"/>
      <c r="M716" s="92"/>
    </row>
    <row r="717" spans="1:13" s="45" customFormat="1" ht="8.5500000000000007" customHeight="1" x14ac:dyDescent="0.2">
      <c r="A717" s="43"/>
      <c r="B717" s="172" t="s">
        <v>278</v>
      </c>
      <c r="C717" s="172"/>
      <c r="D717" s="172"/>
      <c r="E717" s="172"/>
      <c r="F717" s="173"/>
      <c r="G717" s="166">
        <v>1945</v>
      </c>
      <c r="H717" s="167">
        <v>95</v>
      </c>
      <c r="I717" s="160">
        <v>93</v>
      </c>
      <c r="J717" s="162" t="s">
        <v>297</v>
      </c>
      <c r="K717" s="164">
        <v>1</v>
      </c>
      <c r="L717" s="91"/>
      <c r="M717" s="92"/>
    </row>
    <row r="718" spans="1:13" s="45" customFormat="1" ht="8.5500000000000007" customHeight="1" x14ac:dyDescent="0.2">
      <c r="A718" s="43"/>
      <c r="B718" s="174"/>
      <c r="C718" s="174"/>
      <c r="D718" s="174"/>
      <c r="E718" s="174"/>
      <c r="F718" s="175"/>
      <c r="G718" s="166"/>
      <c r="H718" s="168"/>
      <c r="I718" s="161"/>
      <c r="J718" s="163"/>
      <c r="K718" s="165"/>
      <c r="L718" s="91"/>
      <c r="M718" s="92"/>
    </row>
    <row r="719" spans="1:13" s="45" customFormat="1" ht="8.5500000000000007" customHeight="1" x14ac:dyDescent="0.2">
      <c r="A719" s="43"/>
      <c r="B719" s="156" t="s">
        <v>278</v>
      </c>
      <c r="C719" s="156"/>
      <c r="D719" s="156"/>
      <c r="E719" s="156"/>
      <c r="F719" s="157"/>
      <c r="G719" s="166">
        <v>1970</v>
      </c>
      <c r="H719" s="167">
        <v>96</v>
      </c>
      <c r="I719" s="160">
        <v>88</v>
      </c>
      <c r="J719" s="162" t="s">
        <v>321</v>
      </c>
      <c r="K719" s="164">
        <v>1</v>
      </c>
      <c r="L719" s="91"/>
      <c r="M719" s="92"/>
    </row>
    <row r="720" spans="1:13" s="45" customFormat="1" ht="8.5500000000000007" customHeight="1" x14ac:dyDescent="0.2">
      <c r="A720" s="43"/>
      <c r="B720" s="158"/>
      <c r="C720" s="158"/>
      <c r="D720" s="158"/>
      <c r="E720" s="158"/>
      <c r="F720" s="159"/>
      <c r="G720" s="166"/>
      <c r="H720" s="168"/>
      <c r="I720" s="161"/>
      <c r="J720" s="163"/>
      <c r="K720" s="165"/>
      <c r="L720" s="91"/>
      <c r="M720" s="92"/>
    </row>
    <row r="721" spans="1:13" s="45" customFormat="1" ht="8.5500000000000007" customHeight="1" x14ac:dyDescent="0.2">
      <c r="A721" s="43"/>
      <c r="B721" s="156" t="s">
        <v>278</v>
      </c>
      <c r="C721" s="156"/>
      <c r="D721" s="156"/>
      <c r="E721" s="156"/>
      <c r="F721" s="157"/>
      <c r="G721" s="166">
        <v>1975</v>
      </c>
      <c r="H721" s="167">
        <v>97</v>
      </c>
      <c r="I721" s="160">
        <v>83</v>
      </c>
      <c r="J721" s="162" t="s">
        <v>718</v>
      </c>
      <c r="K721" s="164">
        <v>1</v>
      </c>
      <c r="L721" s="91"/>
      <c r="M721" s="92"/>
    </row>
    <row r="722" spans="1:13" s="45" customFormat="1" ht="8.5500000000000007" customHeight="1" x14ac:dyDescent="0.2">
      <c r="A722" s="43"/>
      <c r="B722" s="158"/>
      <c r="C722" s="158"/>
      <c r="D722" s="158"/>
      <c r="E722" s="158"/>
      <c r="F722" s="159"/>
      <c r="G722" s="166"/>
      <c r="H722" s="168"/>
      <c r="I722" s="161"/>
      <c r="J722" s="163"/>
      <c r="K722" s="165"/>
      <c r="L722" s="91"/>
      <c r="M722" s="92"/>
    </row>
    <row r="723" spans="1:13" s="45" customFormat="1" ht="8.5500000000000007" customHeight="1" x14ac:dyDescent="0.2">
      <c r="A723" s="43"/>
      <c r="B723" s="156" t="s">
        <v>278</v>
      </c>
      <c r="C723" s="156"/>
      <c r="D723" s="156"/>
      <c r="E723" s="156"/>
      <c r="F723" s="157"/>
      <c r="G723" s="166">
        <v>1982</v>
      </c>
      <c r="H723" s="167">
        <v>97</v>
      </c>
      <c r="I723" s="160">
        <v>93</v>
      </c>
      <c r="J723" s="162" t="s">
        <v>1004</v>
      </c>
      <c r="K723" s="164">
        <v>3</v>
      </c>
      <c r="L723" s="91"/>
      <c r="M723" s="92"/>
    </row>
    <row r="724" spans="1:13" s="45" customFormat="1" ht="8.5500000000000007" customHeight="1" x14ac:dyDescent="0.2">
      <c r="A724" s="43"/>
      <c r="B724" s="158"/>
      <c r="C724" s="158"/>
      <c r="D724" s="158"/>
      <c r="E724" s="158"/>
      <c r="F724" s="159"/>
      <c r="G724" s="166"/>
      <c r="H724" s="168"/>
      <c r="I724" s="161"/>
      <c r="J724" s="163"/>
      <c r="K724" s="165"/>
      <c r="L724" s="91"/>
      <c r="M724" s="92"/>
    </row>
    <row r="725" spans="1:13" s="45" customFormat="1" ht="8.5500000000000007" customHeight="1" x14ac:dyDescent="0.2">
      <c r="A725" s="43"/>
      <c r="B725" s="156" t="s">
        <v>1885</v>
      </c>
      <c r="C725" s="156"/>
      <c r="D725" s="156"/>
      <c r="E725" s="156"/>
      <c r="F725" s="157"/>
      <c r="G725" s="166">
        <v>2017</v>
      </c>
      <c r="H725" s="167" t="s">
        <v>640</v>
      </c>
      <c r="I725" s="160"/>
      <c r="J725" s="162" t="s">
        <v>1886</v>
      </c>
      <c r="K725" s="164">
        <v>1</v>
      </c>
      <c r="L725" s="91"/>
      <c r="M725" s="92"/>
    </row>
    <row r="726" spans="1:13" s="45" customFormat="1" ht="8.5500000000000007" customHeight="1" x14ac:dyDescent="0.2">
      <c r="A726" s="43"/>
      <c r="B726" s="158"/>
      <c r="C726" s="158"/>
      <c r="D726" s="158"/>
      <c r="E726" s="158"/>
      <c r="F726" s="159"/>
      <c r="G726" s="166"/>
      <c r="H726" s="168"/>
      <c r="I726" s="161"/>
      <c r="J726" s="163"/>
      <c r="K726" s="165"/>
      <c r="L726" s="91"/>
      <c r="M726" s="92"/>
    </row>
    <row r="727" spans="1:13" s="45" customFormat="1" ht="8.5500000000000007" customHeight="1" x14ac:dyDescent="0.2">
      <c r="A727" s="43"/>
      <c r="B727" s="156" t="s">
        <v>156</v>
      </c>
      <c r="C727" s="156"/>
      <c r="D727" s="156"/>
      <c r="E727" s="156"/>
      <c r="F727" s="157"/>
      <c r="G727" s="166">
        <v>2000</v>
      </c>
      <c r="H727" s="167">
        <v>96</v>
      </c>
      <c r="I727" s="160">
        <v>95</v>
      </c>
      <c r="J727" s="169" t="s">
        <v>231</v>
      </c>
      <c r="K727" s="164">
        <v>5</v>
      </c>
      <c r="L727" s="91"/>
      <c r="M727" s="92"/>
    </row>
    <row r="728" spans="1:13" s="45" customFormat="1" ht="8.5500000000000007" customHeight="1" x14ac:dyDescent="0.2">
      <c r="A728" s="43"/>
      <c r="B728" s="158"/>
      <c r="C728" s="158"/>
      <c r="D728" s="158"/>
      <c r="E728" s="158"/>
      <c r="F728" s="159"/>
      <c r="G728" s="166"/>
      <c r="H728" s="168"/>
      <c r="I728" s="161"/>
      <c r="J728" s="168"/>
      <c r="K728" s="165"/>
      <c r="L728" s="91"/>
      <c r="M728" s="92"/>
    </row>
    <row r="729" spans="1:13" s="45" customFormat="1" ht="8.5500000000000007" customHeight="1" x14ac:dyDescent="0.2">
      <c r="A729" s="43"/>
      <c r="B729" s="156" t="s">
        <v>156</v>
      </c>
      <c r="C729" s="156"/>
      <c r="D729" s="156"/>
      <c r="E729" s="156"/>
      <c r="F729" s="157"/>
      <c r="G729" s="166">
        <v>2005</v>
      </c>
      <c r="H729" s="167">
        <v>98</v>
      </c>
      <c r="I729" s="160">
        <v>96</v>
      </c>
      <c r="J729" s="169" t="s">
        <v>248</v>
      </c>
      <c r="K729" s="164">
        <v>4</v>
      </c>
      <c r="L729" s="91"/>
      <c r="M729" s="92"/>
    </row>
    <row r="730" spans="1:13" s="45" customFormat="1" ht="8.5500000000000007" customHeight="1" x14ac:dyDescent="0.2">
      <c r="A730" s="43"/>
      <c r="B730" s="158"/>
      <c r="C730" s="158"/>
      <c r="D730" s="158"/>
      <c r="E730" s="158"/>
      <c r="F730" s="159"/>
      <c r="G730" s="166"/>
      <c r="H730" s="168"/>
      <c r="I730" s="161"/>
      <c r="J730" s="168"/>
      <c r="K730" s="165"/>
      <c r="L730" s="91"/>
      <c r="M730" s="92"/>
    </row>
    <row r="731" spans="1:13" s="45" customFormat="1" ht="8.5500000000000007" customHeight="1" x14ac:dyDescent="0.2">
      <c r="A731" s="43"/>
      <c r="B731" s="172" t="s">
        <v>747</v>
      </c>
      <c r="C731" s="172"/>
      <c r="D731" s="172"/>
      <c r="E731" s="172"/>
      <c r="F731" s="173"/>
      <c r="G731" s="166">
        <v>1982</v>
      </c>
      <c r="H731" s="167">
        <v>96</v>
      </c>
      <c r="I731" s="160">
        <v>82</v>
      </c>
      <c r="J731" s="162" t="s">
        <v>38</v>
      </c>
      <c r="K731" s="164">
        <v>2</v>
      </c>
      <c r="L731" s="91"/>
      <c r="M731" s="92"/>
    </row>
    <row r="732" spans="1:13" s="45" customFormat="1" ht="8.5500000000000007" customHeight="1" x14ac:dyDescent="0.2">
      <c r="A732" s="43"/>
      <c r="B732" s="174"/>
      <c r="C732" s="174"/>
      <c r="D732" s="174"/>
      <c r="E732" s="174"/>
      <c r="F732" s="175"/>
      <c r="G732" s="166"/>
      <c r="H732" s="168"/>
      <c r="I732" s="161"/>
      <c r="J732" s="163"/>
      <c r="K732" s="165"/>
      <c r="L732" s="91"/>
      <c r="M732" s="92"/>
    </row>
    <row r="733" spans="1:13" s="45" customFormat="1" ht="8.5500000000000007" customHeight="1" x14ac:dyDescent="0.2">
      <c r="A733" s="43"/>
      <c r="B733" s="156" t="s">
        <v>218</v>
      </c>
      <c r="C733" s="156"/>
      <c r="D733" s="156"/>
      <c r="E733" s="156"/>
      <c r="F733" s="157"/>
      <c r="G733" s="166">
        <v>1985</v>
      </c>
      <c r="H733" s="167">
        <v>95</v>
      </c>
      <c r="I733" s="160">
        <v>94</v>
      </c>
      <c r="J733" s="162" t="s">
        <v>440</v>
      </c>
      <c r="K733" s="164">
        <v>4</v>
      </c>
      <c r="L733" s="91"/>
      <c r="M733" s="92"/>
    </row>
    <row r="734" spans="1:13" s="45" customFormat="1" ht="8.5500000000000007" customHeight="1" x14ac:dyDescent="0.2">
      <c r="A734" s="43"/>
      <c r="B734" s="158"/>
      <c r="C734" s="158"/>
      <c r="D734" s="158"/>
      <c r="E734" s="158"/>
      <c r="F734" s="159"/>
      <c r="G734" s="166"/>
      <c r="H734" s="168"/>
      <c r="I734" s="161"/>
      <c r="J734" s="163"/>
      <c r="K734" s="165"/>
      <c r="L734" s="91"/>
      <c r="M734" s="92"/>
    </row>
    <row r="735" spans="1:13" s="45" customFormat="1" ht="8.5500000000000007" customHeight="1" x14ac:dyDescent="0.2">
      <c r="A735" s="43"/>
      <c r="B735" s="156" t="s">
        <v>218</v>
      </c>
      <c r="C735" s="156"/>
      <c r="D735" s="156"/>
      <c r="E735" s="156"/>
      <c r="F735" s="157"/>
      <c r="G735" s="166">
        <v>1995</v>
      </c>
      <c r="H735" s="167">
        <v>93</v>
      </c>
      <c r="I735" s="160">
        <v>96</v>
      </c>
      <c r="J735" s="169" t="s">
        <v>216</v>
      </c>
      <c r="K735" s="164">
        <v>2</v>
      </c>
      <c r="L735" s="91"/>
      <c r="M735" s="92"/>
    </row>
    <row r="736" spans="1:13" s="45" customFormat="1" ht="8.5500000000000007" customHeight="1" x14ac:dyDescent="0.2">
      <c r="A736" s="43"/>
      <c r="B736" s="158"/>
      <c r="C736" s="158"/>
      <c r="D736" s="158"/>
      <c r="E736" s="158"/>
      <c r="F736" s="159"/>
      <c r="G736" s="166"/>
      <c r="H736" s="168"/>
      <c r="I736" s="161"/>
      <c r="J736" s="168"/>
      <c r="K736" s="165"/>
      <c r="L736" s="91"/>
      <c r="M736" s="92"/>
    </row>
    <row r="737" spans="1:13" s="45" customFormat="1" ht="8.5500000000000007" customHeight="1" x14ac:dyDescent="0.2">
      <c r="A737" s="43"/>
      <c r="B737" s="170" t="s">
        <v>691</v>
      </c>
      <c r="C737" s="170"/>
      <c r="D737" s="170"/>
      <c r="E737" s="170"/>
      <c r="F737" s="170"/>
      <c r="G737" s="187"/>
      <c r="H737" s="44"/>
      <c r="I737" s="85"/>
      <c r="J737" s="44"/>
      <c r="K737" s="164"/>
      <c r="L737" s="91"/>
      <c r="M737" s="92"/>
    </row>
    <row r="738" spans="1:13" s="45" customFormat="1" ht="8.5500000000000007" customHeight="1" x14ac:dyDescent="0.2">
      <c r="A738" s="43"/>
      <c r="B738" s="171"/>
      <c r="C738" s="171"/>
      <c r="D738" s="171"/>
      <c r="E738" s="171"/>
      <c r="F738" s="171"/>
      <c r="G738" s="188"/>
      <c r="H738" s="46"/>
      <c r="I738" s="86"/>
      <c r="J738" s="46"/>
      <c r="K738" s="165"/>
      <c r="L738" s="91"/>
      <c r="M738" s="92"/>
    </row>
    <row r="739" spans="1:13" s="45" customFormat="1" ht="8.5500000000000007" customHeight="1" x14ac:dyDescent="0.2">
      <c r="A739" s="43"/>
      <c r="B739" s="156" t="s">
        <v>218</v>
      </c>
      <c r="C739" s="156"/>
      <c r="D739" s="156"/>
      <c r="E739" s="156"/>
      <c r="F739" s="157"/>
      <c r="G739" s="166">
        <v>1996</v>
      </c>
      <c r="H739" s="167">
        <v>90</v>
      </c>
      <c r="I739" s="160">
        <v>89</v>
      </c>
      <c r="J739" s="162" t="s">
        <v>263</v>
      </c>
      <c r="K739" s="164">
        <v>4</v>
      </c>
      <c r="L739" s="91"/>
      <c r="M739" s="92"/>
    </row>
    <row r="740" spans="1:13" s="45" customFormat="1" ht="8.5500000000000007" customHeight="1" x14ac:dyDescent="0.2">
      <c r="A740" s="43"/>
      <c r="B740" s="158"/>
      <c r="C740" s="158"/>
      <c r="D740" s="158"/>
      <c r="E740" s="158"/>
      <c r="F740" s="159"/>
      <c r="G740" s="166"/>
      <c r="H740" s="168"/>
      <c r="I740" s="161"/>
      <c r="J740" s="163"/>
      <c r="K740" s="165"/>
      <c r="L740" s="91"/>
      <c r="M740" s="92"/>
    </row>
    <row r="741" spans="1:13" s="45" customFormat="1" ht="8.5500000000000007" customHeight="1" x14ac:dyDescent="0.2">
      <c r="A741" s="43"/>
      <c r="B741" s="156" t="s">
        <v>218</v>
      </c>
      <c r="C741" s="156"/>
      <c r="D741" s="156"/>
      <c r="E741" s="156"/>
      <c r="F741" s="157"/>
      <c r="G741" s="166">
        <v>2000</v>
      </c>
      <c r="H741" s="167">
        <v>97</v>
      </c>
      <c r="I741" s="160">
        <v>97</v>
      </c>
      <c r="J741" s="162" t="s">
        <v>1903</v>
      </c>
      <c r="K741" s="164">
        <v>4</v>
      </c>
      <c r="L741" s="91"/>
      <c r="M741" s="92"/>
    </row>
    <row r="742" spans="1:13" s="45" customFormat="1" ht="8.5500000000000007" customHeight="1" x14ac:dyDescent="0.2">
      <c r="A742" s="43"/>
      <c r="B742" s="158"/>
      <c r="C742" s="158"/>
      <c r="D742" s="158"/>
      <c r="E742" s="158"/>
      <c r="F742" s="159"/>
      <c r="G742" s="166"/>
      <c r="H742" s="168"/>
      <c r="I742" s="161"/>
      <c r="J742" s="163"/>
      <c r="K742" s="165"/>
      <c r="L742" s="91"/>
      <c r="M742" s="92"/>
    </row>
    <row r="743" spans="1:13" s="45" customFormat="1" ht="8.5500000000000007" customHeight="1" x14ac:dyDescent="0.2">
      <c r="A743" s="43"/>
      <c r="B743" s="172" t="s">
        <v>390</v>
      </c>
      <c r="C743" s="172"/>
      <c r="D743" s="172"/>
      <c r="E743" s="172"/>
      <c r="F743" s="173"/>
      <c r="G743" s="166">
        <v>2001</v>
      </c>
      <c r="H743" s="167">
        <v>95</v>
      </c>
      <c r="I743" s="160">
        <v>92</v>
      </c>
      <c r="J743" s="169" t="s">
        <v>396</v>
      </c>
      <c r="K743" s="164">
        <v>1</v>
      </c>
      <c r="L743" s="91"/>
      <c r="M743" s="92"/>
    </row>
    <row r="744" spans="1:13" s="45" customFormat="1" ht="8.5500000000000007" customHeight="1" x14ac:dyDescent="0.2">
      <c r="A744" s="43"/>
      <c r="B744" s="174"/>
      <c r="C744" s="174"/>
      <c r="D744" s="174"/>
      <c r="E744" s="174"/>
      <c r="F744" s="175"/>
      <c r="G744" s="166"/>
      <c r="H744" s="168"/>
      <c r="I744" s="161"/>
      <c r="J744" s="168"/>
      <c r="K744" s="165"/>
      <c r="L744" s="91"/>
      <c r="M744" s="92"/>
    </row>
    <row r="745" spans="1:13" s="45" customFormat="1" ht="8.5500000000000007" customHeight="1" x14ac:dyDescent="0.2">
      <c r="A745" s="43"/>
      <c r="B745" s="156" t="s">
        <v>134</v>
      </c>
      <c r="C745" s="156"/>
      <c r="D745" s="156"/>
      <c r="E745" s="156"/>
      <c r="F745" s="157"/>
      <c r="G745" s="166">
        <v>1928</v>
      </c>
      <c r="H745" s="167">
        <v>96</v>
      </c>
      <c r="I745" s="169"/>
      <c r="J745" s="169" t="s">
        <v>1697</v>
      </c>
      <c r="K745" s="164">
        <v>1</v>
      </c>
      <c r="L745" s="91"/>
      <c r="M745" s="92"/>
    </row>
    <row r="746" spans="1:13" s="45" customFormat="1" ht="8.5500000000000007" customHeight="1" x14ac:dyDescent="0.2">
      <c r="A746" s="43"/>
      <c r="B746" s="158"/>
      <c r="C746" s="158"/>
      <c r="D746" s="158"/>
      <c r="E746" s="158"/>
      <c r="F746" s="159"/>
      <c r="G746" s="166"/>
      <c r="H746" s="168"/>
      <c r="I746" s="168"/>
      <c r="J746" s="168"/>
      <c r="K746" s="165"/>
      <c r="L746" s="91"/>
      <c r="M746" s="92"/>
    </row>
    <row r="747" spans="1:13" s="45" customFormat="1" ht="8.5500000000000007" customHeight="1" x14ac:dyDescent="0.2">
      <c r="A747" s="43"/>
      <c r="B747" s="156" t="s">
        <v>134</v>
      </c>
      <c r="C747" s="156"/>
      <c r="D747" s="156"/>
      <c r="E747" s="156"/>
      <c r="F747" s="157"/>
      <c r="G747" s="166">
        <v>1982</v>
      </c>
      <c r="H747" s="167">
        <v>94</v>
      </c>
      <c r="I747" s="160">
        <v>91</v>
      </c>
      <c r="J747" s="169" t="s">
        <v>282</v>
      </c>
      <c r="K747" s="164">
        <v>2</v>
      </c>
      <c r="L747" s="91"/>
      <c r="M747" s="92"/>
    </row>
    <row r="748" spans="1:13" s="45" customFormat="1" ht="8.5500000000000007" customHeight="1" x14ac:dyDescent="0.2">
      <c r="A748" s="43"/>
      <c r="B748" s="158"/>
      <c r="C748" s="158"/>
      <c r="D748" s="158"/>
      <c r="E748" s="158"/>
      <c r="F748" s="159"/>
      <c r="G748" s="166"/>
      <c r="H748" s="168"/>
      <c r="I748" s="161"/>
      <c r="J748" s="168"/>
      <c r="K748" s="165"/>
      <c r="L748" s="91"/>
      <c r="M748" s="92"/>
    </row>
    <row r="749" spans="1:13" s="45" customFormat="1" ht="8.5500000000000007" customHeight="1" x14ac:dyDescent="0.2">
      <c r="A749" s="43"/>
      <c r="B749" s="156" t="s">
        <v>134</v>
      </c>
      <c r="C749" s="156"/>
      <c r="D749" s="156"/>
      <c r="E749" s="156"/>
      <c r="F749" s="157"/>
      <c r="G749" s="166">
        <v>1990</v>
      </c>
      <c r="H749" s="167">
        <v>92</v>
      </c>
      <c r="I749" s="160">
        <v>89</v>
      </c>
      <c r="J749" s="162" t="s">
        <v>267</v>
      </c>
      <c r="K749" s="164">
        <v>4</v>
      </c>
      <c r="L749" s="91"/>
      <c r="M749" s="92"/>
    </row>
    <row r="750" spans="1:13" s="45" customFormat="1" ht="8.5500000000000007" customHeight="1" x14ac:dyDescent="0.2">
      <c r="A750" s="43"/>
      <c r="B750" s="158"/>
      <c r="C750" s="158"/>
      <c r="D750" s="158"/>
      <c r="E750" s="158"/>
      <c r="F750" s="159"/>
      <c r="G750" s="166"/>
      <c r="H750" s="168"/>
      <c r="I750" s="161"/>
      <c r="J750" s="163"/>
      <c r="K750" s="165"/>
      <c r="L750" s="91"/>
      <c r="M750" s="92"/>
    </row>
    <row r="751" spans="1:13" s="45" customFormat="1" ht="8.5500000000000007" customHeight="1" x14ac:dyDescent="0.2">
      <c r="A751" s="43"/>
      <c r="B751" s="156" t="s">
        <v>134</v>
      </c>
      <c r="C751" s="156"/>
      <c r="D751" s="156"/>
      <c r="E751" s="156"/>
      <c r="F751" s="157"/>
      <c r="G751" s="166">
        <v>2000</v>
      </c>
      <c r="H751" s="167">
        <v>95</v>
      </c>
      <c r="I751" s="160">
        <v>95</v>
      </c>
      <c r="J751" s="169"/>
      <c r="K751" s="164">
        <v>3</v>
      </c>
      <c r="L751" s="91"/>
      <c r="M751" s="92"/>
    </row>
    <row r="752" spans="1:13" s="45" customFormat="1" ht="8.5500000000000007" customHeight="1" x14ac:dyDescent="0.2">
      <c r="A752" s="43"/>
      <c r="B752" s="158"/>
      <c r="C752" s="158"/>
      <c r="D752" s="158"/>
      <c r="E752" s="158"/>
      <c r="F752" s="159"/>
      <c r="G752" s="166"/>
      <c r="H752" s="168"/>
      <c r="I752" s="161"/>
      <c r="J752" s="168"/>
      <c r="K752" s="165"/>
      <c r="L752" s="91"/>
      <c r="M752" s="92"/>
    </row>
    <row r="753" spans="1:13" s="45" customFormat="1" ht="8.5500000000000007" customHeight="1" x14ac:dyDescent="0.2">
      <c r="A753" s="43"/>
      <c r="B753" s="156" t="s">
        <v>134</v>
      </c>
      <c r="C753" s="156"/>
      <c r="D753" s="156"/>
      <c r="E753" s="156"/>
      <c r="F753" s="157"/>
      <c r="G753" s="166">
        <v>2001</v>
      </c>
      <c r="H753" s="167">
        <v>93</v>
      </c>
      <c r="I753" s="160" t="s">
        <v>58</v>
      </c>
      <c r="J753" s="169" t="s">
        <v>375</v>
      </c>
      <c r="K753" s="164">
        <v>2</v>
      </c>
      <c r="L753" s="91"/>
      <c r="M753" s="92"/>
    </row>
    <row r="754" spans="1:13" s="45" customFormat="1" ht="8.5500000000000007" customHeight="1" x14ac:dyDescent="0.2">
      <c r="A754" s="43"/>
      <c r="B754" s="158"/>
      <c r="C754" s="158"/>
      <c r="D754" s="158"/>
      <c r="E754" s="158"/>
      <c r="F754" s="159"/>
      <c r="G754" s="166"/>
      <c r="H754" s="168"/>
      <c r="I754" s="161"/>
      <c r="J754" s="168"/>
      <c r="K754" s="165"/>
      <c r="L754" s="91"/>
      <c r="M754" s="92"/>
    </row>
    <row r="755" spans="1:13" s="45" customFormat="1" ht="8.5500000000000007" customHeight="1" x14ac:dyDescent="0.2">
      <c r="A755" s="43"/>
      <c r="B755" s="156" t="s">
        <v>134</v>
      </c>
      <c r="C755" s="156"/>
      <c r="D755" s="156"/>
      <c r="E755" s="156"/>
      <c r="F755" s="157"/>
      <c r="G755" s="166">
        <v>2005</v>
      </c>
      <c r="H755" s="167">
        <v>95</v>
      </c>
      <c r="I755" s="160">
        <v>97</v>
      </c>
      <c r="J755" s="169" t="s">
        <v>216</v>
      </c>
      <c r="K755" s="164">
        <v>7</v>
      </c>
      <c r="L755" s="91"/>
      <c r="M755" s="92"/>
    </row>
    <row r="756" spans="1:13" s="45" customFormat="1" ht="8.5500000000000007" customHeight="1" x14ac:dyDescent="0.2">
      <c r="A756" s="43"/>
      <c r="B756" s="158"/>
      <c r="C756" s="158"/>
      <c r="D756" s="158"/>
      <c r="E756" s="158"/>
      <c r="F756" s="159"/>
      <c r="G756" s="166"/>
      <c r="H756" s="168"/>
      <c r="I756" s="161"/>
      <c r="J756" s="168"/>
      <c r="K756" s="165"/>
      <c r="L756" s="91"/>
      <c r="M756" s="92"/>
    </row>
    <row r="757" spans="1:13" s="45" customFormat="1" ht="8.5500000000000007" customHeight="1" x14ac:dyDescent="0.2">
      <c r="A757" s="43"/>
      <c r="B757" s="156" t="s">
        <v>1753</v>
      </c>
      <c r="C757" s="156"/>
      <c r="D757" s="156"/>
      <c r="E757" s="156"/>
      <c r="F757" s="157"/>
      <c r="G757" s="166">
        <v>2010</v>
      </c>
      <c r="H757" s="169"/>
      <c r="I757" s="160"/>
      <c r="J757" s="169"/>
      <c r="K757" s="164">
        <v>1</v>
      </c>
      <c r="L757" s="91"/>
      <c r="M757" s="92"/>
    </row>
    <row r="758" spans="1:13" s="45" customFormat="1" ht="8.5500000000000007" customHeight="1" x14ac:dyDescent="0.2">
      <c r="A758" s="43"/>
      <c r="B758" s="158"/>
      <c r="C758" s="158"/>
      <c r="D758" s="158"/>
      <c r="E758" s="158"/>
      <c r="F758" s="159"/>
      <c r="G758" s="166"/>
      <c r="H758" s="168"/>
      <c r="I758" s="161"/>
      <c r="J758" s="168"/>
      <c r="K758" s="165"/>
      <c r="L758" s="91"/>
      <c r="M758" s="92"/>
    </row>
    <row r="759" spans="1:13" s="45" customFormat="1" ht="8.5500000000000007" customHeight="1" x14ac:dyDescent="0.2">
      <c r="A759" s="43"/>
      <c r="B759" s="172" t="s">
        <v>155</v>
      </c>
      <c r="C759" s="172"/>
      <c r="D759" s="172"/>
      <c r="E759" s="172"/>
      <c r="F759" s="173"/>
      <c r="G759" s="166">
        <v>2005</v>
      </c>
      <c r="H759" s="167" t="s">
        <v>627</v>
      </c>
      <c r="I759" s="160">
        <v>93</v>
      </c>
      <c r="J759" s="211" t="s">
        <v>1935</v>
      </c>
      <c r="K759" s="164">
        <v>5</v>
      </c>
      <c r="L759" s="91"/>
      <c r="M759" s="92"/>
    </row>
    <row r="760" spans="1:13" s="45" customFormat="1" ht="8.5500000000000007" customHeight="1" x14ac:dyDescent="0.2">
      <c r="A760" s="43"/>
      <c r="B760" s="174"/>
      <c r="C760" s="174"/>
      <c r="D760" s="174"/>
      <c r="E760" s="174"/>
      <c r="F760" s="175"/>
      <c r="G760" s="166"/>
      <c r="H760" s="168"/>
      <c r="I760" s="161"/>
      <c r="J760" s="168"/>
      <c r="K760" s="165"/>
      <c r="L760" s="91"/>
      <c r="M760" s="92"/>
    </row>
    <row r="761" spans="1:13" s="45" customFormat="1" ht="8.5500000000000007" customHeight="1" x14ac:dyDescent="0.2">
      <c r="A761" s="43"/>
      <c r="B761" s="156" t="s">
        <v>281</v>
      </c>
      <c r="C761" s="156"/>
      <c r="D761" s="156"/>
      <c r="E761" s="156"/>
      <c r="F761" s="157"/>
      <c r="G761" s="166">
        <v>1949</v>
      </c>
      <c r="H761" s="167">
        <v>97</v>
      </c>
      <c r="I761" s="169"/>
      <c r="J761" s="169"/>
      <c r="K761" s="164">
        <v>1</v>
      </c>
      <c r="L761" s="91"/>
      <c r="M761" s="92"/>
    </row>
    <row r="762" spans="1:13" s="45" customFormat="1" ht="8.5500000000000007" customHeight="1" x14ac:dyDescent="0.2">
      <c r="A762" s="43"/>
      <c r="B762" s="158"/>
      <c r="C762" s="158"/>
      <c r="D762" s="158"/>
      <c r="E762" s="158"/>
      <c r="F762" s="159"/>
      <c r="G762" s="166"/>
      <c r="H762" s="168"/>
      <c r="I762" s="168"/>
      <c r="J762" s="168"/>
      <c r="K762" s="165"/>
      <c r="L762" s="91"/>
      <c r="M762" s="92"/>
    </row>
    <row r="763" spans="1:13" s="45" customFormat="1" ht="8.5500000000000007" customHeight="1" x14ac:dyDescent="0.2">
      <c r="A763" s="43"/>
      <c r="B763" s="156" t="s">
        <v>281</v>
      </c>
      <c r="C763" s="156"/>
      <c r="D763" s="156"/>
      <c r="E763" s="156"/>
      <c r="F763" s="157"/>
      <c r="G763" s="166">
        <v>1982</v>
      </c>
      <c r="H763" s="167">
        <v>97</v>
      </c>
      <c r="I763" s="160">
        <v>92</v>
      </c>
      <c r="J763" s="169"/>
      <c r="K763" s="164">
        <v>1</v>
      </c>
      <c r="L763" s="91"/>
      <c r="M763" s="92"/>
    </row>
    <row r="764" spans="1:13" s="45" customFormat="1" ht="8.5500000000000007" customHeight="1" x14ac:dyDescent="0.2">
      <c r="A764" s="43"/>
      <c r="B764" s="158"/>
      <c r="C764" s="158"/>
      <c r="D764" s="158"/>
      <c r="E764" s="158"/>
      <c r="F764" s="159"/>
      <c r="G764" s="166"/>
      <c r="H764" s="168"/>
      <c r="I764" s="161"/>
      <c r="J764" s="168"/>
      <c r="K764" s="165"/>
      <c r="L764" s="91"/>
      <c r="M764" s="92"/>
    </row>
    <row r="765" spans="1:13" s="45" customFormat="1" ht="8.5500000000000007" customHeight="1" x14ac:dyDescent="0.2">
      <c r="A765" s="43"/>
      <c r="B765" s="156" t="s">
        <v>281</v>
      </c>
      <c r="C765" s="156"/>
      <c r="D765" s="156"/>
      <c r="E765" s="156"/>
      <c r="F765" s="157"/>
      <c r="G765" s="166">
        <v>1989</v>
      </c>
      <c r="H765" s="167"/>
      <c r="I765" s="160">
        <v>94</v>
      </c>
      <c r="J765" s="169"/>
      <c r="K765" s="164">
        <v>3</v>
      </c>
      <c r="L765" s="91"/>
      <c r="M765" s="92"/>
    </row>
    <row r="766" spans="1:13" s="45" customFormat="1" ht="8.5500000000000007" customHeight="1" x14ac:dyDescent="0.2">
      <c r="A766" s="43"/>
      <c r="B766" s="158"/>
      <c r="C766" s="158"/>
      <c r="D766" s="158"/>
      <c r="E766" s="158"/>
      <c r="F766" s="159"/>
      <c r="G766" s="166"/>
      <c r="H766" s="168"/>
      <c r="I766" s="161"/>
      <c r="J766" s="168"/>
      <c r="K766" s="165"/>
      <c r="L766" s="91"/>
      <c r="M766" s="92"/>
    </row>
    <row r="767" spans="1:13" s="45" customFormat="1" ht="8.5500000000000007" customHeight="1" x14ac:dyDescent="0.2">
      <c r="A767" s="43"/>
      <c r="B767" s="156" t="s">
        <v>281</v>
      </c>
      <c r="C767" s="156"/>
      <c r="D767" s="156"/>
      <c r="E767" s="156"/>
      <c r="F767" s="157"/>
      <c r="G767" s="166">
        <v>1990</v>
      </c>
      <c r="H767" s="167">
        <v>94</v>
      </c>
      <c r="I767" s="160">
        <v>90</v>
      </c>
      <c r="J767" s="162" t="s">
        <v>313</v>
      </c>
      <c r="K767" s="164">
        <v>6</v>
      </c>
      <c r="L767" s="91"/>
      <c r="M767" s="92"/>
    </row>
    <row r="768" spans="1:13" s="45" customFormat="1" ht="8.5500000000000007" customHeight="1" x14ac:dyDescent="0.2">
      <c r="A768" s="43"/>
      <c r="B768" s="158"/>
      <c r="C768" s="158"/>
      <c r="D768" s="158"/>
      <c r="E768" s="158"/>
      <c r="F768" s="159"/>
      <c r="G768" s="166"/>
      <c r="H768" s="168"/>
      <c r="I768" s="161"/>
      <c r="J768" s="163"/>
      <c r="K768" s="165"/>
      <c r="L768" s="91"/>
      <c r="M768" s="92"/>
    </row>
    <row r="769" spans="1:13" s="45" customFormat="1" ht="8.5500000000000007" customHeight="1" x14ac:dyDescent="0.2">
      <c r="A769" s="43"/>
      <c r="B769" s="156" t="s">
        <v>876</v>
      </c>
      <c r="C769" s="156"/>
      <c r="D769" s="156"/>
      <c r="E769" s="156"/>
      <c r="F769" s="157"/>
      <c r="G769" s="166">
        <v>1990</v>
      </c>
      <c r="H769" s="167">
        <v>94</v>
      </c>
      <c r="I769" s="160">
        <v>90</v>
      </c>
      <c r="J769" s="162" t="s">
        <v>313</v>
      </c>
      <c r="K769" s="164">
        <v>2</v>
      </c>
      <c r="L769" s="91"/>
      <c r="M769" s="92"/>
    </row>
    <row r="770" spans="1:13" s="45" customFormat="1" ht="8.5500000000000007" customHeight="1" x14ac:dyDescent="0.2">
      <c r="A770" s="43"/>
      <c r="B770" s="158"/>
      <c r="C770" s="158"/>
      <c r="D770" s="158"/>
      <c r="E770" s="158"/>
      <c r="F770" s="159"/>
      <c r="G770" s="166"/>
      <c r="H770" s="168"/>
      <c r="I770" s="161"/>
      <c r="J770" s="163"/>
      <c r="K770" s="165"/>
      <c r="L770" s="91"/>
      <c r="M770" s="92"/>
    </row>
    <row r="771" spans="1:13" s="45" customFormat="1" ht="8.5500000000000007" customHeight="1" x14ac:dyDescent="0.2">
      <c r="A771" s="43"/>
      <c r="B771" s="156" t="s">
        <v>281</v>
      </c>
      <c r="C771" s="156"/>
      <c r="D771" s="156"/>
      <c r="E771" s="156"/>
      <c r="F771" s="157"/>
      <c r="G771" s="166">
        <v>2000</v>
      </c>
      <c r="H771" s="167">
        <v>96</v>
      </c>
      <c r="I771" s="160">
        <v>90</v>
      </c>
      <c r="J771" s="169" t="s">
        <v>67</v>
      </c>
      <c r="K771" s="164">
        <v>3</v>
      </c>
      <c r="L771" s="91"/>
      <c r="M771" s="92"/>
    </row>
    <row r="772" spans="1:13" s="45" customFormat="1" ht="8.5500000000000007" customHeight="1" x14ac:dyDescent="0.2">
      <c r="A772" s="43"/>
      <c r="B772" s="158"/>
      <c r="C772" s="158"/>
      <c r="D772" s="158"/>
      <c r="E772" s="158"/>
      <c r="F772" s="159"/>
      <c r="G772" s="166"/>
      <c r="H772" s="168"/>
      <c r="I772" s="161"/>
      <c r="J772" s="168"/>
      <c r="K772" s="165"/>
      <c r="L772" s="91"/>
      <c r="M772" s="92"/>
    </row>
    <row r="773" spans="1:13" s="45" customFormat="1" ht="8.5500000000000007" customHeight="1" x14ac:dyDescent="0.2">
      <c r="A773" s="43"/>
      <c r="B773" s="156" t="s">
        <v>281</v>
      </c>
      <c r="C773" s="156"/>
      <c r="D773" s="156"/>
      <c r="E773" s="156"/>
      <c r="F773" s="157"/>
      <c r="G773" s="166">
        <v>2006</v>
      </c>
      <c r="H773" s="167">
        <v>93</v>
      </c>
      <c r="I773" s="160">
        <v>94</v>
      </c>
      <c r="J773" s="162" t="s">
        <v>264</v>
      </c>
      <c r="K773" s="164">
        <v>3</v>
      </c>
      <c r="L773" s="91"/>
      <c r="M773" s="92"/>
    </row>
    <row r="774" spans="1:13" s="45" customFormat="1" ht="8.5500000000000007" customHeight="1" x14ac:dyDescent="0.2">
      <c r="A774" s="43"/>
      <c r="B774" s="158"/>
      <c r="C774" s="158"/>
      <c r="D774" s="158"/>
      <c r="E774" s="158"/>
      <c r="F774" s="159"/>
      <c r="G774" s="166"/>
      <c r="H774" s="168"/>
      <c r="I774" s="161"/>
      <c r="J774" s="163"/>
      <c r="K774" s="165"/>
      <c r="L774" s="91"/>
      <c r="M774" s="92"/>
    </row>
    <row r="775" spans="1:13" s="45" customFormat="1" ht="8.5500000000000007" customHeight="1" x14ac:dyDescent="0.2">
      <c r="A775" s="43"/>
      <c r="B775" s="172" t="s">
        <v>279</v>
      </c>
      <c r="C775" s="172"/>
      <c r="D775" s="172"/>
      <c r="E775" s="172"/>
      <c r="F775" s="173"/>
      <c r="G775" s="166">
        <v>1982</v>
      </c>
      <c r="H775" s="167">
        <v>98</v>
      </c>
      <c r="I775" s="160">
        <v>86</v>
      </c>
      <c r="J775" s="162" t="s">
        <v>51</v>
      </c>
      <c r="K775" s="164">
        <v>4</v>
      </c>
      <c r="L775" s="91"/>
      <c r="M775" s="92"/>
    </row>
    <row r="776" spans="1:13" s="45" customFormat="1" ht="8.5500000000000007" customHeight="1" x14ac:dyDescent="0.2">
      <c r="A776" s="43"/>
      <c r="B776" s="174"/>
      <c r="C776" s="174"/>
      <c r="D776" s="174"/>
      <c r="E776" s="174"/>
      <c r="F776" s="175"/>
      <c r="G776" s="166"/>
      <c r="H776" s="168"/>
      <c r="I776" s="161"/>
      <c r="J776" s="163"/>
      <c r="K776" s="165"/>
      <c r="L776" s="91"/>
      <c r="M776" s="92"/>
    </row>
    <row r="777" spans="1:13" s="45" customFormat="1" ht="8.5500000000000007" customHeight="1" x14ac:dyDescent="0.2">
      <c r="A777" s="43"/>
      <c r="B777" s="156" t="s">
        <v>279</v>
      </c>
      <c r="C777" s="156"/>
      <c r="D777" s="156"/>
      <c r="E777" s="156"/>
      <c r="F777" s="157"/>
      <c r="G777" s="166">
        <v>1985</v>
      </c>
      <c r="H777" s="167">
        <v>95</v>
      </c>
      <c r="I777" s="160">
        <v>92</v>
      </c>
      <c r="J777" s="169" t="s">
        <v>307</v>
      </c>
      <c r="K777" s="164">
        <v>1</v>
      </c>
      <c r="L777" s="91"/>
      <c r="M777" s="92"/>
    </row>
    <row r="778" spans="1:13" s="45" customFormat="1" ht="8.5500000000000007" customHeight="1" x14ac:dyDescent="0.2">
      <c r="A778" s="43"/>
      <c r="B778" s="158"/>
      <c r="C778" s="158"/>
      <c r="D778" s="158"/>
      <c r="E778" s="158"/>
      <c r="F778" s="159"/>
      <c r="G778" s="166"/>
      <c r="H778" s="168"/>
      <c r="I778" s="161"/>
      <c r="J778" s="168"/>
      <c r="K778" s="165"/>
      <c r="L778" s="91"/>
      <c r="M778" s="92"/>
    </row>
    <row r="779" spans="1:13" s="45" customFormat="1" ht="8.5500000000000007" customHeight="1" x14ac:dyDescent="0.2">
      <c r="A779" s="43"/>
      <c r="B779" s="156" t="s">
        <v>279</v>
      </c>
      <c r="C779" s="156"/>
      <c r="D779" s="156"/>
      <c r="E779" s="156"/>
      <c r="F779" s="157"/>
      <c r="G779" s="166">
        <v>2000</v>
      </c>
      <c r="H779" s="167">
        <v>98</v>
      </c>
      <c r="I779" s="160">
        <v>96</v>
      </c>
      <c r="J779" s="169" t="s">
        <v>250</v>
      </c>
      <c r="K779" s="164">
        <v>6</v>
      </c>
      <c r="L779" s="91"/>
      <c r="M779" s="92"/>
    </row>
    <row r="780" spans="1:13" s="45" customFormat="1" ht="8.5500000000000007" customHeight="1" x14ac:dyDescent="0.2">
      <c r="A780" s="43"/>
      <c r="B780" s="158"/>
      <c r="C780" s="158"/>
      <c r="D780" s="158"/>
      <c r="E780" s="158"/>
      <c r="F780" s="159"/>
      <c r="G780" s="166"/>
      <c r="H780" s="168"/>
      <c r="I780" s="161"/>
      <c r="J780" s="168"/>
      <c r="K780" s="165"/>
      <c r="L780" s="91"/>
      <c r="M780" s="92"/>
    </row>
    <row r="781" spans="1:13" s="45" customFormat="1" ht="8.5500000000000007" customHeight="1" x14ac:dyDescent="0.2">
      <c r="A781" s="43"/>
      <c r="B781" s="156" t="s">
        <v>279</v>
      </c>
      <c r="C781" s="156"/>
      <c r="D781" s="156"/>
      <c r="E781" s="156"/>
      <c r="F781" s="157"/>
      <c r="G781" s="166">
        <v>2004</v>
      </c>
      <c r="H781" s="167">
        <v>93</v>
      </c>
      <c r="I781" s="160">
        <v>91</v>
      </c>
      <c r="J781" s="169" t="s">
        <v>426</v>
      </c>
      <c r="K781" s="164">
        <v>1</v>
      </c>
      <c r="L781" s="91"/>
      <c r="M781" s="92"/>
    </row>
    <row r="782" spans="1:13" s="45" customFormat="1" ht="8.5500000000000007" customHeight="1" x14ac:dyDescent="0.2">
      <c r="A782" s="43"/>
      <c r="B782" s="158"/>
      <c r="C782" s="158"/>
      <c r="D782" s="158"/>
      <c r="E782" s="158"/>
      <c r="F782" s="159"/>
      <c r="G782" s="166"/>
      <c r="H782" s="168"/>
      <c r="I782" s="161"/>
      <c r="J782" s="168"/>
      <c r="K782" s="165"/>
      <c r="L782" s="91"/>
      <c r="M782" s="92"/>
    </row>
    <row r="783" spans="1:13" s="45" customFormat="1" ht="8.5500000000000007" customHeight="1" x14ac:dyDescent="0.2">
      <c r="A783" s="43"/>
      <c r="B783" s="156" t="s">
        <v>279</v>
      </c>
      <c r="C783" s="156"/>
      <c r="D783" s="156"/>
      <c r="E783" s="156"/>
      <c r="F783" s="157"/>
      <c r="G783" s="166">
        <v>2005</v>
      </c>
      <c r="H783" s="167">
        <v>96</v>
      </c>
      <c r="I783" s="160">
        <v>100</v>
      </c>
      <c r="J783" s="169" t="s">
        <v>26</v>
      </c>
      <c r="K783" s="164">
        <v>9</v>
      </c>
      <c r="L783" s="91"/>
      <c r="M783" s="92"/>
    </row>
    <row r="784" spans="1:13" s="45" customFormat="1" ht="8.5500000000000007" customHeight="1" x14ac:dyDescent="0.2">
      <c r="A784" s="43"/>
      <c r="B784" s="158"/>
      <c r="C784" s="158"/>
      <c r="D784" s="158"/>
      <c r="E784" s="158"/>
      <c r="F784" s="159"/>
      <c r="G784" s="166"/>
      <c r="H784" s="168"/>
      <c r="I784" s="161"/>
      <c r="J784" s="168"/>
      <c r="K784" s="165"/>
      <c r="L784" s="91"/>
      <c r="M784" s="92"/>
    </row>
    <row r="785" spans="1:13" s="45" customFormat="1" ht="8.5500000000000007" customHeight="1" x14ac:dyDescent="0.2">
      <c r="A785" s="43"/>
      <c r="B785" s="156" t="s">
        <v>270</v>
      </c>
      <c r="C785" s="156"/>
      <c r="D785" s="156"/>
      <c r="E785" s="156"/>
      <c r="F785" s="157"/>
      <c r="G785" s="166">
        <v>1995</v>
      </c>
      <c r="H785" s="167" t="s">
        <v>1449</v>
      </c>
      <c r="I785" s="160"/>
      <c r="J785" s="169" t="s">
        <v>113</v>
      </c>
      <c r="K785" s="164">
        <v>1</v>
      </c>
      <c r="L785" s="91"/>
      <c r="M785" s="92"/>
    </row>
    <row r="786" spans="1:13" s="45" customFormat="1" ht="8.5500000000000007" customHeight="1" x14ac:dyDescent="0.2">
      <c r="A786" s="43"/>
      <c r="B786" s="158"/>
      <c r="C786" s="158"/>
      <c r="D786" s="158"/>
      <c r="E786" s="158"/>
      <c r="F786" s="159"/>
      <c r="G786" s="166"/>
      <c r="H786" s="168"/>
      <c r="I786" s="161"/>
      <c r="J786" s="168"/>
      <c r="K786" s="165"/>
      <c r="L786" s="91"/>
      <c r="M786" s="92"/>
    </row>
    <row r="787" spans="1:13" s="45" customFormat="1" ht="8.5500000000000007" customHeight="1" x14ac:dyDescent="0.2">
      <c r="A787" s="43"/>
      <c r="B787" s="156" t="s">
        <v>270</v>
      </c>
      <c r="C787" s="156"/>
      <c r="D787" s="156"/>
      <c r="E787" s="156"/>
      <c r="F787" s="157"/>
      <c r="G787" s="166">
        <v>2005</v>
      </c>
      <c r="H787" s="167" t="s">
        <v>644</v>
      </c>
      <c r="I787" s="160">
        <v>91</v>
      </c>
      <c r="J787" s="211" t="s">
        <v>1936</v>
      </c>
      <c r="K787" s="164">
        <v>1</v>
      </c>
      <c r="L787" s="91"/>
      <c r="M787" s="92"/>
    </row>
    <row r="788" spans="1:13" s="45" customFormat="1" ht="8.5500000000000007" customHeight="1" x14ac:dyDescent="0.2">
      <c r="A788" s="43"/>
      <c r="B788" s="158"/>
      <c r="C788" s="158"/>
      <c r="D788" s="158"/>
      <c r="E788" s="158"/>
      <c r="F788" s="159"/>
      <c r="G788" s="166"/>
      <c r="H788" s="168"/>
      <c r="I788" s="161"/>
      <c r="J788" s="168"/>
      <c r="K788" s="165"/>
      <c r="L788" s="91"/>
      <c r="M788" s="92"/>
    </row>
    <row r="789" spans="1:13" s="45" customFormat="1" ht="8.5500000000000007" customHeight="1" x14ac:dyDescent="0.2">
      <c r="A789" s="43"/>
      <c r="B789" s="172" t="s">
        <v>1717</v>
      </c>
      <c r="C789" s="172"/>
      <c r="D789" s="172"/>
      <c r="E789" s="172"/>
      <c r="F789" s="173"/>
      <c r="G789" s="166">
        <v>1959</v>
      </c>
      <c r="H789" s="167"/>
      <c r="I789" s="160"/>
      <c r="J789" s="211"/>
      <c r="K789" s="164">
        <v>1</v>
      </c>
      <c r="L789" s="91"/>
      <c r="M789" s="92"/>
    </row>
    <row r="790" spans="1:13" s="45" customFormat="1" ht="8.5500000000000007" customHeight="1" x14ac:dyDescent="0.2">
      <c r="A790" s="43"/>
      <c r="B790" s="174"/>
      <c r="C790" s="174"/>
      <c r="D790" s="174"/>
      <c r="E790" s="174"/>
      <c r="F790" s="175"/>
      <c r="G790" s="166"/>
      <c r="H790" s="168"/>
      <c r="I790" s="161"/>
      <c r="J790" s="168"/>
      <c r="K790" s="165"/>
      <c r="L790" s="91"/>
      <c r="M790" s="92"/>
    </row>
    <row r="791" spans="1:13" s="45" customFormat="1" ht="8.5500000000000007" customHeight="1" x14ac:dyDescent="0.2">
      <c r="A791" s="43"/>
      <c r="B791" s="156" t="s">
        <v>154</v>
      </c>
      <c r="C791" s="156"/>
      <c r="D791" s="156"/>
      <c r="E791" s="156"/>
      <c r="F791" s="157"/>
      <c r="G791" s="166">
        <v>1990</v>
      </c>
      <c r="H791" s="167">
        <v>90</v>
      </c>
      <c r="I791" s="160"/>
      <c r="J791" s="169" t="s">
        <v>725</v>
      </c>
      <c r="K791" s="164">
        <v>1</v>
      </c>
      <c r="L791" s="91"/>
      <c r="M791" s="92"/>
    </row>
    <row r="792" spans="1:13" s="45" customFormat="1" ht="8.5500000000000007" customHeight="1" x14ac:dyDescent="0.2">
      <c r="A792" s="43"/>
      <c r="B792" s="158"/>
      <c r="C792" s="158"/>
      <c r="D792" s="158"/>
      <c r="E792" s="158"/>
      <c r="F792" s="159"/>
      <c r="G792" s="166"/>
      <c r="H792" s="168"/>
      <c r="I792" s="161"/>
      <c r="J792" s="168"/>
      <c r="K792" s="165"/>
      <c r="L792" s="91"/>
      <c r="M792" s="92"/>
    </row>
    <row r="793" spans="1:13" s="45" customFormat="1" ht="8.5500000000000007" customHeight="1" x14ac:dyDescent="0.2">
      <c r="A793" s="43"/>
      <c r="B793" s="170" t="s">
        <v>691</v>
      </c>
      <c r="C793" s="170"/>
      <c r="D793" s="170"/>
      <c r="E793" s="170"/>
      <c r="F793" s="170"/>
      <c r="G793" s="187"/>
      <c r="H793" s="44"/>
      <c r="I793" s="85"/>
      <c r="J793" s="44"/>
      <c r="K793" s="164"/>
      <c r="L793" s="91"/>
      <c r="M793" s="92"/>
    </row>
    <row r="794" spans="1:13" s="45" customFormat="1" ht="8.5500000000000007" customHeight="1" x14ac:dyDescent="0.2">
      <c r="A794" s="43"/>
      <c r="B794" s="171"/>
      <c r="C794" s="171"/>
      <c r="D794" s="171"/>
      <c r="E794" s="171"/>
      <c r="F794" s="171"/>
      <c r="G794" s="188"/>
      <c r="H794" s="46"/>
      <c r="I794" s="86"/>
      <c r="J794" s="46"/>
      <c r="K794" s="165"/>
      <c r="L794" s="91"/>
      <c r="M794" s="92"/>
    </row>
    <row r="795" spans="1:13" s="45" customFormat="1" ht="8.5500000000000007" customHeight="1" x14ac:dyDescent="0.2">
      <c r="A795" s="43"/>
      <c r="B795" s="156" t="s">
        <v>154</v>
      </c>
      <c r="C795" s="156"/>
      <c r="D795" s="156"/>
      <c r="E795" s="156"/>
      <c r="F795" s="157"/>
      <c r="G795" s="166">
        <v>2005</v>
      </c>
      <c r="H795" s="167" t="s">
        <v>651</v>
      </c>
      <c r="I795" s="160">
        <v>92</v>
      </c>
      <c r="J795" s="169" t="s">
        <v>601</v>
      </c>
      <c r="K795" s="164">
        <v>1</v>
      </c>
      <c r="L795" s="91"/>
      <c r="M795" s="92"/>
    </row>
    <row r="796" spans="1:13" s="45" customFormat="1" ht="8.5500000000000007" customHeight="1" x14ac:dyDescent="0.2">
      <c r="A796" s="43"/>
      <c r="B796" s="158"/>
      <c r="C796" s="158"/>
      <c r="D796" s="158"/>
      <c r="E796" s="158"/>
      <c r="F796" s="159"/>
      <c r="G796" s="166"/>
      <c r="H796" s="168"/>
      <c r="I796" s="161"/>
      <c r="J796" s="168"/>
      <c r="K796" s="165"/>
      <c r="L796" s="91"/>
      <c r="M796" s="92"/>
    </row>
    <row r="797" spans="1:13" s="45" customFormat="1" ht="8.5500000000000007" customHeight="1" x14ac:dyDescent="0.2">
      <c r="A797" s="43"/>
      <c r="B797" s="170" t="s">
        <v>785</v>
      </c>
      <c r="C797" s="170"/>
      <c r="D797" s="170"/>
      <c r="E797" s="170"/>
      <c r="F797" s="170"/>
      <c r="G797" s="47"/>
      <c r="H797" s="47"/>
      <c r="I797" s="48"/>
      <c r="J797" s="48"/>
      <c r="K797" s="224">
        <v>176</v>
      </c>
      <c r="L797" s="230">
        <f>+K797</f>
        <v>176</v>
      </c>
      <c r="M797" s="92"/>
    </row>
    <row r="798" spans="1:13" s="45" customFormat="1" ht="8.5500000000000007" customHeight="1" x14ac:dyDescent="0.2">
      <c r="A798" s="43"/>
      <c r="B798" s="171"/>
      <c r="C798" s="171"/>
      <c r="D798" s="171"/>
      <c r="E798" s="171"/>
      <c r="F798" s="171"/>
      <c r="G798" s="54"/>
      <c r="H798" s="54"/>
      <c r="I798" s="49"/>
      <c r="J798" s="49"/>
      <c r="K798" s="225"/>
      <c r="L798" s="231"/>
      <c r="M798" s="92"/>
    </row>
    <row r="799" spans="1:13" s="45" customFormat="1" ht="8.5500000000000007" customHeight="1" x14ac:dyDescent="0.2">
      <c r="A799" s="43"/>
      <c r="B799" s="170" t="s">
        <v>692</v>
      </c>
      <c r="C799" s="170"/>
      <c r="D799" s="170"/>
      <c r="E799" s="170"/>
      <c r="F799" s="170"/>
      <c r="G799" s="178"/>
      <c r="H799" s="47"/>
      <c r="I799" s="48"/>
      <c r="J799" s="48"/>
      <c r="K799" s="222"/>
      <c r="L799" s="91"/>
      <c r="M799" s="92"/>
    </row>
    <row r="800" spans="1:13" s="45" customFormat="1" ht="8.5500000000000007" customHeight="1" x14ac:dyDescent="0.2">
      <c r="A800" s="43"/>
      <c r="B800" s="171"/>
      <c r="C800" s="171"/>
      <c r="D800" s="171"/>
      <c r="E800" s="171"/>
      <c r="F800" s="171"/>
      <c r="G800" s="178"/>
      <c r="H800" s="54"/>
      <c r="I800" s="49"/>
      <c r="J800" s="49"/>
      <c r="K800" s="165"/>
      <c r="L800" s="91"/>
      <c r="M800" s="92"/>
    </row>
    <row r="801" spans="1:13" s="45" customFormat="1" ht="8.5500000000000007" customHeight="1" x14ac:dyDescent="0.2">
      <c r="A801" s="43"/>
      <c r="B801" s="172" t="s">
        <v>291</v>
      </c>
      <c r="C801" s="172"/>
      <c r="D801" s="172"/>
      <c r="E801" s="172"/>
      <c r="F801" s="173"/>
      <c r="G801" s="166">
        <v>1970</v>
      </c>
      <c r="H801" s="167">
        <v>69</v>
      </c>
      <c r="I801" s="160"/>
      <c r="J801" s="162"/>
      <c r="K801" s="164">
        <v>1</v>
      </c>
      <c r="L801" s="91"/>
      <c r="M801" s="92"/>
    </row>
    <row r="802" spans="1:13" s="45" customFormat="1" ht="8.5500000000000007" customHeight="1" x14ac:dyDescent="0.2">
      <c r="A802" s="43"/>
      <c r="B802" s="174"/>
      <c r="C802" s="174"/>
      <c r="D802" s="174"/>
      <c r="E802" s="174"/>
      <c r="F802" s="175"/>
      <c r="G802" s="166"/>
      <c r="H802" s="168"/>
      <c r="I802" s="161"/>
      <c r="J802" s="163"/>
      <c r="K802" s="165"/>
      <c r="L802" s="91"/>
      <c r="M802" s="92"/>
    </row>
    <row r="803" spans="1:13" s="45" customFormat="1" ht="8.5500000000000007" customHeight="1" x14ac:dyDescent="0.2">
      <c r="A803" s="43"/>
      <c r="B803" s="156" t="s">
        <v>291</v>
      </c>
      <c r="C803" s="156"/>
      <c r="D803" s="156"/>
      <c r="E803" s="156"/>
      <c r="F803" s="157"/>
      <c r="G803" s="166">
        <v>1975</v>
      </c>
      <c r="H803" s="167">
        <v>88</v>
      </c>
      <c r="I803" s="160"/>
      <c r="J803" s="162" t="s">
        <v>36</v>
      </c>
      <c r="K803" s="164">
        <v>1</v>
      </c>
      <c r="L803" s="91"/>
      <c r="M803" s="92"/>
    </row>
    <row r="804" spans="1:13" s="45" customFormat="1" ht="8.5500000000000007" customHeight="1" x14ac:dyDescent="0.2">
      <c r="A804" s="43"/>
      <c r="B804" s="158"/>
      <c r="C804" s="158"/>
      <c r="D804" s="158"/>
      <c r="E804" s="158"/>
      <c r="F804" s="159"/>
      <c r="G804" s="166"/>
      <c r="H804" s="168"/>
      <c r="I804" s="161"/>
      <c r="J804" s="163"/>
      <c r="K804" s="165"/>
      <c r="L804" s="91"/>
      <c r="M804" s="92"/>
    </row>
    <row r="805" spans="1:13" s="45" customFormat="1" ht="8.5500000000000007" customHeight="1" x14ac:dyDescent="0.2">
      <c r="A805" s="43"/>
      <c r="B805" s="156" t="s">
        <v>291</v>
      </c>
      <c r="C805" s="156"/>
      <c r="D805" s="156"/>
      <c r="E805" s="156"/>
      <c r="F805" s="157"/>
      <c r="G805" s="166">
        <v>1976</v>
      </c>
      <c r="H805" s="167">
        <v>92</v>
      </c>
      <c r="I805" s="160"/>
      <c r="J805" s="162" t="s">
        <v>36</v>
      </c>
      <c r="K805" s="164">
        <v>1</v>
      </c>
      <c r="L805" s="91"/>
      <c r="M805" s="92"/>
    </row>
    <row r="806" spans="1:13" s="45" customFormat="1" ht="8.5500000000000007" customHeight="1" x14ac:dyDescent="0.2">
      <c r="A806" s="43"/>
      <c r="B806" s="158"/>
      <c r="C806" s="158"/>
      <c r="D806" s="158"/>
      <c r="E806" s="158"/>
      <c r="F806" s="159"/>
      <c r="G806" s="166"/>
      <c r="H806" s="168"/>
      <c r="I806" s="161"/>
      <c r="J806" s="163"/>
      <c r="K806" s="165"/>
      <c r="L806" s="91"/>
      <c r="M806" s="92"/>
    </row>
    <row r="807" spans="1:13" s="45" customFormat="1" ht="8.5500000000000007" customHeight="1" x14ac:dyDescent="0.2">
      <c r="A807" s="43"/>
      <c r="B807" s="156" t="s">
        <v>291</v>
      </c>
      <c r="C807" s="156"/>
      <c r="D807" s="156"/>
      <c r="E807" s="156"/>
      <c r="F807" s="157"/>
      <c r="G807" s="166">
        <v>1979</v>
      </c>
      <c r="H807" s="167">
        <v>89</v>
      </c>
      <c r="I807" s="160"/>
      <c r="J807" s="162" t="s">
        <v>33</v>
      </c>
      <c r="K807" s="164">
        <v>1</v>
      </c>
      <c r="L807" s="91"/>
      <c r="M807" s="92"/>
    </row>
    <row r="808" spans="1:13" s="45" customFormat="1" ht="8.5500000000000007" customHeight="1" x14ac:dyDescent="0.2">
      <c r="A808" s="43"/>
      <c r="B808" s="158"/>
      <c r="C808" s="158"/>
      <c r="D808" s="158"/>
      <c r="E808" s="158"/>
      <c r="F808" s="159"/>
      <c r="G808" s="166"/>
      <c r="H808" s="168"/>
      <c r="I808" s="161"/>
      <c r="J808" s="163"/>
      <c r="K808" s="165"/>
      <c r="L808" s="91"/>
      <c r="M808" s="92"/>
    </row>
    <row r="809" spans="1:13" s="45" customFormat="1" ht="8.5500000000000007" customHeight="1" x14ac:dyDescent="0.2">
      <c r="A809" s="43"/>
      <c r="B809" s="156" t="s">
        <v>291</v>
      </c>
      <c r="C809" s="156"/>
      <c r="D809" s="156"/>
      <c r="E809" s="156"/>
      <c r="F809" s="157"/>
      <c r="G809" s="166">
        <v>1982</v>
      </c>
      <c r="H809" s="167">
        <v>86</v>
      </c>
      <c r="I809" s="160">
        <v>93</v>
      </c>
      <c r="J809" s="162" t="s">
        <v>223</v>
      </c>
      <c r="K809" s="164">
        <v>3</v>
      </c>
      <c r="L809" s="91"/>
      <c r="M809" s="92"/>
    </row>
    <row r="810" spans="1:13" s="45" customFormat="1" ht="8.5500000000000007" customHeight="1" x14ac:dyDescent="0.2">
      <c r="A810" s="43"/>
      <c r="B810" s="158"/>
      <c r="C810" s="158"/>
      <c r="D810" s="158"/>
      <c r="E810" s="158"/>
      <c r="F810" s="159"/>
      <c r="G810" s="166"/>
      <c r="H810" s="168"/>
      <c r="I810" s="161"/>
      <c r="J810" s="163"/>
      <c r="K810" s="165"/>
      <c r="L810" s="91"/>
      <c r="M810" s="92"/>
    </row>
    <row r="811" spans="1:13" s="45" customFormat="1" ht="8.5500000000000007" customHeight="1" x14ac:dyDescent="0.2">
      <c r="A811" s="43"/>
      <c r="B811" s="156" t="s">
        <v>291</v>
      </c>
      <c r="C811" s="156"/>
      <c r="D811" s="156"/>
      <c r="E811" s="156"/>
      <c r="F811" s="157"/>
      <c r="G811" s="166">
        <v>1995</v>
      </c>
      <c r="H811" s="167">
        <v>93</v>
      </c>
      <c r="I811" s="160">
        <v>96</v>
      </c>
      <c r="J811" s="162" t="s">
        <v>40</v>
      </c>
      <c r="K811" s="164">
        <v>2</v>
      </c>
      <c r="L811" s="91"/>
      <c r="M811" s="92"/>
    </row>
    <row r="812" spans="1:13" s="45" customFormat="1" ht="8.5500000000000007" customHeight="1" x14ac:dyDescent="0.2">
      <c r="A812" s="43"/>
      <c r="B812" s="158"/>
      <c r="C812" s="158"/>
      <c r="D812" s="158"/>
      <c r="E812" s="158"/>
      <c r="F812" s="159"/>
      <c r="G812" s="166"/>
      <c r="H812" s="168"/>
      <c r="I812" s="161"/>
      <c r="J812" s="163"/>
      <c r="K812" s="165"/>
      <c r="L812" s="91"/>
      <c r="M812" s="92"/>
    </row>
    <row r="813" spans="1:13" s="45" customFormat="1" ht="8.5500000000000007" customHeight="1" x14ac:dyDescent="0.2">
      <c r="A813" s="43"/>
      <c r="B813" s="156" t="s">
        <v>291</v>
      </c>
      <c r="C813" s="156"/>
      <c r="D813" s="156"/>
      <c r="E813" s="156"/>
      <c r="F813" s="157"/>
      <c r="G813" s="166">
        <v>1996</v>
      </c>
      <c r="H813" s="167">
        <v>92</v>
      </c>
      <c r="I813" s="160">
        <v>92</v>
      </c>
      <c r="J813" s="162" t="s">
        <v>25</v>
      </c>
      <c r="K813" s="164">
        <v>2</v>
      </c>
      <c r="L813" s="91"/>
      <c r="M813" s="92"/>
    </row>
    <row r="814" spans="1:13" s="45" customFormat="1" ht="8.5500000000000007" customHeight="1" x14ac:dyDescent="0.2">
      <c r="A814" s="43"/>
      <c r="B814" s="158"/>
      <c r="C814" s="158"/>
      <c r="D814" s="158"/>
      <c r="E814" s="158"/>
      <c r="F814" s="159"/>
      <c r="G814" s="166"/>
      <c r="H814" s="168"/>
      <c r="I814" s="161"/>
      <c r="J814" s="163"/>
      <c r="K814" s="165"/>
      <c r="L814" s="91"/>
      <c r="M814" s="92"/>
    </row>
    <row r="815" spans="1:13" s="135" customFormat="1" ht="8.5500000000000007" customHeight="1" x14ac:dyDescent="0.2">
      <c r="A815" s="132"/>
      <c r="B815" s="172" t="s">
        <v>291</v>
      </c>
      <c r="C815" s="172"/>
      <c r="D815" s="172"/>
      <c r="E815" s="172"/>
      <c r="F815" s="173"/>
      <c r="G815" s="196">
        <v>1998</v>
      </c>
      <c r="H815" s="197">
        <v>94</v>
      </c>
      <c r="I815" s="203">
        <v>95</v>
      </c>
      <c r="J815" s="226" t="s">
        <v>7</v>
      </c>
      <c r="K815" s="228">
        <v>3</v>
      </c>
      <c r="L815" s="133"/>
      <c r="M815" s="134"/>
    </row>
    <row r="816" spans="1:13" s="135" customFormat="1" ht="8.5500000000000007" customHeight="1" x14ac:dyDescent="0.2">
      <c r="A816" s="132"/>
      <c r="B816" s="174"/>
      <c r="C816" s="174"/>
      <c r="D816" s="174"/>
      <c r="E816" s="174"/>
      <c r="F816" s="175"/>
      <c r="G816" s="196"/>
      <c r="H816" s="198"/>
      <c r="I816" s="204"/>
      <c r="J816" s="198"/>
      <c r="K816" s="229"/>
      <c r="L816" s="133"/>
      <c r="M816" s="134"/>
    </row>
    <row r="817" spans="1:13" s="45" customFormat="1" ht="8.5500000000000007" customHeight="1" x14ac:dyDescent="0.2">
      <c r="A817" s="43"/>
      <c r="B817" s="156" t="s">
        <v>60</v>
      </c>
      <c r="C817" s="192"/>
      <c r="D817" s="192"/>
      <c r="E817" s="192"/>
      <c r="F817" s="193"/>
      <c r="G817" s="189">
        <v>1999</v>
      </c>
      <c r="H817" s="167">
        <v>95</v>
      </c>
      <c r="I817" s="160">
        <v>94</v>
      </c>
      <c r="J817" s="211" t="s">
        <v>123</v>
      </c>
      <c r="K817" s="164">
        <v>3</v>
      </c>
      <c r="L817" s="91"/>
      <c r="M817" s="92"/>
    </row>
    <row r="818" spans="1:13" s="45" customFormat="1" ht="8.5500000000000007" customHeight="1" x14ac:dyDescent="0.2">
      <c r="A818" s="43"/>
      <c r="B818" s="194"/>
      <c r="C818" s="194"/>
      <c r="D818" s="194"/>
      <c r="E818" s="194"/>
      <c r="F818" s="195"/>
      <c r="G818" s="190"/>
      <c r="H818" s="191"/>
      <c r="I818" s="191"/>
      <c r="J818" s="168"/>
      <c r="K818" s="165"/>
      <c r="L818" s="91"/>
      <c r="M818" s="92"/>
    </row>
    <row r="819" spans="1:13" s="45" customFormat="1" ht="8.5500000000000007" customHeight="1" x14ac:dyDescent="0.2">
      <c r="A819" s="43"/>
      <c r="B819" s="156" t="s">
        <v>648</v>
      </c>
      <c r="C819" s="192"/>
      <c r="D819" s="192"/>
      <c r="E819" s="192"/>
      <c r="F819" s="193"/>
      <c r="G819" s="189">
        <v>1999</v>
      </c>
      <c r="H819" s="167">
        <v>95</v>
      </c>
      <c r="I819" s="160">
        <v>94</v>
      </c>
      <c r="J819" s="211" t="s">
        <v>123</v>
      </c>
      <c r="K819" s="164">
        <v>2</v>
      </c>
      <c r="L819" s="91"/>
      <c r="M819" s="92"/>
    </row>
    <row r="820" spans="1:13" s="45" customFormat="1" ht="8.5500000000000007" customHeight="1" x14ac:dyDescent="0.2">
      <c r="A820" s="43"/>
      <c r="B820" s="194"/>
      <c r="C820" s="194"/>
      <c r="D820" s="194"/>
      <c r="E820" s="194"/>
      <c r="F820" s="195"/>
      <c r="G820" s="190"/>
      <c r="H820" s="191"/>
      <c r="I820" s="191"/>
      <c r="J820" s="168"/>
      <c r="K820" s="165"/>
      <c r="L820" s="91"/>
      <c r="M820" s="92"/>
    </row>
    <row r="821" spans="1:13" s="45" customFormat="1" ht="8.5500000000000007" customHeight="1" x14ac:dyDescent="0.2">
      <c r="A821" s="43"/>
      <c r="B821" s="156" t="s">
        <v>291</v>
      </c>
      <c r="C821" s="192"/>
      <c r="D821" s="192"/>
      <c r="E821" s="192"/>
      <c r="F821" s="193"/>
      <c r="G821" s="189">
        <v>2001</v>
      </c>
      <c r="H821" s="167">
        <v>98</v>
      </c>
      <c r="I821" s="160">
        <v>95</v>
      </c>
      <c r="J821" s="211" t="s">
        <v>295</v>
      </c>
      <c r="K821" s="164">
        <v>4</v>
      </c>
      <c r="L821" s="91"/>
      <c r="M821" s="92"/>
    </row>
    <row r="822" spans="1:13" s="45" customFormat="1" ht="8.5500000000000007" customHeight="1" x14ac:dyDescent="0.2">
      <c r="A822" s="43"/>
      <c r="B822" s="194"/>
      <c r="C822" s="194"/>
      <c r="D822" s="194"/>
      <c r="E822" s="194"/>
      <c r="F822" s="195"/>
      <c r="G822" s="190"/>
      <c r="H822" s="191"/>
      <c r="I822" s="191"/>
      <c r="J822" s="168"/>
      <c r="K822" s="165"/>
      <c r="L822" s="91"/>
      <c r="M822" s="92"/>
    </row>
    <row r="823" spans="1:13" s="45" customFormat="1" ht="8.5500000000000007" customHeight="1" x14ac:dyDescent="0.2">
      <c r="A823" s="43"/>
      <c r="B823" s="156" t="s">
        <v>291</v>
      </c>
      <c r="C823" s="192"/>
      <c r="D823" s="192"/>
      <c r="E823" s="192"/>
      <c r="F823" s="193"/>
      <c r="G823" s="189">
        <v>2003</v>
      </c>
      <c r="H823" s="167">
        <v>100</v>
      </c>
      <c r="I823" s="160">
        <v>96</v>
      </c>
      <c r="J823" s="211" t="s">
        <v>323</v>
      </c>
      <c r="K823" s="164">
        <v>2</v>
      </c>
      <c r="L823" s="91"/>
      <c r="M823" s="92"/>
    </row>
    <row r="824" spans="1:13" s="45" customFormat="1" ht="8.5500000000000007" customHeight="1" x14ac:dyDescent="0.2">
      <c r="A824" s="43"/>
      <c r="B824" s="194"/>
      <c r="C824" s="194"/>
      <c r="D824" s="194"/>
      <c r="E824" s="194"/>
      <c r="F824" s="195"/>
      <c r="G824" s="190"/>
      <c r="H824" s="191"/>
      <c r="I824" s="191"/>
      <c r="J824" s="168"/>
      <c r="K824" s="165"/>
      <c r="L824" s="91"/>
      <c r="M824" s="92"/>
    </row>
    <row r="825" spans="1:13" s="45" customFormat="1" ht="8.5500000000000007" customHeight="1" x14ac:dyDescent="0.2">
      <c r="A825" s="43"/>
      <c r="B825" s="172" t="s">
        <v>207</v>
      </c>
      <c r="C825" s="172"/>
      <c r="D825" s="172"/>
      <c r="E825" s="172"/>
      <c r="F825" s="173"/>
      <c r="G825" s="166">
        <v>1948</v>
      </c>
      <c r="H825" s="167">
        <v>99</v>
      </c>
      <c r="I825" s="160"/>
      <c r="J825" s="162" t="s">
        <v>259</v>
      </c>
      <c r="K825" s="164">
        <v>1</v>
      </c>
      <c r="L825" s="91"/>
      <c r="M825" s="92"/>
    </row>
    <row r="826" spans="1:13" s="45" customFormat="1" ht="8.5500000000000007" customHeight="1" x14ac:dyDescent="0.2">
      <c r="A826" s="43"/>
      <c r="B826" s="174"/>
      <c r="C826" s="174"/>
      <c r="D826" s="174"/>
      <c r="E826" s="174"/>
      <c r="F826" s="175"/>
      <c r="G826" s="166"/>
      <c r="H826" s="168"/>
      <c r="I826" s="161"/>
      <c r="J826" s="163"/>
      <c r="K826" s="165"/>
      <c r="L826" s="91"/>
      <c r="M826" s="92"/>
    </row>
    <row r="827" spans="1:13" s="45" customFormat="1" ht="8.5500000000000007" customHeight="1" x14ac:dyDescent="0.2">
      <c r="A827" s="43"/>
      <c r="B827" s="156" t="s">
        <v>207</v>
      </c>
      <c r="C827" s="156"/>
      <c r="D827" s="156"/>
      <c r="E827" s="156"/>
      <c r="F827" s="157"/>
      <c r="G827" s="166">
        <v>1949</v>
      </c>
      <c r="H827" s="167">
        <v>96</v>
      </c>
      <c r="I827" s="160"/>
      <c r="J827" s="162" t="s">
        <v>376</v>
      </c>
      <c r="K827" s="164">
        <v>3</v>
      </c>
      <c r="L827" s="91"/>
      <c r="M827" s="92"/>
    </row>
    <row r="828" spans="1:13" s="45" customFormat="1" ht="8.5500000000000007" customHeight="1" x14ac:dyDescent="0.2">
      <c r="A828" s="43"/>
      <c r="B828" s="158"/>
      <c r="C828" s="158"/>
      <c r="D828" s="158"/>
      <c r="E828" s="158"/>
      <c r="F828" s="159"/>
      <c r="G828" s="166"/>
      <c r="H828" s="168"/>
      <c r="I828" s="161"/>
      <c r="J828" s="163"/>
      <c r="K828" s="165"/>
      <c r="L828" s="91"/>
      <c r="M828" s="92"/>
    </row>
    <row r="829" spans="1:13" s="45" customFormat="1" ht="8.5500000000000007" customHeight="1" x14ac:dyDescent="0.2">
      <c r="A829" s="43"/>
      <c r="B829" s="156" t="s">
        <v>207</v>
      </c>
      <c r="C829" s="156"/>
      <c r="D829" s="156"/>
      <c r="E829" s="156"/>
      <c r="F829" s="157"/>
      <c r="G829" s="189">
        <v>1961</v>
      </c>
      <c r="H829" s="167">
        <v>91</v>
      </c>
      <c r="I829" s="122"/>
      <c r="J829" s="124"/>
      <c r="K829" s="164">
        <v>1</v>
      </c>
      <c r="L829" s="91"/>
      <c r="M829" s="92"/>
    </row>
    <row r="830" spans="1:13" s="45" customFormat="1" ht="8.5500000000000007" customHeight="1" x14ac:dyDescent="0.2">
      <c r="A830" s="43"/>
      <c r="B830" s="158"/>
      <c r="C830" s="158"/>
      <c r="D830" s="158"/>
      <c r="E830" s="158"/>
      <c r="F830" s="159"/>
      <c r="G830" s="190"/>
      <c r="H830" s="168"/>
      <c r="I830" s="123"/>
      <c r="J830" s="121"/>
      <c r="K830" s="165"/>
      <c r="L830" s="91"/>
      <c r="M830" s="92"/>
    </row>
    <row r="831" spans="1:13" s="45" customFormat="1" ht="8.5500000000000007" customHeight="1" x14ac:dyDescent="0.2">
      <c r="A831" s="43"/>
      <c r="B831" s="156" t="s">
        <v>207</v>
      </c>
      <c r="C831" s="156"/>
      <c r="D831" s="156"/>
      <c r="E831" s="156"/>
      <c r="F831" s="157"/>
      <c r="G831" s="189">
        <v>1978</v>
      </c>
      <c r="H831" s="167">
        <v>93</v>
      </c>
      <c r="I831" s="122"/>
      <c r="J831" s="211" t="s">
        <v>1846</v>
      </c>
      <c r="K831" s="164">
        <v>1</v>
      </c>
      <c r="L831" s="91"/>
      <c r="M831" s="92"/>
    </row>
    <row r="832" spans="1:13" s="45" customFormat="1" ht="8.5500000000000007" customHeight="1" x14ac:dyDescent="0.2">
      <c r="A832" s="43"/>
      <c r="B832" s="158"/>
      <c r="C832" s="158"/>
      <c r="D832" s="158"/>
      <c r="E832" s="158"/>
      <c r="F832" s="159"/>
      <c r="G832" s="190"/>
      <c r="H832" s="168"/>
      <c r="I832" s="123"/>
      <c r="J832" s="168"/>
      <c r="K832" s="165"/>
      <c r="L832" s="91"/>
      <c r="M832" s="92"/>
    </row>
    <row r="833" spans="1:13" s="45" customFormat="1" ht="8.5500000000000007" customHeight="1" x14ac:dyDescent="0.2">
      <c r="A833" s="43"/>
      <c r="B833" s="156" t="s">
        <v>207</v>
      </c>
      <c r="C833" s="156"/>
      <c r="D833" s="156"/>
      <c r="E833" s="156"/>
      <c r="F833" s="157"/>
      <c r="G833" s="189">
        <v>1979</v>
      </c>
      <c r="H833" s="167">
        <v>86</v>
      </c>
      <c r="I833" s="122"/>
      <c r="J833" s="124"/>
      <c r="K833" s="164">
        <v>1</v>
      </c>
      <c r="L833" s="91"/>
      <c r="M833" s="92"/>
    </row>
    <row r="834" spans="1:13" s="45" customFormat="1" ht="8.5500000000000007" customHeight="1" x14ac:dyDescent="0.2">
      <c r="A834" s="43"/>
      <c r="B834" s="158"/>
      <c r="C834" s="158"/>
      <c r="D834" s="158"/>
      <c r="E834" s="158"/>
      <c r="F834" s="159"/>
      <c r="G834" s="190"/>
      <c r="H834" s="168"/>
      <c r="I834" s="123"/>
      <c r="J834" s="121"/>
      <c r="K834" s="165"/>
      <c r="L834" s="91"/>
      <c r="M834" s="92"/>
    </row>
    <row r="835" spans="1:13" s="45" customFormat="1" ht="8.5500000000000007" customHeight="1" x14ac:dyDescent="0.2">
      <c r="A835" s="43"/>
      <c r="B835" s="156" t="s">
        <v>207</v>
      </c>
      <c r="C835" s="156"/>
      <c r="D835" s="156"/>
      <c r="E835" s="156"/>
      <c r="F835" s="157"/>
      <c r="G835" s="166">
        <v>1982</v>
      </c>
      <c r="H835" s="167">
        <v>99</v>
      </c>
      <c r="I835" s="160">
        <v>96</v>
      </c>
      <c r="J835" s="162" t="s">
        <v>1937</v>
      </c>
      <c r="K835" s="164">
        <v>3</v>
      </c>
      <c r="L835" s="91"/>
      <c r="M835" s="92"/>
    </row>
    <row r="836" spans="1:13" s="45" customFormat="1" ht="8.5500000000000007" customHeight="1" x14ac:dyDescent="0.2">
      <c r="A836" s="43"/>
      <c r="B836" s="158"/>
      <c r="C836" s="158"/>
      <c r="D836" s="158"/>
      <c r="E836" s="158"/>
      <c r="F836" s="159"/>
      <c r="G836" s="166"/>
      <c r="H836" s="168"/>
      <c r="I836" s="161"/>
      <c r="J836" s="163"/>
      <c r="K836" s="165"/>
      <c r="L836" s="91"/>
      <c r="M836" s="92"/>
    </row>
    <row r="837" spans="1:13" s="45" customFormat="1" ht="8.5500000000000007" customHeight="1" x14ac:dyDescent="0.2">
      <c r="A837" s="43"/>
      <c r="B837" s="156" t="s">
        <v>207</v>
      </c>
      <c r="C837" s="156"/>
      <c r="D837" s="156"/>
      <c r="E837" s="156"/>
      <c r="F837" s="157"/>
      <c r="G837" s="166">
        <v>1985</v>
      </c>
      <c r="H837" s="167">
        <v>95</v>
      </c>
      <c r="I837" s="160"/>
      <c r="J837" s="162" t="s">
        <v>419</v>
      </c>
      <c r="K837" s="164">
        <v>1</v>
      </c>
      <c r="L837" s="91"/>
      <c r="M837" s="92"/>
    </row>
    <row r="838" spans="1:13" s="45" customFormat="1" ht="8.5500000000000007" customHeight="1" x14ac:dyDescent="0.2">
      <c r="A838" s="43"/>
      <c r="B838" s="158"/>
      <c r="C838" s="158"/>
      <c r="D838" s="158"/>
      <c r="E838" s="158"/>
      <c r="F838" s="159"/>
      <c r="G838" s="166"/>
      <c r="H838" s="168"/>
      <c r="I838" s="161"/>
      <c r="J838" s="163"/>
      <c r="K838" s="165"/>
      <c r="L838" s="91"/>
      <c r="M838" s="92"/>
    </row>
    <row r="839" spans="1:13" s="45" customFormat="1" ht="8.5500000000000007" customHeight="1" x14ac:dyDescent="0.2">
      <c r="A839" s="43"/>
      <c r="B839" s="156" t="s">
        <v>207</v>
      </c>
      <c r="C839" s="156"/>
      <c r="D839" s="156"/>
      <c r="E839" s="156"/>
      <c r="F839" s="157"/>
      <c r="G839" s="166">
        <v>1990</v>
      </c>
      <c r="H839" s="167">
        <v>98</v>
      </c>
      <c r="I839" s="160">
        <v>93</v>
      </c>
      <c r="J839" s="162" t="s">
        <v>1938</v>
      </c>
      <c r="K839" s="164">
        <v>3</v>
      </c>
      <c r="L839" s="91"/>
      <c r="M839" s="92"/>
    </row>
    <row r="840" spans="1:13" s="45" customFormat="1" ht="8.5500000000000007" customHeight="1" x14ac:dyDescent="0.2">
      <c r="A840" s="43"/>
      <c r="B840" s="158"/>
      <c r="C840" s="158"/>
      <c r="D840" s="158"/>
      <c r="E840" s="158"/>
      <c r="F840" s="159"/>
      <c r="G840" s="166"/>
      <c r="H840" s="168"/>
      <c r="I840" s="161"/>
      <c r="J840" s="163"/>
      <c r="K840" s="165"/>
      <c r="L840" s="91"/>
      <c r="M840" s="92"/>
    </row>
    <row r="841" spans="1:13" s="45" customFormat="1" ht="8.5500000000000007" customHeight="1" x14ac:dyDescent="0.2">
      <c r="A841" s="43"/>
      <c r="B841" s="156" t="s">
        <v>207</v>
      </c>
      <c r="C841" s="156"/>
      <c r="D841" s="156"/>
      <c r="E841" s="156"/>
      <c r="F841" s="157"/>
      <c r="G841" s="166">
        <v>1993</v>
      </c>
      <c r="H841" s="167">
        <v>87</v>
      </c>
      <c r="I841" s="160"/>
      <c r="J841" s="162" t="s">
        <v>1939</v>
      </c>
      <c r="K841" s="164">
        <v>1</v>
      </c>
      <c r="L841" s="91"/>
      <c r="M841" s="92"/>
    </row>
    <row r="842" spans="1:13" s="45" customFormat="1" ht="8.5500000000000007" customHeight="1" x14ac:dyDescent="0.2">
      <c r="A842" s="43"/>
      <c r="B842" s="158"/>
      <c r="C842" s="158"/>
      <c r="D842" s="158"/>
      <c r="E842" s="158"/>
      <c r="F842" s="159"/>
      <c r="G842" s="166"/>
      <c r="H842" s="168"/>
      <c r="I842" s="161"/>
      <c r="J842" s="163"/>
      <c r="K842" s="165"/>
      <c r="L842" s="91"/>
      <c r="M842" s="92"/>
    </row>
    <row r="843" spans="1:13" s="45" customFormat="1" ht="8.5500000000000007" customHeight="1" x14ac:dyDescent="0.2">
      <c r="A843" s="43"/>
      <c r="B843" s="156" t="s">
        <v>207</v>
      </c>
      <c r="C843" s="156"/>
      <c r="D843" s="156"/>
      <c r="E843" s="156"/>
      <c r="F843" s="157"/>
      <c r="G843" s="166">
        <v>1995</v>
      </c>
      <c r="H843" s="167">
        <v>92</v>
      </c>
      <c r="I843" s="160">
        <v>93</v>
      </c>
      <c r="J843" s="162" t="s">
        <v>318</v>
      </c>
      <c r="K843" s="164">
        <v>1</v>
      </c>
      <c r="L843" s="91"/>
      <c r="M843" s="92"/>
    </row>
    <row r="844" spans="1:13" s="45" customFormat="1" ht="8.5500000000000007" customHeight="1" x14ac:dyDescent="0.2">
      <c r="A844" s="43"/>
      <c r="B844" s="158"/>
      <c r="C844" s="158"/>
      <c r="D844" s="158"/>
      <c r="E844" s="158"/>
      <c r="F844" s="159"/>
      <c r="G844" s="166"/>
      <c r="H844" s="168"/>
      <c r="I844" s="161"/>
      <c r="J844" s="163"/>
      <c r="K844" s="165"/>
      <c r="L844" s="91"/>
      <c r="M844" s="92"/>
    </row>
    <row r="845" spans="1:13" s="45" customFormat="1" ht="8.5500000000000007" customHeight="1" x14ac:dyDescent="0.2">
      <c r="A845" s="43"/>
      <c r="B845" s="156" t="s">
        <v>649</v>
      </c>
      <c r="C845" s="156"/>
      <c r="D845" s="156"/>
      <c r="E845" s="156"/>
      <c r="F845" s="157"/>
      <c r="G845" s="166">
        <v>1995</v>
      </c>
      <c r="H845" s="167">
        <v>92</v>
      </c>
      <c r="I845" s="160">
        <v>93</v>
      </c>
      <c r="J845" s="162" t="s">
        <v>318</v>
      </c>
      <c r="K845" s="164">
        <v>1</v>
      </c>
      <c r="L845" s="91"/>
      <c r="M845" s="92"/>
    </row>
    <row r="846" spans="1:13" s="45" customFormat="1" ht="8.5500000000000007" customHeight="1" x14ac:dyDescent="0.2">
      <c r="A846" s="43"/>
      <c r="B846" s="158"/>
      <c r="C846" s="158"/>
      <c r="D846" s="158"/>
      <c r="E846" s="158"/>
      <c r="F846" s="159"/>
      <c r="G846" s="166"/>
      <c r="H846" s="168"/>
      <c r="I846" s="161"/>
      <c r="J846" s="163"/>
      <c r="K846" s="165"/>
      <c r="L846" s="91"/>
      <c r="M846" s="92"/>
    </row>
    <row r="847" spans="1:13" s="45" customFormat="1" ht="8.5500000000000007" customHeight="1" x14ac:dyDescent="0.2">
      <c r="A847" s="43"/>
      <c r="B847" s="156" t="s">
        <v>207</v>
      </c>
      <c r="C847" s="156"/>
      <c r="D847" s="156"/>
      <c r="E847" s="156"/>
      <c r="F847" s="157"/>
      <c r="G847" s="166">
        <v>1996</v>
      </c>
      <c r="H847" s="167">
        <v>88</v>
      </c>
      <c r="I847" s="160"/>
      <c r="J847" s="162" t="s">
        <v>415</v>
      </c>
      <c r="K847" s="164">
        <v>2</v>
      </c>
      <c r="L847" s="91"/>
      <c r="M847" s="92"/>
    </row>
    <row r="848" spans="1:13" s="45" customFormat="1" ht="8.5500000000000007" customHeight="1" x14ac:dyDescent="0.2">
      <c r="A848" s="43"/>
      <c r="B848" s="158"/>
      <c r="C848" s="158"/>
      <c r="D848" s="158"/>
      <c r="E848" s="158"/>
      <c r="F848" s="159"/>
      <c r="G848" s="166"/>
      <c r="H848" s="168"/>
      <c r="I848" s="161"/>
      <c r="J848" s="163"/>
      <c r="K848" s="165"/>
      <c r="L848" s="91"/>
      <c r="M848" s="92"/>
    </row>
    <row r="849" spans="1:13" s="45" customFormat="1" ht="8.5500000000000007" customHeight="1" x14ac:dyDescent="0.2">
      <c r="A849" s="43"/>
      <c r="B849" s="170" t="s">
        <v>76</v>
      </c>
      <c r="C849" s="170"/>
      <c r="D849" s="170"/>
      <c r="E849" s="170"/>
      <c r="F849" s="170"/>
      <c r="G849" s="178"/>
      <c r="H849" s="47"/>
      <c r="I849" s="48"/>
      <c r="J849" s="48"/>
      <c r="K849" s="164"/>
      <c r="L849" s="91"/>
      <c r="M849" s="92"/>
    </row>
    <row r="850" spans="1:13" s="45" customFormat="1" ht="8.5500000000000007" customHeight="1" x14ac:dyDescent="0.2">
      <c r="A850" s="43"/>
      <c r="B850" s="171"/>
      <c r="C850" s="171"/>
      <c r="D850" s="171"/>
      <c r="E850" s="171"/>
      <c r="F850" s="171"/>
      <c r="G850" s="178"/>
      <c r="H850" s="54"/>
      <c r="I850" s="49"/>
      <c r="J850" s="49"/>
      <c r="K850" s="165"/>
      <c r="L850" s="91"/>
      <c r="M850" s="92"/>
    </row>
    <row r="851" spans="1:13" s="45" customFormat="1" ht="8.5500000000000007" customHeight="1" x14ac:dyDescent="0.2">
      <c r="A851" s="43"/>
      <c r="B851" s="156" t="s">
        <v>207</v>
      </c>
      <c r="C851" s="156"/>
      <c r="D851" s="156"/>
      <c r="E851" s="156"/>
      <c r="F851" s="157"/>
      <c r="G851" s="166">
        <v>1998</v>
      </c>
      <c r="H851" s="167">
        <v>100</v>
      </c>
      <c r="I851" s="160">
        <v>98</v>
      </c>
      <c r="J851" s="162" t="s">
        <v>1940</v>
      </c>
      <c r="K851" s="164">
        <v>4</v>
      </c>
      <c r="L851" s="91"/>
      <c r="M851" s="92"/>
    </row>
    <row r="852" spans="1:13" s="45" customFormat="1" ht="8.5500000000000007" customHeight="1" x14ac:dyDescent="0.2">
      <c r="A852" s="43"/>
      <c r="B852" s="158"/>
      <c r="C852" s="158"/>
      <c r="D852" s="158"/>
      <c r="E852" s="158"/>
      <c r="F852" s="159"/>
      <c r="G852" s="166"/>
      <c r="H852" s="168"/>
      <c r="I852" s="161"/>
      <c r="J852" s="163"/>
      <c r="K852" s="165"/>
      <c r="L852" s="91"/>
      <c r="M852" s="92"/>
    </row>
    <row r="853" spans="1:13" s="45" customFormat="1" ht="8.5500000000000007" customHeight="1" x14ac:dyDescent="0.2">
      <c r="A853" s="43"/>
      <c r="B853" s="156" t="s">
        <v>649</v>
      </c>
      <c r="C853" s="156"/>
      <c r="D853" s="156"/>
      <c r="E853" s="156"/>
      <c r="F853" s="157"/>
      <c r="G853" s="166">
        <v>1998</v>
      </c>
      <c r="H853" s="167">
        <v>100</v>
      </c>
      <c r="I853" s="160">
        <v>98</v>
      </c>
      <c r="J853" s="162" t="s">
        <v>1940</v>
      </c>
      <c r="K853" s="164">
        <v>1</v>
      </c>
      <c r="L853" s="91"/>
      <c r="M853" s="92"/>
    </row>
    <row r="854" spans="1:13" s="45" customFormat="1" ht="8.5500000000000007" customHeight="1" x14ac:dyDescent="0.2">
      <c r="A854" s="43"/>
      <c r="B854" s="158"/>
      <c r="C854" s="158"/>
      <c r="D854" s="158"/>
      <c r="E854" s="158"/>
      <c r="F854" s="159"/>
      <c r="G854" s="166"/>
      <c r="H854" s="168"/>
      <c r="I854" s="161"/>
      <c r="J854" s="163"/>
      <c r="K854" s="165"/>
      <c r="L854" s="91"/>
      <c r="M854" s="92"/>
    </row>
    <row r="855" spans="1:13" s="45" customFormat="1" ht="8.5500000000000007" customHeight="1" x14ac:dyDescent="0.2">
      <c r="A855" s="43"/>
      <c r="B855" s="156" t="s">
        <v>207</v>
      </c>
      <c r="C855" s="156"/>
      <c r="D855" s="156"/>
      <c r="E855" s="156"/>
      <c r="F855" s="157"/>
      <c r="G855" s="166">
        <v>1999</v>
      </c>
      <c r="H855" s="167">
        <v>93</v>
      </c>
      <c r="I855" s="160"/>
      <c r="J855" s="162" t="s">
        <v>454</v>
      </c>
      <c r="K855" s="164">
        <v>1</v>
      </c>
      <c r="L855" s="91"/>
      <c r="M855" s="92"/>
    </row>
    <row r="856" spans="1:13" s="45" customFormat="1" ht="8.5500000000000007" customHeight="1" x14ac:dyDescent="0.2">
      <c r="A856" s="43"/>
      <c r="B856" s="158"/>
      <c r="C856" s="158"/>
      <c r="D856" s="158"/>
      <c r="E856" s="158"/>
      <c r="F856" s="159"/>
      <c r="G856" s="166"/>
      <c r="H856" s="168"/>
      <c r="I856" s="161"/>
      <c r="J856" s="163"/>
      <c r="K856" s="165"/>
      <c r="L856" s="91"/>
      <c r="M856" s="92"/>
    </row>
    <row r="857" spans="1:13" s="45" customFormat="1" ht="8.5500000000000007" customHeight="1" x14ac:dyDescent="0.2">
      <c r="A857" s="43"/>
      <c r="B857" s="156" t="s">
        <v>207</v>
      </c>
      <c r="C857" s="156"/>
      <c r="D857" s="156"/>
      <c r="E857" s="156"/>
      <c r="F857" s="157"/>
      <c r="G857" s="166">
        <v>2000</v>
      </c>
      <c r="H857" s="167">
        <v>99</v>
      </c>
      <c r="I857" s="160"/>
      <c r="J857" s="162" t="s">
        <v>226</v>
      </c>
      <c r="K857" s="164">
        <v>1</v>
      </c>
      <c r="L857" s="91"/>
      <c r="M857" s="92"/>
    </row>
    <row r="858" spans="1:13" s="45" customFormat="1" ht="8.5500000000000007" customHeight="1" x14ac:dyDescent="0.2">
      <c r="A858" s="43"/>
      <c r="B858" s="158"/>
      <c r="C858" s="158"/>
      <c r="D858" s="158"/>
      <c r="E858" s="158"/>
      <c r="F858" s="159"/>
      <c r="G858" s="166"/>
      <c r="H858" s="168"/>
      <c r="I858" s="161"/>
      <c r="J858" s="163"/>
      <c r="K858" s="165"/>
      <c r="L858" s="91"/>
      <c r="M858" s="92"/>
    </row>
    <row r="859" spans="1:13" s="45" customFormat="1" ht="8.5500000000000007" customHeight="1" x14ac:dyDescent="0.2">
      <c r="A859" s="43"/>
      <c r="B859" s="156" t="s">
        <v>207</v>
      </c>
      <c r="C859" s="156"/>
      <c r="D859" s="156"/>
      <c r="E859" s="156"/>
      <c r="F859" s="157"/>
      <c r="G859" s="166">
        <v>2001</v>
      </c>
      <c r="H859" s="167">
        <v>93</v>
      </c>
      <c r="I859" s="160">
        <v>92</v>
      </c>
      <c r="J859" s="162" t="s">
        <v>129</v>
      </c>
      <c r="K859" s="164">
        <v>4</v>
      </c>
      <c r="L859" s="91"/>
      <c r="M859" s="92"/>
    </row>
    <row r="860" spans="1:13" s="45" customFormat="1" ht="8.5500000000000007" customHeight="1" x14ac:dyDescent="0.2">
      <c r="A860" s="43"/>
      <c r="B860" s="158"/>
      <c r="C860" s="158"/>
      <c r="D860" s="158"/>
      <c r="E860" s="158"/>
      <c r="F860" s="159"/>
      <c r="G860" s="166"/>
      <c r="H860" s="168"/>
      <c r="I860" s="161"/>
      <c r="J860" s="163"/>
      <c r="K860" s="165"/>
      <c r="L860" s="91"/>
      <c r="M860" s="92"/>
    </row>
    <row r="861" spans="1:13" s="45" customFormat="1" ht="8.5500000000000007" customHeight="1" x14ac:dyDescent="0.2">
      <c r="A861" s="43"/>
      <c r="B861" s="156" t="s">
        <v>207</v>
      </c>
      <c r="C861" s="156"/>
      <c r="D861" s="156"/>
      <c r="E861" s="156"/>
      <c r="F861" s="157"/>
      <c r="G861" s="166">
        <v>2002</v>
      </c>
      <c r="H861" s="167">
        <v>90</v>
      </c>
      <c r="I861" s="160">
        <v>92</v>
      </c>
      <c r="J861" s="169" t="s">
        <v>235</v>
      </c>
      <c r="K861" s="164">
        <v>2</v>
      </c>
      <c r="L861" s="91"/>
      <c r="M861" s="92"/>
    </row>
    <row r="862" spans="1:13" s="45" customFormat="1" ht="8.5500000000000007" customHeight="1" x14ac:dyDescent="0.2">
      <c r="A862" s="43"/>
      <c r="B862" s="158"/>
      <c r="C862" s="158"/>
      <c r="D862" s="158"/>
      <c r="E862" s="158"/>
      <c r="F862" s="159"/>
      <c r="G862" s="166"/>
      <c r="H862" s="168"/>
      <c r="I862" s="161"/>
      <c r="J862" s="168"/>
      <c r="K862" s="165"/>
      <c r="L862" s="91"/>
      <c r="M862" s="92"/>
    </row>
    <row r="863" spans="1:13" s="45" customFormat="1" ht="8.5500000000000007" customHeight="1" x14ac:dyDescent="0.2">
      <c r="A863" s="43"/>
      <c r="B863" s="156" t="s">
        <v>207</v>
      </c>
      <c r="C863" s="156"/>
      <c r="D863" s="156"/>
      <c r="E863" s="156"/>
      <c r="F863" s="157"/>
      <c r="G863" s="166">
        <v>2003</v>
      </c>
      <c r="H863" s="167">
        <v>92</v>
      </c>
      <c r="I863" s="160">
        <v>96</v>
      </c>
      <c r="J863" s="162" t="s">
        <v>420</v>
      </c>
      <c r="K863" s="164">
        <v>2</v>
      </c>
      <c r="L863" s="91"/>
      <c r="M863" s="92"/>
    </row>
    <row r="864" spans="1:13" s="45" customFormat="1" ht="8.5500000000000007" customHeight="1" x14ac:dyDescent="0.2">
      <c r="A864" s="43"/>
      <c r="B864" s="158"/>
      <c r="C864" s="158"/>
      <c r="D864" s="158"/>
      <c r="E864" s="158"/>
      <c r="F864" s="159"/>
      <c r="G864" s="166"/>
      <c r="H864" s="168"/>
      <c r="I864" s="161"/>
      <c r="J864" s="163"/>
      <c r="K864" s="165"/>
      <c r="L864" s="91"/>
      <c r="M864" s="92"/>
    </row>
    <row r="865" spans="1:13" s="45" customFormat="1" ht="8.5500000000000007" customHeight="1" x14ac:dyDescent="0.2">
      <c r="A865" s="43"/>
      <c r="B865" s="156" t="s">
        <v>207</v>
      </c>
      <c r="C865" s="156"/>
      <c r="D865" s="156"/>
      <c r="E865" s="156"/>
      <c r="F865" s="157"/>
      <c r="G865" s="166">
        <v>2006</v>
      </c>
      <c r="H865" s="167">
        <v>97</v>
      </c>
      <c r="I865" s="160"/>
      <c r="J865" s="162" t="s">
        <v>581</v>
      </c>
      <c r="K865" s="164">
        <v>3</v>
      </c>
      <c r="L865" s="91"/>
      <c r="M865" s="92"/>
    </row>
    <row r="866" spans="1:13" s="45" customFormat="1" ht="8.5500000000000007" customHeight="1" x14ac:dyDescent="0.2">
      <c r="A866" s="43"/>
      <c r="B866" s="158"/>
      <c r="C866" s="158"/>
      <c r="D866" s="158"/>
      <c r="E866" s="158"/>
      <c r="F866" s="159"/>
      <c r="G866" s="166"/>
      <c r="H866" s="168"/>
      <c r="I866" s="161"/>
      <c r="J866" s="163"/>
      <c r="K866" s="165"/>
      <c r="L866" s="91"/>
      <c r="M866" s="92"/>
    </row>
    <row r="867" spans="1:13" s="45" customFormat="1" ht="8.5500000000000007" customHeight="1" x14ac:dyDescent="0.2">
      <c r="A867" s="43"/>
      <c r="B867" s="156" t="s">
        <v>179</v>
      </c>
      <c r="C867" s="156"/>
      <c r="D867" s="156"/>
      <c r="E867" s="156"/>
      <c r="F867" s="157"/>
      <c r="G867" s="166">
        <v>1970</v>
      </c>
      <c r="H867" s="167">
        <v>83</v>
      </c>
      <c r="I867" s="160"/>
      <c r="J867" s="162"/>
      <c r="K867" s="164">
        <v>1</v>
      </c>
      <c r="L867" s="91"/>
      <c r="M867" s="92"/>
    </row>
    <row r="868" spans="1:13" s="45" customFormat="1" ht="8.5500000000000007" customHeight="1" x14ac:dyDescent="0.2">
      <c r="A868" s="43"/>
      <c r="B868" s="158"/>
      <c r="C868" s="158"/>
      <c r="D868" s="158"/>
      <c r="E868" s="158"/>
      <c r="F868" s="159"/>
      <c r="G868" s="166"/>
      <c r="H868" s="168"/>
      <c r="I868" s="161"/>
      <c r="J868" s="163"/>
      <c r="K868" s="165"/>
      <c r="L868" s="91"/>
      <c r="M868" s="92"/>
    </row>
    <row r="869" spans="1:13" s="45" customFormat="1" ht="8.5500000000000007" customHeight="1" x14ac:dyDescent="0.2">
      <c r="A869" s="43"/>
      <c r="B869" s="156" t="s">
        <v>179</v>
      </c>
      <c r="C869" s="156"/>
      <c r="D869" s="156"/>
      <c r="E869" s="156"/>
      <c r="F869" s="157"/>
      <c r="G869" s="166">
        <v>1976</v>
      </c>
      <c r="H869" s="167">
        <v>56</v>
      </c>
      <c r="I869" s="160"/>
      <c r="J869" s="162"/>
      <c r="K869" s="164">
        <v>1</v>
      </c>
      <c r="L869" s="91"/>
      <c r="M869" s="92"/>
    </row>
    <row r="870" spans="1:13" s="45" customFormat="1" ht="8.5500000000000007" customHeight="1" x14ac:dyDescent="0.2">
      <c r="A870" s="43"/>
      <c r="B870" s="158"/>
      <c r="C870" s="158"/>
      <c r="D870" s="158"/>
      <c r="E870" s="158"/>
      <c r="F870" s="159"/>
      <c r="G870" s="166"/>
      <c r="H870" s="168"/>
      <c r="I870" s="161"/>
      <c r="J870" s="163"/>
      <c r="K870" s="165"/>
      <c r="L870" s="91"/>
      <c r="M870" s="92"/>
    </row>
    <row r="871" spans="1:13" s="45" customFormat="1" ht="8.5500000000000007" customHeight="1" x14ac:dyDescent="0.2">
      <c r="A871" s="43"/>
      <c r="B871" s="156" t="s">
        <v>179</v>
      </c>
      <c r="C871" s="156"/>
      <c r="D871" s="156"/>
      <c r="E871" s="156"/>
      <c r="F871" s="157"/>
      <c r="G871" s="166">
        <v>1990</v>
      </c>
      <c r="H871" s="167">
        <v>89</v>
      </c>
      <c r="I871" s="160"/>
      <c r="J871" s="169" t="s">
        <v>1941</v>
      </c>
      <c r="K871" s="164">
        <v>1</v>
      </c>
      <c r="L871" s="91"/>
      <c r="M871" s="92"/>
    </row>
    <row r="872" spans="1:13" s="45" customFormat="1" ht="8.5500000000000007" customHeight="1" x14ac:dyDescent="0.2">
      <c r="A872" s="43"/>
      <c r="B872" s="158"/>
      <c r="C872" s="158"/>
      <c r="D872" s="158"/>
      <c r="E872" s="158"/>
      <c r="F872" s="159"/>
      <c r="G872" s="166"/>
      <c r="H872" s="168"/>
      <c r="I872" s="161"/>
      <c r="J872" s="168"/>
      <c r="K872" s="165"/>
      <c r="L872" s="91"/>
      <c r="M872" s="92"/>
    </row>
    <row r="873" spans="1:13" s="45" customFormat="1" ht="8.5500000000000007" customHeight="1" x14ac:dyDescent="0.2">
      <c r="A873" s="43"/>
      <c r="B873" s="156" t="s">
        <v>179</v>
      </c>
      <c r="C873" s="156"/>
      <c r="D873" s="156"/>
      <c r="E873" s="156"/>
      <c r="F873" s="157"/>
      <c r="G873" s="166">
        <v>1995</v>
      </c>
      <c r="H873" s="167">
        <v>78</v>
      </c>
      <c r="I873" s="160"/>
      <c r="J873" s="169" t="s">
        <v>849</v>
      </c>
      <c r="K873" s="164">
        <v>1</v>
      </c>
      <c r="L873" s="91"/>
      <c r="M873" s="92"/>
    </row>
    <row r="874" spans="1:13" s="45" customFormat="1" ht="8.5500000000000007" customHeight="1" x14ac:dyDescent="0.2">
      <c r="A874" s="43"/>
      <c r="B874" s="158"/>
      <c r="C874" s="158"/>
      <c r="D874" s="158"/>
      <c r="E874" s="158"/>
      <c r="F874" s="159"/>
      <c r="G874" s="166"/>
      <c r="H874" s="168"/>
      <c r="I874" s="161"/>
      <c r="J874" s="168"/>
      <c r="K874" s="165"/>
      <c r="L874" s="91"/>
      <c r="M874" s="92"/>
    </row>
    <row r="875" spans="1:13" s="45" customFormat="1" ht="8.5500000000000007" customHeight="1" x14ac:dyDescent="0.2">
      <c r="A875" s="43"/>
      <c r="B875" s="156" t="s">
        <v>179</v>
      </c>
      <c r="C875" s="156"/>
      <c r="D875" s="156"/>
      <c r="E875" s="156"/>
      <c r="F875" s="157"/>
      <c r="G875" s="166">
        <v>1998</v>
      </c>
      <c r="H875" s="167">
        <v>97</v>
      </c>
      <c r="I875" s="160"/>
      <c r="J875" s="162" t="s">
        <v>1894</v>
      </c>
      <c r="K875" s="164">
        <v>1</v>
      </c>
      <c r="L875" s="91"/>
      <c r="M875" s="92"/>
    </row>
    <row r="876" spans="1:13" s="45" customFormat="1" ht="8.5500000000000007" customHeight="1" x14ac:dyDescent="0.2">
      <c r="A876" s="43"/>
      <c r="B876" s="158"/>
      <c r="C876" s="158"/>
      <c r="D876" s="158"/>
      <c r="E876" s="158"/>
      <c r="F876" s="159"/>
      <c r="G876" s="166"/>
      <c r="H876" s="168"/>
      <c r="I876" s="161"/>
      <c r="J876" s="163"/>
      <c r="K876" s="165"/>
      <c r="L876" s="91"/>
      <c r="M876" s="92"/>
    </row>
    <row r="877" spans="1:13" s="45" customFormat="1" ht="8.5500000000000007" customHeight="1" x14ac:dyDescent="0.2">
      <c r="A877" s="43"/>
      <c r="B877" s="156" t="s">
        <v>179</v>
      </c>
      <c r="C877" s="156"/>
      <c r="D877" s="156"/>
      <c r="E877" s="156"/>
      <c r="F877" s="157"/>
      <c r="G877" s="166">
        <v>1999</v>
      </c>
      <c r="H877" s="167">
        <v>92</v>
      </c>
      <c r="I877" s="160">
        <v>93</v>
      </c>
      <c r="J877" s="162" t="s">
        <v>124</v>
      </c>
      <c r="K877" s="164">
        <v>2</v>
      </c>
      <c r="L877" s="91"/>
      <c r="M877" s="92"/>
    </row>
    <row r="878" spans="1:13" s="45" customFormat="1" ht="8.5500000000000007" customHeight="1" x14ac:dyDescent="0.2">
      <c r="A878" s="43"/>
      <c r="B878" s="158"/>
      <c r="C878" s="158"/>
      <c r="D878" s="158"/>
      <c r="E878" s="158"/>
      <c r="F878" s="159"/>
      <c r="G878" s="166"/>
      <c r="H878" s="168"/>
      <c r="I878" s="161"/>
      <c r="J878" s="163"/>
      <c r="K878" s="165"/>
      <c r="L878" s="91"/>
      <c r="M878" s="92"/>
    </row>
    <row r="879" spans="1:13" s="45" customFormat="1" ht="8.5500000000000007" customHeight="1" x14ac:dyDescent="0.2">
      <c r="A879" s="43"/>
      <c r="B879" s="156" t="s">
        <v>179</v>
      </c>
      <c r="C879" s="156"/>
      <c r="D879" s="156"/>
      <c r="E879" s="156"/>
      <c r="F879" s="157"/>
      <c r="G879" s="166">
        <v>2001</v>
      </c>
      <c r="H879" s="167">
        <v>96</v>
      </c>
      <c r="I879" s="160">
        <v>93</v>
      </c>
      <c r="J879" s="162" t="s">
        <v>216</v>
      </c>
      <c r="K879" s="164">
        <v>2</v>
      </c>
      <c r="L879" s="91"/>
      <c r="M879" s="92"/>
    </row>
    <row r="880" spans="1:13" s="45" customFormat="1" ht="8.5500000000000007" customHeight="1" x14ac:dyDescent="0.2">
      <c r="A880" s="43"/>
      <c r="B880" s="158"/>
      <c r="C880" s="158"/>
      <c r="D880" s="158"/>
      <c r="E880" s="158"/>
      <c r="F880" s="159"/>
      <c r="G880" s="166"/>
      <c r="H880" s="168"/>
      <c r="I880" s="161"/>
      <c r="J880" s="163"/>
      <c r="K880" s="165"/>
      <c r="L880" s="91"/>
      <c r="M880" s="92"/>
    </row>
    <row r="881" spans="1:13" s="45" customFormat="1" ht="8.5500000000000007" customHeight="1" x14ac:dyDescent="0.2">
      <c r="A881" s="43"/>
      <c r="B881" s="156" t="s">
        <v>179</v>
      </c>
      <c r="C881" s="156"/>
      <c r="D881" s="156"/>
      <c r="E881" s="156"/>
      <c r="F881" s="157"/>
      <c r="G881" s="166">
        <v>2003</v>
      </c>
      <c r="H881" s="167">
        <v>96</v>
      </c>
      <c r="I881" s="160">
        <v>96</v>
      </c>
      <c r="J881" s="211" t="s">
        <v>124</v>
      </c>
      <c r="K881" s="164">
        <v>6</v>
      </c>
      <c r="L881" s="91"/>
      <c r="M881" s="92"/>
    </row>
    <row r="882" spans="1:13" s="45" customFormat="1" ht="8.5500000000000007" customHeight="1" x14ac:dyDescent="0.2">
      <c r="A882" s="43"/>
      <c r="B882" s="158"/>
      <c r="C882" s="158"/>
      <c r="D882" s="158"/>
      <c r="E882" s="158"/>
      <c r="F882" s="159"/>
      <c r="G882" s="166"/>
      <c r="H882" s="168"/>
      <c r="I882" s="161"/>
      <c r="J882" s="168"/>
      <c r="K882" s="165"/>
      <c r="L882" s="91"/>
      <c r="M882" s="92"/>
    </row>
    <row r="883" spans="1:13" s="45" customFormat="1" ht="8.5500000000000007" customHeight="1" x14ac:dyDescent="0.2">
      <c r="A883" s="43"/>
      <c r="B883" s="156" t="s">
        <v>179</v>
      </c>
      <c r="C883" s="156"/>
      <c r="D883" s="156"/>
      <c r="E883" s="156"/>
      <c r="F883" s="157"/>
      <c r="G883" s="166">
        <v>2005</v>
      </c>
      <c r="H883" s="167">
        <v>100</v>
      </c>
      <c r="I883" s="160">
        <v>100</v>
      </c>
      <c r="J883" s="162" t="s">
        <v>1942</v>
      </c>
      <c r="K883" s="164">
        <v>8</v>
      </c>
      <c r="L883" s="91"/>
      <c r="M883" s="92"/>
    </row>
    <row r="884" spans="1:13" s="45" customFormat="1" ht="8.5500000000000007" customHeight="1" x14ac:dyDescent="0.2">
      <c r="A884" s="43"/>
      <c r="B884" s="158"/>
      <c r="C884" s="158"/>
      <c r="D884" s="158"/>
      <c r="E884" s="158"/>
      <c r="F884" s="159"/>
      <c r="G884" s="166"/>
      <c r="H884" s="168"/>
      <c r="I884" s="161"/>
      <c r="J884" s="163"/>
      <c r="K884" s="165"/>
      <c r="L884" s="91"/>
      <c r="M884" s="92"/>
    </row>
    <row r="885" spans="1:13" s="45" customFormat="1" ht="8.5500000000000007" customHeight="1" x14ac:dyDescent="0.2">
      <c r="A885" s="43"/>
      <c r="B885" s="156" t="s">
        <v>179</v>
      </c>
      <c r="C885" s="156"/>
      <c r="D885" s="156"/>
      <c r="E885" s="156"/>
      <c r="F885" s="157"/>
      <c r="G885" s="166">
        <v>2006</v>
      </c>
      <c r="H885" s="167">
        <v>95</v>
      </c>
      <c r="I885" s="160"/>
      <c r="J885" s="211" t="s">
        <v>25</v>
      </c>
      <c r="K885" s="164">
        <v>2</v>
      </c>
      <c r="L885" s="91"/>
      <c r="M885" s="92"/>
    </row>
    <row r="886" spans="1:13" s="45" customFormat="1" ht="8.5500000000000007" customHeight="1" x14ac:dyDescent="0.2">
      <c r="A886" s="43"/>
      <c r="B886" s="158"/>
      <c r="C886" s="158"/>
      <c r="D886" s="158"/>
      <c r="E886" s="158"/>
      <c r="F886" s="159"/>
      <c r="G886" s="166"/>
      <c r="H886" s="168"/>
      <c r="I886" s="161"/>
      <c r="J886" s="168"/>
      <c r="K886" s="165"/>
      <c r="L886" s="91"/>
      <c r="M886" s="92"/>
    </row>
    <row r="887" spans="1:13" s="45" customFormat="1" ht="8.5500000000000007" customHeight="1" x14ac:dyDescent="0.2">
      <c r="A887" s="43"/>
      <c r="B887" s="156" t="s">
        <v>179</v>
      </c>
      <c r="C887" s="156"/>
      <c r="D887" s="156"/>
      <c r="E887" s="156"/>
      <c r="F887" s="157"/>
      <c r="G887" s="166">
        <v>2009</v>
      </c>
      <c r="H887" s="167">
        <v>100</v>
      </c>
      <c r="I887" s="160"/>
      <c r="J887" s="162" t="s">
        <v>1556</v>
      </c>
      <c r="K887" s="164">
        <v>4</v>
      </c>
      <c r="L887" s="91"/>
      <c r="M887" s="92"/>
    </row>
    <row r="888" spans="1:13" s="45" customFormat="1" ht="8.5500000000000007" customHeight="1" x14ac:dyDescent="0.2">
      <c r="A888" s="43"/>
      <c r="B888" s="158"/>
      <c r="C888" s="158"/>
      <c r="D888" s="158"/>
      <c r="E888" s="158"/>
      <c r="F888" s="159"/>
      <c r="G888" s="166"/>
      <c r="H888" s="168"/>
      <c r="I888" s="161"/>
      <c r="J888" s="163"/>
      <c r="K888" s="165"/>
      <c r="L888" s="91"/>
      <c r="M888" s="92"/>
    </row>
    <row r="889" spans="1:13" s="45" customFormat="1" ht="8.5500000000000007" customHeight="1" x14ac:dyDescent="0.2">
      <c r="A889" s="43"/>
      <c r="B889" s="172" t="s">
        <v>180</v>
      </c>
      <c r="C889" s="172"/>
      <c r="D889" s="172"/>
      <c r="E889" s="172"/>
      <c r="F889" s="173"/>
      <c r="G889" s="199">
        <v>1970</v>
      </c>
      <c r="H889" s="160"/>
      <c r="I889" s="160"/>
      <c r="J889" s="211"/>
      <c r="K889" s="164">
        <v>1</v>
      </c>
      <c r="L889" s="91"/>
      <c r="M889" s="92"/>
    </row>
    <row r="890" spans="1:13" s="45" customFormat="1" ht="8.5500000000000007" customHeight="1" x14ac:dyDescent="0.2">
      <c r="A890" s="43"/>
      <c r="B890" s="174"/>
      <c r="C890" s="174"/>
      <c r="D890" s="174"/>
      <c r="E890" s="174"/>
      <c r="F890" s="175"/>
      <c r="G890" s="200"/>
      <c r="H890" s="161"/>
      <c r="I890" s="161"/>
      <c r="J890" s="168"/>
      <c r="K890" s="165"/>
      <c r="L890" s="91"/>
      <c r="M890" s="92"/>
    </row>
    <row r="891" spans="1:13" s="45" customFormat="1" ht="8.5500000000000007" customHeight="1" x14ac:dyDescent="0.2">
      <c r="A891" s="43"/>
      <c r="B891" s="156" t="s">
        <v>180</v>
      </c>
      <c r="C891" s="156"/>
      <c r="D891" s="156"/>
      <c r="E891" s="156"/>
      <c r="F891" s="157"/>
      <c r="G891" s="199">
        <v>1976</v>
      </c>
      <c r="H891" s="167">
        <v>55</v>
      </c>
      <c r="I891" s="160"/>
      <c r="J891" s="211"/>
      <c r="K891" s="164">
        <v>1</v>
      </c>
      <c r="L891" s="91"/>
      <c r="M891" s="92"/>
    </row>
    <row r="892" spans="1:13" s="45" customFormat="1" ht="8.5500000000000007" customHeight="1" x14ac:dyDescent="0.2">
      <c r="A892" s="43"/>
      <c r="B892" s="158"/>
      <c r="C892" s="158"/>
      <c r="D892" s="158"/>
      <c r="E892" s="158"/>
      <c r="F892" s="159"/>
      <c r="G892" s="200"/>
      <c r="H892" s="168"/>
      <c r="I892" s="161"/>
      <c r="J892" s="168"/>
      <c r="K892" s="165"/>
      <c r="L892" s="91"/>
      <c r="M892" s="92"/>
    </row>
    <row r="893" spans="1:13" s="45" customFormat="1" ht="8.5500000000000007" customHeight="1" x14ac:dyDescent="0.2">
      <c r="A893" s="43"/>
      <c r="B893" s="156" t="s">
        <v>180</v>
      </c>
      <c r="C893" s="156"/>
      <c r="D893" s="156"/>
      <c r="E893" s="156"/>
      <c r="F893" s="157"/>
      <c r="G893" s="199">
        <v>1979</v>
      </c>
      <c r="H893" s="160"/>
      <c r="I893" s="160"/>
      <c r="J893" s="211"/>
      <c r="K893" s="164">
        <v>1</v>
      </c>
      <c r="L893" s="91"/>
      <c r="M893" s="92"/>
    </row>
    <row r="894" spans="1:13" s="45" customFormat="1" ht="8.5500000000000007" customHeight="1" x14ac:dyDescent="0.2">
      <c r="A894" s="43"/>
      <c r="B894" s="158"/>
      <c r="C894" s="158"/>
      <c r="D894" s="158"/>
      <c r="E894" s="158"/>
      <c r="F894" s="159"/>
      <c r="G894" s="200"/>
      <c r="H894" s="161"/>
      <c r="I894" s="161"/>
      <c r="J894" s="168"/>
      <c r="K894" s="165"/>
      <c r="L894" s="91"/>
      <c r="M894" s="92"/>
    </row>
    <row r="895" spans="1:13" s="45" customFormat="1" ht="8.5500000000000007" customHeight="1" x14ac:dyDescent="0.2">
      <c r="A895" s="43"/>
      <c r="B895" s="201" t="s">
        <v>180</v>
      </c>
      <c r="C895" s="201"/>
      <c r="D895" s="201"/>
      <c r="E895" s="201"/>
      <c r="F895" s="202"/>
      <c r="G895" s="199">
        <v>1989</v>
      </c>
      <c r="H895" s="167">
        <v>94</v>
      </c>
      <c r="I895" s="160">
        <v>95</v>
      </c>
      <c r="J895" s="211" t="s">
        <v>124</v>
      </c>
      <c r="K895" s="164">
        <v>3</v>
      </c>
      <c r="L895" s="91"/>
      <c r="M895" s="92"/>
    </row>
    <row r="896" spans="1:13" s="45" customFormat="1" ht="8.5500000000000007" customHeight="1" x14ac:dyDescent="0.2">
      <c r="A896" s="43"/>
      <c r="B896" s="158"/>
      <c r="C896" s="158"/>
      <c r="D896" s="158"/>
      <c r="E896" s="158"/>
      <c r="F896" s="159"/>
      <c r="G896" s="200"/>
      <c r="H896" s="168"/>
      <c r="I896" s="161"/>
      <c r="J896" s="168"/>
      <c r="K896" s="165"/>
      <c r="L896" s="91"/>
      <c r="M896" s="92"/>
    </row>
    <row r="897" spans="1:13" s="45" customFormat="1" ht="8.5500000000000007" customHeight="1" x14ac:dyDescent="0.2">
      <c r="A897" s="43"/>
      <c r="B897" s="156" t="s">
        <v>1921</v>
      </c>
      <c r="C897" s="156"/>
      <c r="D897" s="156"/>
      <c r="E897" s="156"/>
      <c r="F897" s="157"/>
      <c r="G897" s="199">
        <v>1989</v>
      </c>
      <c r="H897" s="167">
        <v>94</v>
      </c>
      <c r="I897" s="160">
        <v>95</v>
      </c>
      <c r="J897" s="211" t="s">
        <v>124</v>
      </c>
      <c r="K897" s="164">
        <v>1</v>
      </c>
      <c r="L897" s="91"/>
      <c r="M897" s="92"/>
    </row>
    <row r="898" spans="1:13" s="45" customFormat="1" ht="8.5500000000000007" customHeight="1" x14ac:dyDescent="0.2">
      <c r="A898" s="43"/>
      <c r="B898" s="158"/>
      <c r="C898" s="158"/>
      <c r="D898" s="158"/>
      <c r="E898" s="158"/>
      <c r="F898" s="159"/>
      <c r="G898" s="200"/>
      <c r="H898" s="168"/>
      <c r="I898" s="161"/>
      <c r="J898" s="168"/>
      <c r="K898" s="165"/>
      <c r="L898" s="91"/>
      <c r="M898" s="92"/>
    </row>
    <row r="899" spans="1:13" s="45" customFormat="1" ht="8.5500000000000007" customHeight="1" x14ac:dyDescent="0.2">
      <c r="A899" s="43"/>
      <c r="B899" s="156" t="s">
        <v>180</v>
      </c>
      <c r="C899" s="156"/>
      <c r="D899" s="156"/>
      <c r="E899" s="156"/>
      <c r="F899" s="157"/>
      <c r="G899" s="199">
        <v>1990</v>
      </c>
      <c r="H899" s="167">
        <v>99</v>
      </c>
      <c r="I899" s="160">
        <v>93</v>
      </c>
      <c r="J899" s="169" t="s">
        <v>227</v>
      </c>
      <c r="K899" s="164">
        <v>2</v>
      </c>
      <c r="L899" s="91"/>
      <c r="M899" s="92"/>
    </row>
    <row r="900" spans="1:13" s="45" customFormat="1" ht="8.5500000000000007" customHeight="1" x14ac:dyDescent="0.2">
      <c r="A900" s="43"/>
      <c r="B900" s="158"/>
      <c r="C900" s="158"/>
      <c r="D900" s="158"/>
      <c r="E900" s="158"/>
      <c r="F900" s="159"/>
      <c r="G900" s="200"/>
      <c r="H900" s="168"/>
      <c r="I900" s="161"/>
      <c r="J900" s="168"/>
      <c r="K900" s="165"/>
      <c r="L900" s="91"/>
      <c r="M900" s="92"/>
    </row>
    <row r="901" spans="1:13" s="45" customFormat="1" ht="8.5500000000000007" customHeight="1" x14ac:dyDescent="0.2">
      <c r="A901" s="43"/>
      <c r="B901" s="156" t="s">
        <v>180</v>
      </c>
      <c r="C901" s="156"/>
      <c r="D901" s="156"/>
      <c r="E901" s="156"/>
      <c r="F901" s="157"/>
      <c r="G901" s="199">
        <v>1995</v>
      </c>
      <c r="H901" s="167" t="s">
        <v>628</v>
      </c>
      <c r="I901" s="160">
        <v>95</v>
      </c>
      <c r="J901" s="211" t="s">
        <v>321</v>
      </c>
      <c r="K901" s="164">
        <v>4</v>
      </c>
      <c r="L901" s="91"/>
      <c r="M901" s="92"/>
    </row>
    <row r="902" spans="1:13" s="45" customFormat="1" ht="8.5500000000000007" customHeight="1" x14ac:dyDescent="0.2">
      <c r="A902" s="43"/>
      <c r="B902" s="158"/>
      <c r="C902" s="158"/>
      <c r="D902" s="158"/>
      <c r="E902" s="158"/>
      <c r="F902" s="159"/>
      <c r="G902" s="200"/>
      <c r="H902" s="168"/>
      <c r="I902" s="161"/>
      <c r="J902" s="168"/>
      <c r="K902" s="165"/>
      <c r="L902" s="91"/>
      <c r="M902" s="92"/>
    </row>
    <row r="903" spans="1:13" s="45" customFormat="1" ht="8.5500000000000007" customHeight="1" x14ac:dyDescent="0.2">
      <c r="A903" s="43"/>
      <c r="B903" s="156" t="s">
        <v>180</v>
      </c>
      <c r="C903" s="156"/>
      <c r="D903" s="156"/>
      <c r="E903" s="156"/>
      <c r="F903" s="157"/>
      <c r="G903" s="199">
        <v>2000</v>
      </c>
      <c r="H903" s="167">
        <v>99</v>
      </c>
      <c r="I903" s="160">
        <v>97</v>
      </c>
      <c r="J903" s="169" t="s">
        <v>227</v>
      </c>
      <c r="K903" s="164">
        <v>4</v>
      </c>
      <c r="L903" s="91"/>
      <c r="M903" s="92"/>
    </row>
    <row r="904" spans="1:13" s="45" customFormat="1" ht="8.5500000000000007" customHeight="1" x14ac:dyDescent="0.2">
      <c r="A904" s="43"/>
      <c r="B904" s="158"/>
      <c r="C904" s="158"/>
      <c r="D904" s="158"/>
      <c r="E904" s="158"/>
      <c r="F904" s="159"/>
      <c r="G904" s="200"/>
      <c r="H904" s="168"/>
      <c r="I904" s="161"/>
      <c r="J904" s="168"/>
      <c r="K904" s="165"/>
      <c r="L904" s="91"/>
      <c r="M904" s="92"/>
    </row>
    <row r="905" spans="1:13" s="45" customFormat="1" ht="8.5500000000000007" customHeight="1" x14ac:dyDescent="0.2">
      <c r="A905" s="43"/>
      <c r="B905" s="170" t="s">
        <v>76</v>
      </c>
      <c r="C905" s="170"/>
      <c r="D905" s="170"/>
      <c r="E905" s="170"/>
      <c r="F905" s="170"/>
      <c r="G905" s="178"/>
      <c r="H905" s="47"/>
      <c r="I905" s="48"/>
      <c r="J905" s="48"/>
      <c r="K905" s="164"/>
      <c r="L905" s="91"/>
      <c r="M905" s="92"/>
    </row>
    <row r="906" spans="1:13" s="45" customFormat="1" ht="8.5500000000000007" customHeight="1" x14ac:dyDescent="0.2">
      <c r="A906" s="43"/>
      <c r="B906" s="171"/>
      <c r="C906" s="171"/>
      <c r="D906" s="171"/>
      <c r="E906" s="171"/>
      <c r="F906" s="171"/>
      <c r="G906" s="178"/>
      <c r="H906" s="54"/>
      <c r="I906" s="49"/>
      <c r="J906" s="49"/>
      <c r="K906" s="165"/>
      <c r="L906" s="91"/>
      <c r="M906" s="92"/>
    </row>
    <row r="907" spans="1:13" s="45" customFormat="1" ht="8.5500000000000007" customHeight="1" x14ac:dyDescent="0.2">
      <c r="A907" s="43"/>
      <c r="B907" s="156" t="s">
        <v>180</v>
      </c>
      <c r="C907" s="156"/>
      <c r="D907" s="156"/>
      <c r="E907" s="156"/>
      <c r="F907" s="157"/>
      <c r="G907" s="199">
        <v>2005</v>
      </c>
      <c r="H907" s="167">
        <v>100</v>
      </c>
      <c r="I907" s="160">
        <v>96</v>
      </c>
      <c r="J907" s="211" t="s">
        <v>1943</v>
      </c>
      <c r="K907" s="164">
        <v>7</v>
      </c>
      <c r="L907" s="91"/>
      <c r="M907" s="92"/>
    </row>
    <row r="908" spans="1:13" s="45" customFormat="1" ht="8.5500000000000007" customHeight="1" x14ac:dyDescent="0.2">
      <c r="A908" s="43"/>
      <c r="B908" s="158"/>
      <c r="C908" s="158"/>
      <c r="D908" s="158"/>
      <c r="E908" s="158"/>
      <c r="F908" s="159"/>
      <c r="G908" s="200"/>
      <c r="H908" s="168"/>
      <c r="I908" s="161"/>
      <c r="J908" s="168"/>
      <c r="K908" s="165"/>
      <c r="L908" s="91"/>
      <c r="M908" s="92"/>
    </row>
    <row r="909" spans="1:13" s="45" customFormat="1" ht="8.5500000000000007" customHeight="1" x14ac:dyDescent="0.2">
      <c r="A909" s="43"/>
      <c r="B909" s="156" t="s">
        <v>1921</v>
      </c>
      <c r="C909" s="156"/>
      <c r="D909" s="156"/>
      <c r="E909" s="156"/>
      <c r="F909" s="157"/>
      <c r="G909" s="199">
        <v>2006</v>
      </c>
      <c r="H909" s="167">
        <v>94</v>
      </c>
      <c r="I909" s="160"/>
      <c r="J909" s="169" t="s">
        <v>1606</v>
      </c>
      <c r="K909" s="164">
        <v>2</v>
      </c>
      <c r="L909" s="91"/>
      <c r="M909" s="92"/>
    </row>
    <row r="910" spans="1:13" s="45" customFormat="1" ht="8.5500000000000007" customHeight="1" x14ac:dyDescent="0.2">
      <c r="A910" s="43"/>
      <c r="B910" s="158"/>
      <c r="C910" s="158"/>
      <c r="D910" s="158"/>
      <c r="E910" s="158"/>
      <c r="F910" s="159"/>
      <c r="G910" s="200"/>
      <c r="H910" s="168"/>
      <c r="I910" s="161"/>
      <c r="J910" s="168"/>
      <c r="K910" s="165"/>
      <c r="L910" s="91"/>
      <c r="M910" s="92"/>
    </row>
    <row r="911" spans="1:13" s="45" customFormat="1" ht="8.5500000000000007" customHeight="1" x14ac:dyDescent="0.2">
      <c r="A911" s="43"/>
      <c r="B911" s="156" t="s">
        <v>180</v>
      </c>
      <c r="C911" s="156"/>
      <c r="D911" s="156"/>
      <c r="E911" s="156"/>
      <c r="F911" s="157"/>
      <c r="G911" s="199">
        <v>2007</v>
      </c>
      <c r="H911" s="167">
        <v>92</v>
      </c>
      <c r="I911" s="160">
        <v>88</v>
      </c>
      <c r="J911" s="211" t="s">
        <v>321</v>
      </c>
      <c r="K911" s="164">
        <v>1</v>
      </c>
      <c r="L911" s="91"/>
      <c r="M911" s="92"/>
    </row>
    <row r="912" spans="1:13" s="45" customFormat="1" ht="8.5500000000000007" customHeight="1" x14ac:dyDescent="0.2">
      <c r="A912" s="43"/>
      <c r="B912" s="158"/>
      <c r="C912" s="158"/>
      <c r="D912" s="158"/>
      <c r="E912" s="158"/>
      <c r="F912" s="159"/>
      <c r="G912" s="200"/>
      <c r="H912" s="168"/>
      <c r="I912" s="161"/>
      <c r="J912" s="168"/>
      <c r="K912" s="165"/>
      <c r="L912" s="91"/>
      <c r="M912" s="92"/>
    </row>
    <row r="913" spans="1:13" s="45" customFormat="1" ht="8.5500000000000007" customHeight="1" x14ac:dyDescent="0.2">
      <c r="A913" s="43"/>
      <c r="B913" s="156" t="s">
        <v>180</v>
      </c>
      <c r="C913" s="156"/>
      <c r="D913" s="156"/>
      <c r="E913" s="156"/>
      <c r="F913" s="157"/>
      <c r="G913" s="199">
        <v>2009</v>
      </c>
      <c r="H913" s="167">
        <v>99</v>
      </c>
      <c r="I913" s="160"/>
      <c r="J913" s="211" t="s">
        <v>1557</v>
      </c>
      <c r="K913" s="164">
        <v>4</v>
      </c>
      <c r="L913" s="91"/>
      <c r="M913" s="92"/>
    </row>
    <row r="914" spans="1:13" s="45" customFormat="1" ht="8.5500000000000007" customHeight="1" x14ac:dyDescent="0.2">
      <c r="A914" s="43"/>
      <c r="B914" s="158"/>
      <c r="C914" s="158"/>
      <c r="D914" s="158"/>
      <c r="E914" s="158"/>
      <c r="F914" s="159"/>
      <c r="G914" s="200"/>
      <c r="H914" s="168"/>
      <c r="I914" s="161"/>
      <c r="J914" s="168"/>
      <c r="K914" s="165"/>
      <c r="L914" s="91"/>
      <c r="M914" s="92"/>
    </row>
    <row r="915" spans="1:13" s="45" customFormat="1" ht="8.5500000000000007" customHeight="1" x14ac:dyDescent="0.2">
      <c r="A915" s="43"/>
      <c r="B915" s="156" t="s">
        <v>180</v>
      </c>
      <c r="C915" s="156"/>
      <c r="D915" s="156"/>
      <c r="E915" s="156"/>
      <c r="F915" s="157"/>
      <c r="G915" s="199">
        <v>2012</v>
      </c>
      <c r="H915" s="167">
        <v>94</v>
      </c>
      <c r="I915" s="160"/>
      <c r="J915" s="169" t="s">
        <v>444</v>
      </c>
      <c r="K915" s="164">
        <v>1</v>
      </c>
      <c r="L915" s="91"/>
      <c r="M915" s="92"/>
    </row>
    <row r="916" spans="1:13" s="45" customFormat="1" ht="8.5500000000000007" customHeight="1" x14ac:dyDescent="0.2">
      <c r="A916" s="43"/>
      <c r="B916" s="158"/>
      <c r="C916" s="158"/>
      <c r="D916" s="158"/>
      <c r="E916" s="158"/>
      <c r="F916" s="159"/>
      <c r="G916" s="200"/>
      <c r="H916" s="168"/>
      <c r="I916" s="161"/>
      <c r="J916" s="168"/>
      <c r="K916" s="165"/>
      <c r="L916" s="91"/>
      <c r="M916" s="92"/>
    </row>
    <row r="917" spans="1:13" s="45" customFormat="1" ht="8.5500000000000007" customHeight="1" x14ac:dyDescent="0.2">
      <c r="A917" s="43"/>
      <c r="B917" s="156" t="s">
        <v>65</v>
      </c>
      <c r="C917" s="156"/>
      <c r="D917" s="156"/>
      <c r="E917" s="156"/>
      <c r="F917" s="157"/>
      <c r="G917" s="166">
        <v>1995</v>
      </c>
      <c r="H917" s="167">
        <v>95</v>
      </c>
      <c r="I917" s="160">
        <v>93</v>
      </c>
      <c r="J917" s="211" t="s">
        <v>321</v>
      </c>
      <c r="K917" s="164">
        <v>2</v>
      </c>
      <c r="L917" s="91"/>
      <c r="M917" s="92"/>
    </row>
    <row r="918" spans="1:13" s="45" customFormat="1" ht="8.5500000000000007" customHeight="1" x14ac:dyDescent="0.2">
      <c r="A918" s="43"/>
      <c r="B918" s="158"/>
      <c r="C918" s="158"/>
      <c r="D918" s="158"/>
      <c r="E918" s="158"/>
      <c r="F918" s="159"/>
      <c r="G918" s="166"/>
      <c r="H918" s="168"/>
      <c r="I918" s="161"/>
      <c r="J918" s="168"/>
      <c r="K918" s="165"/>
      <c r="L918" s="91"/>
      <c r="M918" s="92"/>
    </row>
    <row r="919" spans="1:13" s="45" customFormat="1" ht="8.5500000000000007" customHeight="1" x14ac:dyDescent="0.2">
      <c r="A919" s="43"/>
      <c r="B919" s="156" t="s">
        <v>65</v>
      </c>
      <c r="C919" s="156"/>
      <c r="D919" s="156"/>
      <c r="E919" s="156"/>
      <c r="F919" s="157"/>
      <c r="G919" s="166">
        <v>1998</v>
      </c>
      <c r="H919" s="167">
        <v>95</v>
      </c>
      <c r="I919" s="160">
        <v>93</v>
      </c>
      <c r="J919" s="240" t="s">
        <v>69</v>
      </c>
      <c r="K919" s="164">
        <v>1</v>
      </c>
      <c r="L919" s="91"/>
      <c r="M919" s="92"/>
    </row>
    <row r="920" spans="1:13" s="45" customFormat="1" ht="8.5500000000000007" customHeight="1" x14ac:dyDescent="0.2">
      <c r="A920" s="43"/>
      <c r="B920" s="158"/>
      <c r="C920" s="158"/>
      <c r="D920" s="158"/>
      <c r="E920" s="158"/>
      <c r="F920" s="159"/>
      <c r="G920" s="166"/>
      <c r="H920" s="168"/>
      <c r="I920" s="161"/>
      <c r="J920" s="238"/>
      <c r="K920" s="165"/>
      <c r="L920" s="91"/>
      <c r="M920" s="92"/>
    </row>
    <row r="921" spans="1:13" s="45" customFormat="1" ht="8.5500000000000007" customHeight="1" x14ac:dyDescent="0.2">
      <c r="A921" s="43"/>
      <c r="B921" s="156" t="s">
        <v>65</v>
      </c>
      <c r="C921" s="156"/>
      <c r="D921" s="156"/>
      <c r="E921" s="156"/>
      <c r="F921" s="157"/>
      <c r="G921" s="166">
        <v>2000</v>
      </c>
      <c r="H921" s="167">
        <v>95</v>
      </c>
      <c r="I921" s="160"/>
      <c r="J921" s="240" t="s">
        <v>69</v>
      </c>
      <c r="K921" s="164">
        <v>2</v>
      </c>
      <c r="L921" s="91"/>
      <c r="M921" s="92"/>
    </row>
    <row r="922" spans="1:13" s="45" customFormat="1" ht="8.5500000000000007" customHeight="1" x14ac:dyDescent="0.2">
      <c r="A922" s="43"/>
      <c r="B922" s="158"/>
      <c r="C922" s="158"/>
      <c r="D922" s="158"/>
      <c r="E922" s="158"/>
      <c r="F922" s="159"/>
      <c r="G922" s="166"/>
      <c r="H922" s="168"/>
      <c r="I922" s="161"/>
      <c r="J922" s="238"/>
      <c r="K922" s="165"/>
      <c r="L922" s="91"/>
      <c r="M922" s="92"/>
    </row>
    <row r="923" spans="1:13" s="45" customFormat="1" ht="8.5500000000000007" customHeight="1" x14ac:dyDescent="0.2">
      <c r="A923" s="43"/>
      <c r="B923" s="156" t="s">
        <v>65</v>
      </c>
      <c r="C923" s="156"/>
      <c r="D923" s="156"/>
      <c r="E923" s="156"/>
      <c r="F923" s="157"/>
      <c r="G923" s="166">
        <v>2002</v>
      </c>
      <c r="H923" s="167">
        <v>90</v>
      </c>
      <c r="I923" s="160">
        <v>91</v>
      </c>
      <c r="J923" s="240" t="s">
        <v>1944</v>
      </c>
      <c r="K923" s="164">
        <v>1</v>
      </c>
      <c r="L923" s="91"/>
      <c r="M923" s="92"/>
    </row>
    <row r="924" spans="1:13" s="45" customFormat="1" ht="8.5500000000000007" customHeight="1" x14ac:dyDescent="0.2">
      <c r="A924" s="43"/>
      <c r="B924" s="158"/>
      <c r="C924" s="158"/>
      <c r="D924" s="158"/>
      <c r="E924" s="158"/>
      <c r="F924" s="159"/>
      <c r="G924" s="166"/>
      <c r="H924" s="168"/>
      <c r="I924" s="161"/>
      <c r="J924" s="238"/>
      <c r="K924" s="165"/>
      <c r="L924" s="91"/>
      <c r="M924" s="92"/>
    </row>
    <row r="925" spans="1:13" s="45" customFormat="1" ht="8.5500000000000007" customHeight="1" x14ac:dyDescent="0.2">
      <c r="A925" s="43"/>
      <c r="B925" s="156" t="s">
        <v>65</v>
      </c>
      <c r="C925" s="156"/>
      <c r="D925" s="156"/>
      <c r="E925" s="156"/>
      <c r="F925" s="157"/>
      <c r="G925" s="166">
        <v>2003</v>
      </c>
      <c r="H925" s="167">
        <v>86</v>
      </c>
      <c r="I925" s="160">
        <v>93</v>
      </c>
      <c r="J925" s="240" t="s">
        <v>1945</v>
      </c>
      <c r="K925" s="164">
        <v>3</v>
      </c>
      <c r="L925" s="91"/>
      <c r="M925" s="92"/>
    </row>
    <row r="926" spans="1:13" s="45" customFormat="1" ht="8.5500000000000007" customHeight="1" x14ac:dyDescent="0.2">
      <c r="A926" s="43"/>
      <c r="B926" s="158"/>
      <c r="C926" s="158"/>
      <c r="D926" s="158"/>
      <c r="E926" s="158"/>
      <c r="F926" s="159"/>
      <c r="G926" s="166"/>
      <c r="H926" s="168"/>
      <c r="I926" s="161"/>
      <c r="J926" s="238"/>
      <c r="K926" s="165"/>
      <c r="L926" s="91"/>
      <c r="M926" s="92"/>
    </row>
    <row r="927" spans="1:13" s="45" customFormat="1" ht="8.5500000000000007" customHeight="1" x14ac:dyDescent="0.2">
      <c r="A927" s="43"/>
      <c r="B927" s="156" t="s">
        <v>65</v>
      </c>
      <c r="C927" s="156"/>
      <c r="D927" s="156"/>
      <c r="E927" s="156"/>
      <c r="F927" s="157"/>
      <c r="G927" s="166">
        <v>2004</v>
      </c>
      <c r="H927" s="167">
        <v>91</v>
      </c>
      <c r="I927" s="160">
        <v>90</v>
      </c>
      <c r="J927" s="211" t="s">
        <v>1765</v>
      </c>
      <c r="K927" s="164">
        <v>1</v>
      </c>
      <c r="L927" s="91"/>
      <c r="M927" s="92"/>
    </row>
    <row r="928" spans="1:13" s="45" customFormat="1" ht="8.5500000000000007" customHeight="1" x14ac:dyDescent="0.2">
      <c r="A928" s="43"/>
      <c r="B928" s="158"/>
      <c r="C928" s="158"/>
      <c r="D928" s="158"/>
      <c r="E928" s="158"/>
      <c r="F928" s="159"/>
      <c r="G928" s="166"/>
      <c r="H928" s="168"/>
      <c r="I928" s="161"/>
      <c r="J928" s="168"/>
      <c r="K928" s="165"/>
      <c r="L928" s="91"/>
      <c r="M928" s="92"/>
    </row>
    <row r="929" spans="1:13" s="45" customFormat="1" ht="8.5500000000000007" customHeight="1" x14ac:dyDescent="0.2">
      <c r="A929" s="43"/>
      <c r="B929" s="156" t="s">
        <v>65</v>
      </c>
      <c r="C929" s="156"/>
      <c r="D929" s="156"/>
      <c r="E929" s="156"/>
      <c r="F929" s="157"/>
      <c r="G929" s="166">
        <v>2005</v>
      </c>
      <c r="H929" s="167">
        <v>95</v>
      </c>
      <c r="I929" s="160">
        <v>95</v>
      </c>
      <c r="J929" s="162" t="s">
        <v>1946</v>
      </c>
      <c r="K929" s="164">
        <v>3</v>
      </c>
      <c r="L929" s="91"/>
      <c r="M929" s="92"/>
    </row>
    <row r="930" spans="1:13" s="45" customFormat="1" ht="8.5500000000000007" customHeight="1" x14ac:dyDescent="0.2">
      <c r="A930" s="43"/>
      <c r="B930" s="158"/>
      <c r="C930" s="158"/>
      <c r="D930" s="158"/>
      <c r="E930" s="158"/>
      <c r="F930" s="159"/>
      <c r="G930" s="166"/>
      <c r="H930" s="168"/>
      <c r="I930" s="161"/>
      <c r="J930" s="163"/>
      <c r="K930" s="165"/>
      <c r="L930" s="91"/>
      <c r="M930" s="92"/>
    </row>
    <row r="931" spans="1:13" s="45" customFormat="1" ht="8.5500000000000007" customHeight="1" x14ac:dyDescent="0.2">
      <c r="A931" s="43"/>
      <c r="B931" s="156" t="s">
        <v>65</v>
      </c>
      <c r="C931" s="156"/>
      <c r="D931" s="156"/>
      <c r="E931" s="156"/>
      <c r="F931" s="157"/>
      <c r="G931" s="166">
        <v>2006</v>
      </c>
      <c r="H931" s="167">
        <v>91</v>
      </c>
      <c r="I931" s="160">
        <v>92</v>
      </c>
      <c r="J931" s="211" t="s">
        <v>1947</v>
      </c>
      <c r="K931" s="164">
        <v>1</v>
      </c>
      <c r="L931" s="91"/>
      <c r="M931" s="92"/>
    </row>
    <row r="932" spans="1:13" s="45" customFormat="1" ht="8.5500000000000007" customHeight="1" x14ac:dyDescent="0.2">
      <c r="A932" s="43"/>
      <c r="B932" s="158"/>
      <c r="C932" s="158"/>
      <c r="D932" s="158"/>
      <c r="E932" s="158"/>
      <c r="F932" s="159"/>
      <c r="G932" s="166"/>
      <c r="H932" s="168"/>
      <c r="I932" s="161"/>
      <c r="J932" s="168"/>
      <c r="K932" s="165"/>
      <c r="L932" s="91"/>
      <c r="M932" s="92"/>
    </row>
    <row r="933" spans="1:13" s="45" customFormat="1" ht="8.5500000000000007" customHeight="1" x14ac:dyDescent="0.2">
      <c r="A933" s="43"/>
      <c r="B933" s="205" t="s">
        <v>1517</v>
      </c>
      <c r="C933" s="205"/>
      <c r="D933" s="205"/>
      <c r="E933" s="205"/>
      <c r="F933" s="173"/>
      <c r="G933" s="166">
        <v>2000</v>
      </c>
      <c r="H933" s="167"/>
      <c r="I933" s="160">
        <v>93</v>
      </c>
      <c r="J933" s="160"/>
      <c r="K933" s="164">
        <v>1</v>
      </c>
      <c r="L933" s="91"/>
      <c r="M933" s="92"/>
    </row>
    <row r="934" spans="1:13" s="45" customFormat="1" ht="8.5500000000000007" customHeight="1" x14ac:dyDescent="0.2">
      <c r="A934" s="43"/>
      <c r="B934" s="174"/>
      <c r="C934" s="174"/>
      <c r="D934" s="174"/>
      <c r="E934" s="174"/>
      <c r="F934" s="175"/>
      <c r="G934" s="166"/>
      <c r="H934" s="168"/>
      <c r="I934" s="161"/>
      <c r="J934" s="161"/>
      <c r="K934" s="165"/>
      <c r="L934" s="91"/>
      <c r="M934" s="92"/>
    </row>
    <row r="935" spans="1:13" s="45" customFormat="1" ht="8.5500000000000007" customHeight="1" x14ac:dyDescent="0.2">
      <c r="A935" s="43"/>
      <c r="B935" s="156" t="s">
        <v>20</v>
      </c>
      <c r="C935" s="156"/>
      <c r="D935" s="156"/>
      <c r="E935" s="156"/>
      <c r="F935" s="157"/>
      <c r="G935" s="166">
        <v>1996</v>
      </c>
      <c r="H935" s="167">
        <v>97</v>
      </c>
      <c r="I935" s="160">
        <v>89</v>
      </c>
      <c r="J935" s="211" t="s">
        <v>1948</v>
      </c>
      <c r="K935" s="164">
        <v>3</v>
      </c>
      <c r="L935" s="91"/>
      <c r="M935" s="92"/>
    </row>
    <row r="936" spans="1:13" s="45" customFormat="1" ht="8.5500000000000007" customHeight="1" x14ac:dyDescent="0.2">
      <c r="A936" s="43"/>
      <c r="B936" s="158"/>
      <c r="C936" s="158"/>
      <c r="D936" s="158"/>
      <c r="E936" s="158"/>
      <c r="F936" s="159"/>
      <c r="G936" s="166"/>
      <c r="H936" s="168"/>
      <c r="I936" s="161"/>
      <c r="J936" s="168"/>
      <c r="K936" s="165"/>
      <c r="L936" s="91"/>
      <c r="M936" s="92"/>
    </row>
    <row r="937" spans="1:13" s="45" customFormat="1" ht="8.5500000000000007" customHeight="1" x14ac:dyDescent="0.2">
      <c r="A937" s="43"/>
      <c r="B937" s="156" t="s">
        <v>746</v>
      </c>
      <c r="C937" s="156"/>
      <c r="D937" s="156"/>
      <c r="E937" s="156"/>
      <c r="F937" s="157"/>
      <c r="G937" s="166">
        <v>1996</v>
      </c>
      <c r="H937" s="167">
        <v>97</v>
      </c>
      <c r="I937" s="160">
        <v>89</v>
      </c>
      <c r="J937" s="211" t="s">
        <v>1948</v>
      </c>
      <c r="K937" s="164">
        <v>1</v>
      </c>
      <c r="L937" s="91"/>
      <c r="M937" s="92"/>
    </row>
    <row r="938" spans="1:13" s="45" customFormat="1" ht="8.5500000000000007" customHeight="1" x14ac:dyDescent="0.2">
      <c r="A938" s="43"/>
      <c r="B938" s="158"/>
      <c r="C938" s="158"/>
      <c r="D938" s="158"/>
      <c r="E938" s="158"/>
      <c r="F938" s="159"/>
      <c r="G938" s="166"/>
      <c r="H938" s="168"/>
      <c r="I938" s="161"/>
      <c r="J938" s="168"/>
      <c r="K938" s="165"/>
      <c r="L938" s="91"/>
      <c r="M938" s="92"/>
    </row>
    <row r="939" spans="1:13" s="45" customFormat="1" ht="8.5500000000000007" customHeight="1" x14ac:dyDescent="0.2">
      <c r="A939" s="43"/>
      <c r="B939" s="156" t="s">
        <v>20</v>
      </c>
      <c r="C939" s="156"/>
      <c r="D939" s="156"/>
      <c r="E939" s="156"/>
      <c r="F939" s="157"/>
      <c r="G939" s="166">
        <v>1998</v>
      </c>
      <c r="H939" s="167">
        <v>96</v>
      </c>
      <c r="I939" s="160">
        <v>98</v>
      </c>
      <c r="J939" s="237" t="s">
        <v>329</v>
      </c>
      <c r="K939" s="164">
        <v>7</v>
      </c>
      <c r="L939" s="91"/>
      <c r="M939" s="92"/>
    </row>
    <row r="940" spans="1:13" s="45" customFormat="1" ht="8.5500000000000007" customHeight="1" x14ac:dyDescent="0.2">
      <c r="A940" s="43"/>
      <c r="B940" s="158"/>
      <c r="C940" s="158"/>
      <c r="D940" s="158"/>
      <c r="E940" s="158"/>
      <c r="F940" s="159"/>
      <c r="G940" s="166"/>
      <c r="H940" s="168"/>
      <c r="I940" s="161"/>
      <c r="J940" s="238"/>
      <c r="K940" s="165"/>
      <c r="L940" s="91"/>
      <c r="M940" s="92"/>
    </row>
    <row r="941" spans="1:13" s="45" customFormat="1" ht="8.5500000000000007" customHeight="1" x14ac:dyDescent="0.2">
      <c r="A941" s="43"/>
      <c r="B941" s="156" t="s">
        <v>20</v>
      </c>
      <c r="C941" s="156"/>
      <c r="D941" s="156"/>
      <c r="E941" s="156"/>
      <c r="F941" s="157"/>
      <c r="G941" s="166">
        <v>2000</v>
      </c>
      <c r="H941" s="167" t="s">
        <v>629</v>
      </c>
      <c r="I941" s="160">
        <v>95</v>
      </c>
      <c r="J941" s="237" t="s">
        <v>67</v>
      </c>
      <c r="K941" s="164">
        <v>4</v>
      </c>
      <c r="L941" s="91"/>
      <c r="M941" s="92"/>
    </row>
    <row r="942" spans="1:13" s="45" customFormat="1" ht="8.5500000000000007" customHeight="1" x14ac:dyDescent="0.2">
      <c r="A942" s="43"/>
      <c r="B942" s="158"/>
      <c r="C942" s="158"/>
      <c r="D942" s="158"/>
      <c r="E942" s="158"/>
      <c r="F942" s="159"/>
      <c r="G942" s="166"/>
      <c r="H942" s="168"/>
      <c r="I942" s="161"/>
      <c r="J942" s="238"/>
      <c r="K942" s="165"/>
      <c r="L942" s="91"/>
      <c r="M942" s="92"/>
    </row>
    <row r="943" spans="1:13" s="45" customFormat="1" ht="8.5500000000000007" customHeight="1" x14ac:dyDescent="0.2">
      <c r="A943" s="43"/>
      <c r="B943" s="156" t="s">
        <v>746</v>
      </c>
      <c r="C943" s="156"/>
      <c r="D943" s="156"/>
      <c r="E943" s="156"/>
      <c r="F943" s="157"/>
      <c r="G943" s="166">
        <v>2000</v>
      </c>
      <c r="H943" s="167" t="s">
        <v>629</v>
      </c>
      <c r="I943" s="160">
        <v>95</v>
      </c>
      <c r="J943" s="237" t="s">
        <v>67</v>
      </c>
      <c r="K943" s="164">
        <v>2</v>
      </c>
      <c r="L943" s="91"/>
      <c r="M943" s="92"/>
    </row>
    <row r="944" spans="1:13" s="45" customFormat="1" ht="8.5500000000000007" customHeight="1" x14ac:dyDescent="0.2">
      <c r="A944" s="43"/>
      <c r="B944" s="158"/>
      <c r="C944" s="158"/>
      <c r="D944" s="158"/>
      <c r="E944" s="158"/>
      <c r="F944" s="159"/>
      <c r="G944" s="166"/>
      <c r="H944" s="168"/>
      <c r="I944" s="161"/>
      <c r="J944" s="238"/>
      <c r="K944" s="165"/>
      <c r="L944" s="91"/>
      <c r="M944" s="92"/>
    </row>
    <row r="945" spans="1:13" s="45" customFormat="1" ht="8.5500000000000007" customHeight="1" x14ac:dyDescent="0.2">
      <c r="A945" s="43"/>
      <c r="B945" s="156" t="s">
        <v>20</v>
      </c>
      <c r="C945" s="156"/>
      <c r="D945" s="156"/>
      <c r="E945" s="156"/>
      <c r="F945" s="157"/>
      <c r="G945" s="166">
        <v>2001</v>
      </c>
      <c r="H945" s="167">
        <v>94</v>
      </c>
      <c r="I945" s="160">
        <v>93</v>
      </c>
      <c r="J945" s="211" t="s">
        <v>1949</v>
      </c>
      <c r="K945" s="164">
        <v>2</v>
      </c>
      <c r="L945" s="91"/>
      <c r="M945" s="92"/>
    </row>
    <row r="946" spans="1:13" s="45" customFormat="1" ht="8.5500000000000007" customHeight="1" x14ac:dyDescent="0.2">
      <c r="A946" s="43"/>
      <c r="B946" s="158"/>
      <c r="C946" s="158"/>
      <c r="D946" s="158"/>
      <c r="E946" s="158"/>
      <c r="F946" s="159"/>
      <c r="G946" s="166"/>
      <c r="H946" s="168"/>
      <c r="I946" s="161"/>
      <c r="J946" s="168"/>
      <c r="K946" s="165"/>
      <c r="L946" s="91"/>
      <c r="M946" s="92"/>
    </row>
    <row r="947" spans="1:13" s="45" customFormat="1" ht="8.5500000000000007" customHeight="1" x14ac:dyDescent="0.2">
      <c r="A947" s="43"/>
      <c r="B947" s="156" t="s">
        <v>20</v>
      </c>
      <c r="C947" s="156"/>
      <c r="D947" s="156"/>
      <c r="E947" s="156"/>
      <c r="F947" s="157"/>
      <c r="G947" s="166">
        <v>2003</v>
      </c>
      <c r="H947" s="167">
        <v>96</v>
      </c>
      <c r="I947" s="160">
        <v>94</v>
      </c>
      <c r="J947" s="237" t="s">
        <v>251</v>
      </c>
      <c r="K947" s="164">
        <v>5</v>
      </c>
      <c r="L947" s="91"/>
      <c r="M947" s="92"/>
    </row>
    <row r="948" spans="1:13" s="45" customFormat="1" ht="8.5500000000000007" customHeight="1" x14ac:dyDescent="0.2">
      <c r="A948" s="43"/>
      <c r="B948" s="158"/>
      <c r="C948" s="158"/>
      <c r="D948" s="158"/>
      <c r="E948" s="158"/>
      <c r="F948" s="159"/>
      <c r="G948" s="166"/>
      <c r="H948" s="168"/>
      <c r="I948" s="161"/>
      <c r="J948" s="238"/>
      <c r="K948" s="165"/>
      <c r="L948" s="91"/>
      <c r="M948" s="92"/>
    </row>
    <row r="949" spans="1:13" s="45" customFormat="1" ht="8.5500000000000007" customHeight="1" x14ac:dyDescent="0.2">
      <c r="A949" s="43"/>
      <c r="B949" s="156" t="s">
        <v>20</v>
      </c>
      <c r="C949" s="156"/>
      <c r="D949" s="156"/>
      <c r="E949" s="156"/>
      <c r="F949" s="157"/>
      <c r="G949" s="166">
        <v>2005</v>
      </c>
      <c r="H949" s="167">
        <v>99</v>
      </c>
      <c r="I949" s="160">
        <v>97</v>
      </c>
      <c r="J949" s="162" t="s">
        <v>0</v>
      </c>
      <c r="K949" s="164">
        <v>4</v>
      </c>
      <c r="L949" s="91"/>
      <c r="M949" s="92"/>
    </row>
    <row r="950" spans="1:13" s="45" customFormat="1" ht="8.5500000000000007" customHeight="1" x14ac:dyDescent="0.2">
      <c r="A950" s="43"/>
      <c r="B950" s="158"/>
      <c r="C950" s="158"/>
      <c r="D950" s="158"/>
      <c r="E950" s="158"/>
      <c r="F950" s="159"/>
      <c r="G950" s="166"/>
      <c r="H950" s="168"/>
      <c r="I950" s="161"/>
      <c r="J950" s="163"/>
      <c r="K950" s="165"/>
      <c r="L950" s="91"/>
      <c r="M950" s="92"/>
    </row>
    <row r="951" spans="1:13" s="45" customFormat="1" ht="8.5500000000000007" customHeight="1" x14ac:dyDescent="0.2">
      <c r="A951" s="43"/>
      <c r="B951" s="156" t="s">
        <v>20</v>
      </c>
      <c r="C951" s="156"/>
      <c r="D951" s="156"/>
      <c r="E951" s="156"/>
      <c r="F951" s="157"/>
      <c r="G951" s="166">
        <v>2006</v>
      </c>
      <c r="H951" s="167">
        <v>93</v>
      </c>
      <c r="I951" s="160">
        <v>93</v>
      </c>
      <c r="J951" s="162" t="s">
        <v>267</v>
      </c>
      <c r="K951" s="164">
        <v>6</v>
      </c>
      <c r="L951" s="91"/>
      <c r="M951" s="92"/>
    </row>
    <row r="952" spans="1:13" s="45" customFormat="1" ht="8.5500000000000007" customHeight="1" x14ac:dyDescent="0.2">
      <c r="A952" s="43"/>
      <c r="B952" s="158"/>
      <c r="C952" s="158"/>
      <c r="D952" s="158"/>
      <c r="E952" s="158"/>
      <c r="F952" s="159"/>
      <c r="G952" s="166"/>
      <c r="H952" s="168"/>
      <c r="I952" s="161"/>
      <c r="J952" s="163"/>
      <c r="K952" s="165"/>
      <c r="L952" s="91"/>
      <c r="M952" s="92"/>
    </row>
    <row r="953" spans="1:13" s="45" customFormat="1" ht="8.5500000000000007" customHeight="1" x14ac:dyDescent="0.2">
      <c r="A953" s="43"/>
      <c r="B953" s="172" t="s">
        <v>753</v>
      </c>
      <c r="C953" s="172"/>
      <c r="D953" s="172"/>
      <c r="E953" s="172"/>
      <c r="F953" s="173"/>
      <c r="G953" s="166">
        <v>1961</v>
      </c>
      <c r="H953" s="167">
        <v>95</v>
      </c>
      <c r="I953" s="160"/>
      <c r="J953" s="162"/>
      <c r="K953" s="164">
        <v>1</v>
      </c>
      <c r="L953" s="91"/>
      <c r="M953" s="92"/>
    </row>
    <row r="954" spans="1:13" s="45" customFormat="1" ht="8.5500000000000007" customHeight="1" x14ac:dyDescent="0.2">
      <c r="A954" s="43"/>
      <c r="B954" s="174"/>
      <c r="C954" s="174"/>
      <c r="D954" s="174"/>
      <c r="E954" s="174"/>
      <c r="F954" s="175"/>
      <c r="G954" s="166"/>
      <c r="H954" s="168"/>
      <c r="I954" s="161"/>
      <c r="J954" s="163"/>
      <c r="K954" s="165"/>
      <c r="L954" s="91"/>
      <c r="M954" s="92"/>
    </row>
    <row r="955" spans="1:13" s="45" customFormat="1" ht="8.5500000000000007" customHeight="1" x14ac:dyDescent="0.2">
      <c r="A955" s="43"/>
      <c r="B955" s="156" t="s">
        <v>753</v>
      </c>
      <c r="C955" s="156"/>
      <c r="D955" s="156"/>
      <c r="E955" s="156"/>
      <c r="F955" s="157"/>
      <c r="G955" s="166">
        <v>1982</v>
      </c>
      <c r="H955" s="167">
        <v>92</v>
      </c>
      <c r="I955" s="160">
        <v>93</v>
      </c>
      <c r="J955" s="211" t="s">
        <v>1950</v>
      </c>
      <c r="K955" s="164">
        <v>3</v>
      </c>
      <c r="L955" s="91"/>
      <c r="M955" s="92"/>
    </row>
    <row r="956" spans="1:13" s="45" customFormat="1" ht="8.5500000000000007" customHeight="1" x14ac:dyDescent="0.2">
      <c r="A956" s="43"/>
      <c r="B956" s="158"/>
      <c r="C956" s="158"/>
      <c r="D956" s="158"/>
      <c r="E956" s="158"/>
      <c r="F956" s="159"/>
      <c r="G956" s="166"/>
      <c r="H956" s="168"/>
      <c r="I956" s="161"/>
      <c r="J956" s="168"/>
      <c r="K956" s="165"/>
      <c r="L956" s="91"/>
      <c r="M956" s="92"/>
    </row>
    <row r="957" spans="1:13" s="45" customFormat="1" ht="8.5500000000000007" customHeight="1" x14ac:dyDescent="0.2">
      <c r="A957" s="43"/>
      <c r="B957" s="156" t="s">
        <v>753</v>
      </c>
      <c r="C957" s="156"/>
      <c r="D957" s="156"/>
      <c r="E957" s="156"/>
      <c r="F957" s="157"/>
      <c r="G957" s="166">
        <v>2009</v>
      </c>
      <c r="H957" s="167">
        <v>94</v>
      </c>
      <c r="I957" s="160"/>
      <c r="J957" s="162" t="s">
        <v>227</v>
      </c>
      <c r="K957" s="164">
        <v>3</v>
      </c>
      <c r="L957" s="91"/>
      <c r="M957" s="92"/>
    </row>
    <row r="958" spans="1:13" s="45" customFormat="1" ht="8.5500000000000007" customHeight="1" x14ac:dyDescent="0.2">
      <c r="A958" s="43"/>
      <c r="B958" s="158"/>
      <c r="C958" s="158"/>
      <c r="D958" s="158"/>
      <c r="E958" s="158"/>
      <c r="F958" s="159"/>
      <c r="G958" s="166"/>
      <c r="H958" s="168"/>
      <c r="I958" s="161"/>
      <c r="J958" s="163"/>
      <c r="K958" s="165"/>
      <c r="L958" s="91"/>
      <c r="M958" s="92"/>
    </row>
    <row r="959" spans="1:13" s="45" customFormat="1" ht="8.5500000000000007" customHeight="1" x14ac:dyDescent="0.2">
      <c r="A959" s="43"/>
      <c r="B959" s="156" t="s">
        <v>21</v>
      </c>
      <c r="C959" s="156"/>
      <c r="D959" s="156"/>
      <c r="E959" s="156"/>
      <c r="F959" s="157"/>
      <c r="G959" s="166">
        <v>2007</v>
      </c>
      <c r="H959" s="167"/>
      <c r="I959" s="239"/>
      <c r="J959" s="169"/>
      <c r="K959" s="164">
        <v>1</v>
      </c>
      <c r="L959" s="91"/>
      <c r="M959" s="92"/>
    </row>
    <row r="960" spans="1:13" s="45" customFormat="1" ht="8.5500000000000007" customHeight="1" x14ac:dyDescent="0.2">
      <c r="A960" s="43"/>
      <c r="B960" s="158"/>
      <c r="C960" s="158"/>
      <c r="D960" s="158"/>
      <c r="E960" s="158"/>
      <c r="F960" s="159"/>
      <c r="G960" s="166"/>
      <c r="H960" s="168"/>
      <c r="I960" s="161"/>
      <c r="J960" s="168"/>
      <c r="K960" s="165"/>
      <c r="L960" s="91"/>
      <c r="M960" s="92"/>
    </row>
    <row r="961" spans="1:13" s="45" customFormat="1" ht="8.5500000000000007" customHeight="1" x14ac:dyDescent="0.2">
      <c r="A961" s="43"/>
      <c r="B961" s="170" t="s">
        <v>76</v>
      </c>
      <c r="C961" s="170"/>
      <c r="D961" s="170"/>
      <c r="E961" s="170"/>
      <c r="F961" s="170"/>
      <c r="G961" s="178"/>
      <c r="H961" s="47"/>
      <c r="I961" s="48"/>
      <c r="J961" s="48"/>
      <c r="K961" s="164"/>
      <c r="L961" s="91"/>
      <c r="M961" s="92"/>
    </row>
    <row r="962" spans="1:13" s="45" customFormat="1" ht="8.5500000000000007" customHeight="1" x14ac:dyDescent="0.2">
      <c r="A962" s="43"/>
      <c r="B962" s="171"/>
      <c r="C962" s="171"/>
      <c r="D962" s="171"/>
      <c r="E962" s="171"/>
      <c r="F962" s="171"/>
      <c r="G962" s="178"/>
      <c r="H962" s="54"/>
      <c r="I962" s="49"/>
      <c r="J962" s="49"/>
      <c r="K962" s="165"/>
      <c r="L962" s="91"/>
      <c r="M962" s="92"/>
    </row>
    <row r="963" spans="1:13" s="45" customFormat="1" ht="8.5500000000000007" customHeight="1" x14ac:dyDescent="0.2">
      <c r="A963" s="43"/>
      <c r="B963" s="156" t="s">
        <v>178</v>
      </c>
      <c r="C963" s="156"/>
      <c r="D963" s="156"/>
      <c r="E963" s="156"/>
      <c r="F963" s="157"/>
      <c r="G963" s="166">
        <v>1999</v>
      </c>
      <c r="H963" s="167">
        <v>94</v>
      </c>
      <c r="I963" s="160">
        <v>89</v>
      </c>
      <c r="J963" s="211" t="s">
        <v>234</v>
      </c>
      <c r="K963" s="164">
        <v>1</v>
      </c>
      <c r="L963" s="91"/>
      <c r="M963" s="92"/>
    </row>
    <row r="964" spans="1:13" s="45" customFormat="1" ht="8.5500000000000007" customHeight="1" x14ac:dyDescent="0.2">
      <c r="A964" s="43"/>
      <c r="B964" s="158"/>
      <c r="C964" s="158"/>
      <c r="D964" s="158"/>
      <c r="E964" s="158"/>
      <c r="F964" s="159"/>
      <c r="G964" s="166"/>
      <c r="H964" s="168"/>
      <c r="I964" s="161"/>
      <c r="J964" s="168"/>
      <c r="K964" s="165"/>
      <c r="L964" s="91"/>
      <c r="M964" s="92"/>
    </row>
    <row r="965" spans="1:13" s="45" customFormat="1" ht="8.5500000000000007" customHeight="1" x14ac:dyDescent="0.2">
      <c r="A965" s="43"/>
      <c r="B965" s="156" t="s">
        <v>1126</v>
      </c>
      <c r="C965" s="156"/>
      <c r="D965" s="156"/>
      <c r="E965" s="156"/>
      <c r="F965" s="157"/>
      <c r="G965" s="166">
        <v>2003</v>
      </c>
      <c r="H965" s="167">
        <v>97</v>
      </c>
      <c r="I965" s="160"/>
      <c r="J965" s="162" t="s">
        <v>95</v>
      </c>
      <c r="K965" s="164">
        <v>1</v>
      </c>
      <c r="L965" s="91"/>
      <c r="M965" s="92"/>
    </row>
    <row r="966" spans="1:13" s="45" customFormat="1" ht="8.5500000000000007" customHeight="1" x14ac:dyDescent="0.2">
      <c r="A966" s="43"/>
      <c r="B966" s="158"/>
      <c r="C966" s="158"/>
      <c r="D966" s="158"/>
      <c r="E966" s="158"/>
      <c r="F966" s="159"/>
      <c r="G966" s="166"/>
      <c r="H966" s="168"/>
      <c r="I966" s="161"/>
      <c r="J966" s="163"/>
      <c r="K966" s="165"/>
      <c r="L966" s="91"/>
      <c r="M966" s="92"/>
    </row>
    <row r="967" spans="1:13" s="45" customFormat="1" ht="8.5500000000000007" customHeight="1" x14ac:dyDescent="0.2">
      <c r="A967" s="43"/>
      <c r="B967" s="156" t="s">
        <v>72</v>
      </c>
      <c r="C967" s="156"/>
      <c r="D967" s="156"/>
      <c r="E967" s="156"/>
      <c r="F967" s="157"/>
      <c r="G967" s="166">
        <v>2005</v>
      </c>
      <c r="H967" s="167" t="s">
        <v>1951</v>
      </c>
      <c r="I967" s="160"/>
      <c r="J967" s="162" t="s">
        <v>263</v>
      </c>
      <c r="K967" s="164">
        <v>4</v>
      </c>
      <c r="L967" s="91"/>
      <c r="M967" s="92"/>
    </row>
    <row r="968" spans="1:13" s="45" customFormat="1" ht="8.5500000000000007" customHeight="1" x14ac:dyDescent="0.2">
      <c r="A968" s="43"/>
      <c r="B968" s="158"/>
      <c r="C968" s="158"/>
      <c r="D968" s="158"/>
      <c r="E968" s="158"/>
      <c r="F968" s="159"/>
      <c r="G968" s="166"/>
      <c r="H968" s="168"/>
      <c r="I968" s="161"/>
      <c r="J968" s="163"/>
      <c r="K968" s="165"/>
      <c r="L968" s="91"/>
      <c r="M968" s="92"/>
    </row>
    <row r="969" spans="1:13" s="45" customFormat="1" ht="8.5500000000000007" customHeight="1" x14ac:dyDescent="0.2">
      <c r="A969" s="43"/>
      <c r="B969" s="156" t="s">
        <v>72</v>
      </c>
      <c r="C969" s="156"/>
      <c r="D969" s="156"/>
      <c r="E969" s="156"/>
      <c r="F969" s="157"/>
      <c r="G969" s="166">
        <v>2006</v>
      </c>
      <c r="H969" s="167" t="s">
        <v>633</v>
      </c>
      <c r="I969" s="160">
        <v>91</v>
      </c>
      <c r="J969" s="169" t="s">
        <v>441</v>
      </c>
      <c r="K969" s="164">
        <v>3</v>
      </c>
      <c r="L969" s="91"/>
      <c r="M969" s="92"/>
    </row>
    <row r="970" spans="1:13" s="45" customFormat="1" ht="8.5500000000000007" customHeight="1" x14ac:dyDescent="0.2">
      <c r="A970" s="43"/>
      <c r="B970" s="158"/>
      <c r="C970" s="158"/>
      <c r="D970" s="158"/>
      <c r="E970" s="158"/>
      <c r="F970" s="159"/>
      <c r="G970" s="166"/>
      <c r="H970" s="168"/>
      <c r="I970" s="161"/>
      <c r="J970" s="168"/>
      <c r="K970" s="165"/>
      <c r="L970" s="91"/>
      <c r="M970" s="92"/>
    </row>
    <row r="971" spans="1:13" s="45" customFormat="1" ht="8.5500000000000007" customHeight="1" x14ac:dyDescent="0.2">
      <c r="A971" s="43"/>
      <c r="B971" s="156" t="s">
        <v>422</v>
      </c>
      <c r="C971" s="156"/>
      <c r="D971" s="156"/>
      <c r="E971" s="156"/>
      <c r="F971" s="157"/>
      <c r="G971" s="166">
        <v>2000</v>
      </c>
      <c r="H971" s="167">
        <v>98</v>
      </c>
      <c r="I971" s="160">
        <v>91</v>
      </c>
      <c r="J971" s="169" t="s">
        <v>250</v>
      </c>
      <c r="K971" s="164">
        <v>5</v>
      </c>
      <c r="L971" s="91"/>
      <c r="M971" s="92"/>
    </row>
    <row r="972" spans="1:13" s="45" customFormat="1" ht="8.5500000000000007" customHeight="1" x14ac:dyDescent="0.2">
      <c r="A972" s="43"/>
      <c r="B972" s="158"/>
      <c r="C972" s="158"/>
      <c r="D972" s="158"/>
      <c r="E972" s="158"/>
      <c r="F972" s="159"/>
      <c r="G972" s="166"/>
      <c r="H972" s="168"/>
      <c r="I972" s="161"/>
      <c r="J972" s="168"/>
      <c r="K972" s="165"/>
      <c r="L972" s="91"/>
      <c r="M972" s="92"/>
    </row>
    <row r="973" spans="1:13" s="45" customFormat="1" ht="8.5500000000000007" customHeight="1" x14ac:dyDescent="0.2">
      <c r="A973" s="43"/>
      <c r="B973" s="156" t="s">
        <v>11</v>
      </c>
      <c r="C973" s="156"/>
      <c r="D973" s="156"/>
      <c r="E973" s="156"/>
      <c r="F973" s="157"/>
      <c r="G973" s="166">
        <v>2000</v>
      </c>
      <c r="H973" s="167">
        <v>92</v>
      </c>
      <c r="I973" s="160">
        <v>92</v>
      </c>
      <c r="J973" s="211" t="s">
        <v>230</v>
      </c>
      <c r="K973" s="164">
        <v>1</v>
      </c>
      <c r="L973" s="91"/>
      <c r="M973" s="92"/>
    </row>
    <row r="974" spans="1:13" s="45" customFormat="1" ht="8.5500000000000007" customHeight="1" x14ac:dyDescent="0.2">
      <c r="A974" s="43"/>
      <c r="B974" s="158"/>
      <c r="C974" s="158"/>
      <c r="D974" s="158"/>
      <c r="E974" s="158"/>
      <c r="F974" s="159"/>
      <c r="G974" s="166"/>
      <c r="H974" s="168"/>
      <c r="I974" s="161"/>
      <c r="J974" s="168"/>
      <c r="K974" s="165"/>
      <c r="L974" s="91"/>
      <c r="M974" s="92"/>
    </row>
    <row r="975" spans="1:13" s="45" customFormat="1" ht="8.5500000000000007" customHeight="1" x14ac:dyDescent="0.2">
      <c r="A975" s="43"/>
      <c r="B975" s="156" t="s">
        <v>844</v>
      </c>
      <c r="C975" s="156"/>
      <c r="D975" s="156"/>
      <c r="E975" s="156"/>
      <c r="F975" s="157"/>
      <c r="G975" s="166">
        <v>1998</v>
      </c>
      <c r="H975" s="167">
        <v>94</v>
      </c>
      <c r="I975" s="160">
        <v>91</v>
      </c>
      <c r="J975" s="211" t="s">
        <v>582</v>
      </c>
      <c r="K975" s="164">
        <v>1</v>
      </c>
      <c r="L975" s="91"/>
      <c r="M975" s="92"/>
    </row>
    <row r="976" spans="1:13" s="45" customFormat="1" ht="8.5500000000000007" customHeight="1" x14ac:dyDescent="0.2">
      <c r="A976" s="43"/>
      <c r="B976" s="158"/>
      <c r="C976" s="158"/>
      <c r="D976" s="158"/>
      <c r="E976" s="158"/>
      <c r="F976" s="159"/>
      <c r="G976" s="166"/>
      <c r="H976" s="168"/>
      <c r="I976" s="161"/>
      <c r="J976" s="168"/>
      <c r="K976" s="165"/>
      <c r="L976" s="91"/>
      <c r="M976" s="92"/>
    </row>
    <row r="977" spans="1:13" s="45" customFormat="1" ht="8.5500000000000007" customHeight="1" x14ac:dyDescent="0.2">
      <c r="A977" s="43"/>
      <c r="B977" s="156" t="s">
        <v>13</v>
      </c>
      <c r="C977" s="156"/>
      <c r="D977" s="156"/>
      <c r="E977" s="156"/>
      <c r="F977" s="157"/>
      <c r="G977" s="166">
        <v>2000</v>
      </c>
      <c r="H977" s="167">
        <v>96</v>
      </c>
      <c r="I977" s="160">
        <v>92</v>
      </c>
      <c r="J977" s="211" t="s">
        <v>222</v>
      </c>
      <c r="K977" s="164">
        <v>5</v>
      </c>
      <c r="L977" s="91"/>
      <c r="M977" s="92"/>
    </row>
    <row r="978" spans="1:13" s="45" customFormat="1" ht="8.5500000000000007" customHeight="1" x14ac:dyDescent="0.2">
      <c r="A978" s="43"/>
      <c r="B978" s="158"/>
      <c r="C978" s="158"/>
      <c r="D978" s="158"/>
      <c r="E978" s="158"/>
      <c r="F978" s="159"/>
      <c r="G978" s="166"/>
      <c r="H978" s="168"/>
      <c r="I978" s="161"/>
      <c r="J978" s="168"/>
      <c r="K978" s="165"/>
      <c r="L978" s="91"/>
      <c r="M978" s="92"/>
    </row>
    <row r="979" spans="1:13" s="45" customFormat="1" ht="8.5500000000000007" customHeight="1" x14ac:dyDescent="0.2">
      <c r="A979" s="43"/>
      <c r="B979" s="156" t="s">
        <v>13</v>
      </c>
      <c r="C979" s="156"/>
      <c r="D979" s="156"/>
      <c r="E979" s="156"/>
      <c r="F979" s="157"/>
      <c r="G979" s="166">
        <v>2003</v>
      </c>
      <c r="H979" s="167">
        <v>86</v>
      </c>
      <c r="I979" s="160">
        <v>91</v>
      </c>
      <c r="J979" s="211"/>
      <c r="K979" s="164">
        <v>2</v>
      </c>
      <c r="L979" s="91"/>
      <c r="M979" s="92"/>
    </row>
    <row r="980" spans="1:13" s="45" customFormat="1" ht="8.5500000000000007" customHeight="1" x14ac:dyDescent="0.2">
      <c r="A980" s="43"/>
      <c r="B980" s="158"/>
      <c r="C980" s="158"/>
      <c r="D980" s="158"/>
      <c r="E980" s="158"/>
      <c r="F980" s="159"/>
      <c r="G980" s="166"/>
      <c r="H980" s="168"/>
      <c r="I980" s="161"/>
      <c r="J980" s="168"/>
      <c r="K980" s="165"/>
      <c r="L980" s="91"/>
      <c r="M980" s="92"/>
    </row>
    <row r="981" spans="1:13" s="45" customFormat="1" ht="8.5500000000000007" customHeight="1" x14ac:dyDescent="0.2">
      <c r="A981" s="43"/>
      <c r="B981" s="156" t="s">
        <v>13</v>
      </c>
      <c r="C981" s="156"/>
      <c r="D981" s="156"/>
      <c r="E981" s="156"/>
      <c r="F981" s="157"/>
      <c r="G981" s="166">
        <v>2005</v>
      </c>
      <c r="H981" s="167">
        <v>95</v>
      </c>
      <c r="I981" s="160">
        <v>95</v>
      </c>
      <c r="J981" s="211" t="s">
        <v>470</v>
      </c>
      <c r="K981" s="164">
        <v>3</v>
      </c>
      <c r="L981" s="91"/>
      <c r="M981" s="92"/>
    </row>
    <row r="982" spans="1:13" s="45" customFormat="1" ht="8.5500000000000007" customHeight="1" x14ac:dyDescent="0.2">
      <c r="A982" s="43"/>
      <c r="B982" s="158"/>
      <c r="C982" s="158"/>
      <c r="D982" s="158"/>
      <c r="E982" s="158"/>
      <c r="F982" s="159"/>
      <c r="G982" s="166"/>
      <c r="H982" s="168"/>
      <c r="I982" s="161"/>
      <c r="J982" s="168"/>
      <c r="K982" s="165"/>
      <c r="L982" s="91"/>
      <c r="M982" s="92"/>
    </row>
    <row r="983" spans="1:13" s="45" customFormat="1" ht="8.5500000000000007" customHeight="1" x14ac:dyDescent="0.2">
      <c r="A983" s="43"/>
      <c r="B983" s="172" t="s">
        <v>740</v>
      </c>
      <c r="C983" s="172"/>
      <c r="D983" s="172"/>
      <c r="E983" s="172"/>
      <c r="F983" s="173"/>
      <c r="G983" s="199">
        <v>1989</v>
      </c>
      <c r="H983" s="167">
        <v>95</v>
      </c>
      <c r="I983" s="160">
        <v>93</v>
      </c>
      <c r="J983" s="211" t="s">
        <v>36</v>
      </c>
      <c r="K983" s="164">
        <v>4</v>
      </c>
      <c r="L983" s="91"/>
      <c r="M983" s="92"/>
    </row>
    <row r="984" spans="1:13" s="45" customFormat="1" ht="8.5500000000000007" customHeight="1" x14ac:dyDescent="0.2">
      <c r="A984" s="43"/>
      <c r="B984" s="174"/>
      <c r="C984" s="174"/>
      <c r="D984" s="174"/>
      <c r="E984" s="174"/>
      <c r="F984" s="175"/>
      <c r="G984" s="200"/>
      <c r="H984" s="168"/>
      <c r="I984" s="161"/>
      <c r="J984" s="168"/>
      <c r="K984" s="165"/>
      <c r="L984" s="91"/>
      <c r="M984" s="92"/>
    </row>
    <row r="985" spans="1:13" s="45" customFormat="1" ht="8.5500000000000007" customHeight="1" x14ac:dyDescent="0.2">
      <c r="A985" s="43"/>
      <c r="B985" s="156" t="s">
        <v>740</v>
      </c>
      <c r="C985" s="156"/>
      <c r="D985" s="156"/>
      <c r="E985" s="156"/>
      <c r="F985" s="157"/>
      <c r="G985" s="199">
        <v>1990</v>
      </c>
      <c r="H985" s="167" t="s">
        <v>1952</v>
      </c>
      <c r="I985" s="160">
        <v>87</v>
      </c>
      <c r="J985" s="211" t="s">
        <v>239</v>
      </c>
      <c r="K985" s="164">
        <v>1</v>
      </c>
      <c r="L985" s="91"/>
      <c r="M985" s="92"/>
    </row>
    <row r="986" spans="1:13" s="45" customFormat="1" ht="8.5500000000000007" customHeight="1" x14ac:dyDescent="0.2">
      <c r="A986" s="43"/>
      <c r="B986" s="158"/>
      <c r="C986" s="158"/>
      <c r="D986" s="158"/>
      <c r="E986" s="158"/>
      <c r="F986" s="159"/>
      <c r="G986" s="200"/>
      <c r="H986" s="168"/>
      <c r="I986" s="161"/>
      <c r="J986" s="168"/>
      <c r="K986" s="165"/>
      <c r="L986" s="91"/>
      <c r="M986" s="92"/>
    </row>
    <row r="987" spans="1:13" s="45" customFormat="1" ht="8.5500000000000007" customHeight="1" x14ac:dyDescent="0.2">
      <c r="A987" s="43"/>
      <c r="B987" s="156" t="s">
        <v>407</v>
      </c>
      <c r="C987" s="156"/>
      <c r="D987" s="156"/>
      <c r="E987" s="156"/>
      <c r="F987" s="157"/>
      <c r="G987" s="199">
        <v>1990</v>
      </c>
      <c r="H987" s="167">
        <v>100</v>
      </c>
      <c r="I987" s="160">
        <v>98</v>
      </c>
      <c r="J987" s="211" t="s">
        <v>227</v>
      </c>
      <c r="K987" s="164">
        <v>4</v>
      </c>
      <c r="L987" s="91"/>
      <c r="M987" s="92"/>
    </row>
    <row r="988" spans="1:13" s="45" customFormat="1" ht="8.5500000000000007" customHeight="1" x14ac:dyDescent="0.2">
      <c r="A988" s="43"/>
      <c r="B988" s="158"/>
      <c r="C988" s="158"/>
      <c r="D988" s="158"/>
      <c r="E988" s="158"/>
      <c r="F988" s="159"/>
      <c r="G988" s="200"/>
      <c r="H988" s="168"/>
      <c r="I988" s="161"/>
      <c r="J988" s="168"/>
      <c r="K988" s="165"/>
      <c r="L988" s="91"/>
      <c r="M988" s="92"/>
    </row>
    <row r="989" spans="1:13" s="45" customFormat="1" ht="8.5500000000000007" customHeight="1" x14ac:dyDescent="0.2">
      <c r="A989" s="43"/>
      <c r="B989" s="156" t="s">
        <v>406</v>
      </c>
      <c r="C989" s="156"/>
      <c r="D989" s="156"/>
      <c r="E989" s="156"/>
      <c r="F989" s="157"/>
      <c r="G989" s="199">
        <v>2000</v>
      </c>
      <c r="H989" s="167"/>
      <c r="I989" s="160">
        <v>89</v>
      </c>
      <c r="J989" s="169"/>
      <c r="K989" s="164">
        <v>2</v>
      </c>
      <c r="L989" s="91"/>
      <c r="M989" s="92"/>
    </row>
    <row r="990" spans="1:13" s="45" customFormat="1" ht="8.5500000000000007" customHeight="1" x14ac:dyDescent="0.2">
      <c r="A990" s="43"/>
      <c r="B990" s="158"/>
      <c r="C990" s="158"/>
      <c r="D990" s="158"/>
      <c r="E990" s="158"/>
      <c r="F990" s="159"/>
      <c r="G990" s="200"/>
      <c r="H990" s="168"/>
      <c r="I990" s="161"/>
      <c r="J990" s="168"/>
      <c r="K990" s="165"/>
      <c r="L990" s="91"/>
      <c r="M990" s="92"/>
    </row>
    <row r="991" spans="1:13" s="45" customFormat="1" ht="8.5500000000000007" customHeight="1" x14ac:dyDescent="0.2">
      <c r="A991" s="43"/>
      <c r="B991" s="156" t="s">
        <v>157</v>
      </c>
      <c r="C991" s="156"/>
      <c r="D991" s="156"/>
      <c r="E991" s="156"/>
      <c r="F991" s="157"/>
      <c r="G991" s="166">
        <v>1989</v>
      </c>
      <c r="H991" s="167" t="s">
        <v>627</v>
      </c>
      <c r="I991" s="160">
        <v>93</v>
      </c>
      <c r="J991" s="169" t="s">
        <v>33</v>
      </c>
      <c r="K991" s="164">
        <v>3</v>
      </c>
      <c r="L991" s="91"/>
      <c r="M991" s="92"/>
    </row>
    <row r="992" spans="1:13" s="45" customFormat="1" ht="8.5500000000000007" customHeight="1" x14ac:dyDescent="0.2">
      <c r="A992" s="43"/>
      <c r="B992" s="158"/>
      <c r="C992" s="158"/>
      <c r="D992" s="158"/>
      <c r="E992" s="158"/>
      <c r="F992" s="159"/>
      <c r="G992" s="166"/>
      <c r="H992" s="168"/>
      <c r="I992" s="161"/>
      <c r="J992" s="168"/>
      <c r="K992" s="165"/>
      <c r="L992" s="91"/>
      <c r="M992" s="92"/>
    </row>
    <row r="993" spans="1:13" s="45" customFormat="1" ht="8.5500000000000007" customHeight="1" x14ac:dyDescent="0.2">
      <c r="A993" s="43"/>
      <c r="B993" s="156" t="s">
        <v>157</v>
      </c>
      <c r="C993" s="156"/>
      <c r="D993" s="156"/>
      <c r="E993" s="156"/>
      <c r="F993" s="157"/>
      <c r="G993" s="166">
        <v>1990</v>
      </c>
      <c r="H993" s="167">
        <v>98</v>
      </c>
      <c r="I993" s="160">
        <v>95</v>
      </c>
      <c r="J993" s="169"/>
      <c r="K993" s="164">
        <v>3</v>
      </c>
      <c r="L993" s="91"/>
      <c r="M993" s="92"/>
    </row>
    <row r="994" spans="1:13" s="45" customFormat="1" ht="8.5500000000000007" customHeight="1" x14ac:dyDescent="0.2">
      <c r="A994" s="43"/>
      <c r="B994" s="158"/>
      <c r="C994" s="158"/>
      <c r="D994" s="158"/>
      <c r="E994" s="158"/>
      <c r="F994" s="159"/>
      <c r="G994" s="166"/>
      <c r="H994" s="168"/>
      <c r="I994" s="161"/>
      <c r="J994" s="168"/>
      <c r="K994" s="165"/>
      <c r="L994" s="91"/>
      <c r="M994" s="92"/>
    </row>
    <row r="995" spans="1:13" s="45" customFormat="1" ht="8.5500000000000007" customHeight="1" x14ac:dyDescent="0.2">
      <c r="A995" s="43"/>
      <c r="B995" s="156" t="s">
        <v>157</v>
      </c>
      <c r="C995" s="156"/>
      <c r="D995" s="156"/>
      <c r="E995" s="156"/>
      <c r="F995" s="157"/>
      <c r="G995" s="166">
        <v>1994</v>
      </c>
      <c r="H995" s="167">
        <v>90</v>
      </c>
      <c r="I995" s="160"/>
      <c r="J995" s="169" t="s">
        <v>1924</v>
      </c>
      <c r="K995" s="164">
        <v>1</v>
      </c>
      <c r="L995" s="91"/>
      <c r="M995" s="92"/>
    </row>
    <row r="996" spans="1:13" s="45" customFormat="1" ht="8.5500000000000007" customHeight="1" x14ac:dyDescent="0.2">
      <c r="A996" s="43"/>
      <c r="B996" s="158"/>
      <c r="C996" s="158"/>
      <c r="D996" s="158"/>
      <c r="E996" s="158"/>
      <c r="F996" s="159"/>
      <c r="G996" s="166"/>
      <c r="H996" s="168"/>
      <c r="I996" s="161"/>
      <c r="J996" s="168"/>
      <c r="K996" s="165"/>
      <c r="L996" s="91"/>
      <c r="M996" s="92"/>
    </row>
    <row r="997" spans="1:13" s="45" customFormat="1" ht="8.5500000000000007" customHeight="1" x14ac:dyDescent="0.2">
      <c r="A997" s="43"/>
      <c r="B997" s="156" t="s">
        <v>157</v>
      </c>
      <c r="C997" s="156"/>
      <c r="D997" s="156"/>
      <c r="E997" s="156"/>
      <c r="F997" s="157"/>
      <c r="G997" s="166">
        <v>1999</v>
      </c>
      <c r="H997" s="167">
        <v>89</v>
      </c>
      <c r="I997" s="160"/>
      <c r="J997" s="169" t="s">
        <v>364</v>
      </c>
      <c r="K997" s="164">
        <v>1</v>
      </c>
      <c r="L997" s="91"/>
      <c r="M997" s="92"/>
    </row>
    <row r="998" spans="1:13" s="45" customFormat="1" ht="8.5500000000000007" customHeight="1" x14ac:dyDescent="0.2">
      <c r="A998" s="43"/>
      <c r="B998" s="158"/>
      <c r="C998" s="158"/>
      <c r="D998" s="158"/>
      <c r="E998" s="158"/>
      <c r="F998" s="159"/>
      <c r="G998" s="166"/>
      <c r="H998" s="168"/>
      <c r="I998" s="161"/>
      <c r="J998" s="168"/>
      <c r="K998" s="165"/>
      <c r="L998" s="91"/>
      <c r="M998" s="92"/>
    </row>
    <row r="999" spans="1:13" s="45" customFormat="1" ht="8.5500000000000007" customHeight="1" x14ac:dyDescent="0.2">
      <c r="A999" s="43"/>
      <c r="B999" s="156" t="s">
        <v>157</v>
      </c>
      <c r="C999" s="156"/>
      <c r="D999" s="156"/>
      <c r="E999" s="156"/>
      <c r="F999" s="157"/>
      <c r="G999" s="166">
        <v>2000</v>
      </c>
      <c r="H999" s="167">
        <v>96</v>
      </c>
      <c r="I999" s="160">
        <v>91</v>
      </c>
      <c r="J999" s="162" t="s">
        <v>323</v>
      </c>
      <c r="K999" s="164">
        <v>2</v>
      </c>
      <c r="L999" s="91"/>
      <c r="M999" s="92"/>
    </row>
    <row r="1000" spans="1:13" s="45" customFormat="1" ht="8.5500000000000007" customHeight="1" x14ac:dyDescent="0.2">
      <c r="A1000" s="43"/>
      <c r="B1000" s="158"/>
      <c r="C1000" s="158"/>
      <c r="D1000" s="158"/>
      <c r="E1000" s="158"/>
      <c r="F1000" s="159"/>
      <c r="G1000" s="166"/>
      <c r="H1000" s="168"/>
      <c r="I1000" s="161"/>
      <c r="J1000" s="163"/>
      <c r="K1000" s="165"/>
      <c r="L1000" s="91"/>
      <c r="M1000" s="92"/>
    </row>
    <row r="1001" spans="1:13" s="45" customFormat="1" ht="8.5500000000000007" customHeight="1" x14ac:dyDescent="0.2">
      <c r="A1001" s="43"/>
      <c r="B1001" s="156" t="s">
        <v>157</v>
      </c>
      <c r="C1001" s="156"/>
      <c r="D1001" s="156"/>
      <c r="E1001" s="156"/>
      <c r="F1001" s="157"/>
      <c r="G1001" s="166">
        <v>2003</v>
      </c>
      <c r="H1001" s="167">
        <v>94</v>
      </c>
      <c r="I1001" s="160">
        <v>91</v>
      </c>
      <c r="J1001" s="162" t="s">
        <v>251</v>
      </c>
      <c r="K1001" s="164">
        <v>3</v>
      </c>
      <c r="L1001" s="91"/>
      <c r="M1001" s="92"/>
    </row>
    <row r="1002" spans="1:13" s="45" customFormat="1" ht="8.5500000000000007" customHeight="1" x14ac:dyDescent="0.2">
      <c r="A1002" s="43"/>
      <c r="B1002" s="158"/>
      <c r="C1002" s="158"/>
      <c r="D1002" s="158"/>
      <c r="E1002" s="158"/>
      <c r="F1002" s="159"/>
      <c r="G1002" s="166"/>
      <c r="H1002" s="168"/>
      <c r="I1002" s="161"/>
      <c r="J1002" s="163"/>
      <c r="K1002" s="165"/>
      <c r="L1002" s="91"/>
      <c r="M1002" s="92"/>
    </row>
    <row r="1003" spans="1:13" s="45" customFormat="1" ht="8.5500000000000007" customHeight="1" x14ac:dyDescent="0.2">
      <c r="A1003" s="43"/>
      <c r="B1003" s="172" t="s">
        <v>427</v>
      </c>
      <c r="C1003" s="172"/>
      <c r="D1003" s="172"/>
      <c r="E1003" s="172"/>
      <c r="F1003" s="173"/>
      <c r="G1003" s="166">
        <v>2003</v>
      </c>
      <c r="H1003" s="167" t="s">
        <v>633</v>
      </c>
      <c r="I1003" s="160">
        <v>92</v>
      </c>
      <c r="J1003" s="162" t="s">
        <v>441</v>
      </c>
      <c r="K1003" s="164">
        <v>4</v>
      </c>
      <c r="L1003" s="91"/>
      <c r="M1003" s="92"/>
    </row>
    <row r="1004" spans="1:13" s="45" customFormat="1" ht="8.5500000000000007" customHeight="1" x14ac:dyDescent="0.2">
      <c r="A1004" s="43"/>
      <c r="B1004" s="174"/>
      <c r="C1004" s="174"/>
      <c r="D1004" s="174"/>
      <c r="E1004" s="174"/>
      <c r="F1004" s="175"/>
      <c r="G1004" s="166"/>
      <c r="H1004" s="168"/>
      <c r="I1004" s="161"/>
      <c r="J1004" s="163"/>
      <c r="K1004" s="165"/>
      <c r="L1004" s="91"/>
      <c r="M1004" s="92"/>
    </row>
    <row r="1005" spans="1:13" s="45" customFormat="1" ht="8.5500000000000007" customHeight="1" x14ac:dyDescent="0.2">
      <c r="A1005" s="43"/>
      <c r="B1005" s="156" t="s">
        <v>609</v>
      </c>
      <c r="C1005" s="156"/>
      <c r="D1005" s="156"/>
      <c r="E1005" s="156"/>
      <c r="F1005" s="157"/>
      <c r="G1005" s="166">
        <v>2000</v>
      </c>
      <c r="H1005" s="167">
        <v>100</v>
      </c>
      <c r="I1005" s="160">
        <v>91</v>
      </c>
      <c r="J1005" s="162" t="s">
        <v>226</v>
      </c>
      <c r="K1005" s="164">
        <v>1</v>
      </c>
      <c r="L1005" s="91"/>
      <c r="M1005" s="92"/>
    </row>
    <row r="1006" spans="1:13" s="45" customFormat="1" ht="8.5500000000000007" customHeight="1" x14ac:dyDescent="0.2">
      <c r="A1006" s="43"/>
      <c r="B1006" s="158"/>
      <c r="C1006" s="158"/>
      <c r="D1006" s="158"/>
      <c r="E1006" s="158"/>
      <c r="F1006" s="159"/>
      <c r="G1006" s="166"/>
      <c r="H1006" s="168"/>
      <c r="I1006" s="161"/>
      <c r="J1006" s="163"/>
      <c r="K1006" s="165"/>
      <c r="L1006" s="91"/>
      <c r="M1006" s="92"/>
    </row>
    <row r="1007" spans="1:13" s="45" customFormat="1" ht="8.5500000000000007" customHeight="1" x14ac:dyDescent="0.2">
      <c r="A1007" s="43"/>
      <c r="B1007" s="156" t="s">
        <v>181</v>
      </c>
      <c r="C1007" s="156"/>
      <c r="D1007" s="156"/>
      <c r="E1007" s="156"/>
      <c r="F1007" s="157"/>
      <c r="G1007" s="166">
        <v>2003</v>
      </c>
      <c r="H1007" s="167">
        <v>98</v>
      </c>
      <c r="I1007" s="160">
        <v>93</v>
      </c>
      <c r="J1007" s="169" t="s">
        <v>95</v>
      </c>
      <c r="K1007" s="164">
        <v>3</v>
      </c>
      <c r="L1007" s="91"/>
      <c r="M1007" s="92"/>
    </row>
    <row r="1008" spans="1:13" s="45" customFormat="1" ht="8.5500000000000007" customHeight="1" x14ac:dyDescent="0.2">
      <c r="A1008" s="43"/>
      <c r="B1008" s="158"/>
      <c r="C1008" s="158"/>
      <c r="D1008" s="158"/>
      <c r="E1008" s="158"/>
      <c r="F1008" s="159"/>
      <c r="G1008" s="166"/>
      <c r="H1008" s="168"/>
      <c r="I1008" s="161"/>
      <c r="J1008" s="168"/>
      <c r="K1008" s="165"/>
      <c r="L1008" s="91"/>
      <c r="M1008" s="92"/>
    </row>
    <row r="1009" spans="1:13" s="45" customFormat="1" ht="8.5500000000000007" customHeight="1" x14ac:dyDescent="0.2">
      <c r="A1009" s="43"/>
      <c r="B1009" s="156" t="s">
        <v>181</v>
      </c>
      <c r="C1009" s="156"/>
      <c r="D1009" s="156"/>
      <c r="E1009" s="156"/>
      <c r="F1009" s="157"/>
      <c r="G1009" s="166">
        <v>2005</v>
      </c>
      <c r="H1009" s="167">
        <v>98</v>
      </c>
      <c r="I1009" s="160">
        <v>95</v>
      </c>
      <c r="J1009" s="169" t="s">
        <v>248</v>
      </c>
      <c r="K1009" s="164">
        <v>9</v>
      </c>
      <c r="L1009" s="91"/>
      <c r="M1009" s="92"/>
    </row>
    <row r="1010" spans="1:13" s="45" customFormat="1" ht="8.5500000000000007" customHeight="1" x14ac:dyDescent="0.2">
      <c r="A1010" s="43"/>
      <c r="B1010" s="158"/>
      <c r="C1010" s="158"/>
      <c r="D1010" s="158"/>
      <c r="E1010" s="158"/>
      <c r="F1010" s="159"/>
      <c r="G1010" s="166"/>
      <c r="H1010" s="168"/>
      <c r="I1010" s="161"/>
      <c r="J1010" s="168"/>
      <c r="K1010" s="165"/>
      <c r="L1010" s="91"/>
      <c r="M1010" s="92"/>
    </row>
    <row r="1011" spans="1:13" s="45" customFormat="1" ht="8.5500000000000007" customHeight="1" x14ac:dyDescent="0.2">
      <c r="A1011" s="43"/>
      <c r="B1011" s="172" t="s">
        <v>269</v>
      </c>
      <c r="C1011" s="172"/>
      <c r="D1011" s="172"/>
      <c r="E1011" s="172"/>
      <c r="F1011" s="173"/>
      <c r="G1011" s="166">
        <v>2005</v>
      </c>
      <c r="H1011" s="167">
        <v>96</v>
      </c>
      <c r="I1011" s="160">
        <v>95</v>
      </c>
      <c r="J1011" s="169" t="s">
        <v>259</v>
      </c>
      <c r="K1011" s="164">
        <v>6</v>
      </c>
      <c r="L1011" s="91"/>
      <c r="M1011" s="92"/>
    </row>
    <row r="1012" spans="1:13" s="45" customFormat="1" ht="8.5500000000000007" customHeight="1" x14ac:dyDescent="0.2">
      <c r="A1012" s="43"/>
      <c r="B1012" s="174"/>
      <c r="C1012" s="174"/>
      <c r="D1012" s="174"/>
      <c r="E1012" s="174"/>
      <c r="F1012" s="175"/>
      <c r="G1012" s="166"/>
      <c r="H1012" s="168"/>
      <c r="I1012" s="161"/>
      <c r="J1012" s="168"/>
      <c r="K1012" s="165"/>
      <c r="L1012" s="91"/>
      <c r="M1012" s="92"/>
    </row>
    <row r="1013" spans="1:13" s="45" customFormat="1" ht="8.5500000000000007" customHeight="1" x14ac:dyDescent="0.2">
      <c r="A1013" s="43"/>
      <c r="B1013" s="156" t="s">
        <v>213</v>
      </c>
      <c r="C1013" s="156"/>
      <c r="D1013" s="156"/>
      <c r="E1013" s="156"/>
      <c r="F1013" s="157"/>
      <c r="G1013" s="166">
        <v>2005</v>
      </c>
      <c r="H1013" s="167">
        <v>93</v>
      </c>
      <c r="I1013" s="160">
        <v>86</v>
      </c>
      <c r="J1013" s="169" t="s">
        <v>124</v>
      </c>
      <c r="K1013" s="164">
        <v>4</v>
      </c>
      <c r="L1013" s="91"/>
      <c r="M1013" s="92"/>
    </row>
    <row r="1014" spans="1:13" s="45" customFormat="1" ht="8.5500000000000007" customHeight="1" x14ac:dyDescent="0.2">
      <c r="A1014" s="43"/>
      <c r="B1014" s="158"/>
      <c r="C1014" s="158"/>
      <c r="D1014" s="158"/>
      <c r="E1014" s="158"/>
      <c r="F1014" s="159"/>
      <c r="G1014" s="166"/>
      <c r="H1014" s="168"/>
      <c r="I1014" s="161"/>
      <c r="J1014" s="168"/>
      <c r="K1014" s="165"/>
      <c r="L1014" s="91"/>
      <c r="M1014" s="92"/>
    </row>
    <row r="1015" spans="1:13" s="45" customFormat="1" ht="8.5500000000000007" customHeight="1" x14ac:dyDescent="0.2">
      <c r="A1015" s="43"/>
      <c r="B1015" s="156" t="s">
        <v>213</v>
      </c>
      <c r="C1015" s="156"/>
      <c r="D1015" s="156"/>
      <c r="E1015" s="156"/>
      <c r="F1015" s="157"/>
      <c r="G1015" s="166">
        <v>2009</v>
      </c>
      <c r="H1015" s="167">
        <v>96</v>
      </c>
      <c r="I1015" s="160">
        <v>90</v>
      </c>
      <c r="J1015" s="162" t="s">
        <v>262</v>
      </c>
      <c r="K1015" s="164">
        <v>2</v>
      </c>
      <c r="L1015" s="91"/>
      <c r="M1015" s="92"/>
    </row>
    <row r="1016" spans="1:13" s="45" customFormat="1" ht="8.5500000000000007" customHeight="1" x14ac:dyDescent="0.2">
      <c r="A1016" s="43"/>
      <c r="B1016" s="158"/>
      <c r="C1016" s="158"/>
      <c r="D1016" s="158"/>
      <c r="E1016" s="158"/>
      <c r="F1016" s="159"/>
      <c r="G1016" s="166"/>
      <c r="H1016" s="168"/>
      <c r="I1016" s="161"/>
      <c r="J1016" s="163"/>
      <c r="K1016" s="165"/>
      <c r="L1016" s="91"/>
      <c r="M1016" s="92"/>
    </row>
    <row r="1017" spans="1:13" s="45" customFormat="1" ht="8.5500000000000007" customHeight="1" x14ac:dyDescent="0.2">
      <c r="A1017" s="43"/>
      <c r="B1017" s="170" t="s">
        <v>76</v>
      </c>
      <c r="C1017" s="170"/>
      <c r="D1017" s="170"/>
      <c r="E1017" s="170"/>
      <c r="F1017" s="170"/>
      <c r="G1017" s="178"/>
      <c r="H1017" s="47"/>
      <c r="I1017" s="48"/>
      <c r="J1017" s="48"/>
      <c r="K1017" s="164"/>
      <c r="L1017" s="91"/>
      <c r="M1017" s="92"/>
    </row>
    <row r="1018" spans="1:13" s="45" customFormat="1" ht="8.5500000000000007" customHeight="1" x14ac:dyDescent="0.2">
      <c r="A1018" s="43"/>
      <c r="B1018" s="171"/>
      <c r="C1018" s="171"/>
      <c r="D1018" s="171"/>
      <c r="E1018" s="171"/>
      <c r="F1018" s="171"/>
      <c r="G1018" s="178"/>
      <c r="H1018" s="54"/>
      <c r="I1018" s="49"/>
      <c r="J1018" s="49"/>
      <c r="K1018" s="165"/>
      <c r="L1018" s="91"/>
      <c r="M1018" s="92"/>
    </row>
    <row r="1019" spans="1:13" s="45" customFormat="1" ht="8.5500000000000007" customHeight="1" x14ac:dyDescent="0.2">
      <c r="A1019" s="43"/>
      <c r="B1019" s="172" t="s">
        <v>220</v>
      </c>
      <c r="C1019" s="172"/>
      <c r="D1019" s="172"/>
      <c r="E1019" s="172"/>
      <c r="F1019" s="173"/>
      <c r="G1019" s="166">
        <v>2005</v>
      </c>
      <c r="H1019" s="167" t="s">
        <v>633</v>
      </c>
      <c r="I1019" s="160">
        <v>90</v>
      </c>
      <c r="J1019" s="162" t="s">
        <v>1789</v>
      </c>
      <c r="K1019" s="164">
        <v>1</v>
      </c>
      <c r="L1019" s="91"/>
      <c r="M1019" s="92"/>
    </row>
    <row r="1020" spans="1:13" s="45" customFormat="1" ht="8.5500000000000007" customHeight="1" x14ac:dyDescent="0.2">
      <c r="A1020" s="43"/>
      <c r="B1020" s="174"/>
      <c r="C1020" s="174"/>
      <c r="D1020" s="174"/>
      <c r="E1020" s="174"/>
      <c r="F1020" s="175"/>
      <c r="G1020" s="166"/>
      <c r="H1020" s="168"/>
      <c r="I1020" s="161"/>
      <c r="J1020" s="163"/>
      <c r="K1020" s="165"/>
      <c r="L1020" s="91"/>
      <c r="M1020" s="92"/>
    </row>
    <row r="1021" spans="1:13" s="45" customFormat="1" ht="8.5500000000000007" customHeight="1" x14ac:dyDescent="0.2">
      <c r="A1021" s="43"/>
      <c r="B1021" s="156" t="s">
        <v>220</v>
      </c>
      <c r="C1021" s="156"/>
      <c r="D1021" s="156"/>
      <c r="E1021" s="156"/>
      <c r="F1021" s="157"/>
      <c r="G1021" s="166">
        <v>2009</v>
      </c>
      <c r="H1021" s="167">
        <v>98</v>
      </c>
      <c r="I1021" s="160">
        <v>92</v>
      </c>
      <c r="J1021" s="162" t="s">
        <v>305</v>
      </c>
      <c r="K1021" s="164">
        <v>3</v>
      </c>
      <c r="L1021" s="91"/>
      <c r="M1021" s="92"/>
    </row>
    <row r="1022" spans="1:13" s="45" customFormat="1" ht="8.5500000000000007" customHeight="1" x14ac:dyDescent="0.2">
      <c r="A1022" s="43"/>
      <c r="B1022" s="158"/>
      <c r="C1022" s="158"/>
      <c r="D1022" s="158"/>
      <c r="E1022" s="158"/>
      <c r="F1022" s="159"/>
      <c r="G1022" s="166"/>
      <c r="H1022" s="168"/>
      <c r="I1022" s="161"/>
      <c r="J1022" s="163"/>
      <c r="K1022" s="165"/>
      <c r="L1022" s="91"/>
      <c r="M1022" s="92"/>
    </row>
    <row r="1023" spans="1:13" s="45" customFormat="1" ht="8.5500000000000007" customHeight="1" x14ac:dyDescent="0.2">
      <c r="A1023" s="43"/>
      <c r="B1023" s="156" t="s">
        <v>293</v>
      </c>
      <c r="C1023" s="156"/>
      <c r="D1023" s="156"/>
      <c r="E1023" s="156"/>
      <c r="F1023" s="157"/>
      <c r="G1023" s="166">
        <v>2005</v>
      </c>
      <c r="H1023" s="167">
        <v>98</v>
      </c>
      <c r="I1023" s="160">
        <v>93</v>
      </c>
      <c r="J1023" s="169" t="s">
        <v>216</v>
      </c>
      <c r="K1023" s="164">
        <v>5</v>
      </c>
      <c r="L1023" s="91"/>
      <c r="M1023" s="92"/>
    </row>
    <row r="1024" spans="1:13" s="45" customFormat="1" ht="8.5500000000000007" customHeight="1" x14ac:dyDescent="0.2">
      <c r="A1024" s="43"/>
      <c r="B1024" s="158"/>
      <c r="C1024" s="158"/>
      <c r="D1024" s="158"/>
      <c r="E1024" s="158"/>
      <c r="F1024" s="159"/>
      <c r="G1024" s="166"/>
      <c r="H1024" s="168"/>
      <c r="I1024" s="161"/>
      <c r="J1024" s="168"/>
      <c r="K1024" s="165"/>
      <c r="L1024" s="91"/>
      <c r="M1024" s="92"/>
    </row>
    <row r="1025" spans="1:13" s="45" customFormat="1" ht="8.5500000000000007" customHeight="1" x14ac:dyDescent="0.2">
      <c r="A1025" s="43"/>
      <c r="B1025" s="156" t="s">
        <v>293</v>
      </c>
      <c r="C1025" s="156"/>
      <c r="D1025" s="156"/>
      <c r="E1025" s="156"/>
      <c r="F1025" s="157"/>
      <c r="G1025" s="166">
        <v>2006</v>
      </c>
      <c r="H1025" s="167">
        <v>92</v>
      </c>
      <c r="I1025" s="160">
        <v>90</v>
      </c>
      <c r="J1025" s="169" t="s">
        <v>1622</v>
      </c>
      <c r="K1025" s="164">
        <v>5</v>
      </c>
      <c r="L1025" s="91"/>
      <c r="M1025" s="92"/>
    </row>
    <row r="1026" spans="1:13" s="45" customFormat="1" ht="8.5500000000000007" customHeight="1" x14ac:dyDescent="0.2">
      <c r="A1026" s="43"/>
      <c r="B1026" s="158"/>
      <c r="C1026" s="158"/>
      <c r="D1026" s="158"/>
      <c r="E1026" s="158"/>
      <c r="F1026" s="159"/>
      <c r="G1026" s="166"/>
      <c r="H1026" s="168"/>
      <c r="I1026" s="161"/>
      <c r="J1026" s="168"/>
      <c r="K1026" s="165"/>
      <c r="L1026" s="91"/>
      <c r="M1026" s="92"/>
    </row>
    <row r="1027" spans="1:13" s="45" customFormat="1" ht="8.5500000000000007" customHeight="1" x14ac:dyDescent="0.2">
      <c r="A1027" s="43"/>
      <c r="B1027" s="156" t="s">
        <v>293</v>
      </c>
      <c r="C1027" s="156"/>
      <c r="D1027" s="156"/>
      <c r="E1027" s="156"/>
      <c r="F1027" s="157"/>
      <c r="G1027" s="166">
        <v>2009</v>
      </c>
      <c r="H1027" s="167">
        <v>99</v>
      </c>
      <c r="I1027" s="160">
        <v>91</v>
      </c>
      <c r="J1027" s="162" t="s">
        <v>305</v>
      </c>
      <c r="K1027" s="164">
        <v>3</v>
      </c>
      <c r="L1027" s="91"/>
      <c r="M1027" s="92"/>
    </row>
    <row r="1028" spans="1:13" s="45" customFormat="1" ht="8.5500000000000007" customHeight="1" x14ac:dyDescent="0.2">
      <c r="A1028" s="43"/>
      <c r="B1028" s="158"/>
      <c r="C1028" s="158"/>
      <c r="D1028" s="158"/>
      <c r="E1028" s="158"/>
      <c r="F1028" s="159"/>
      <c r="G1028" s="166"/>
      <c r="H1028" s="168"/>
      <c r="I1028" s="161"/>
      <c r="J1028" s="163"/>
      <c r="K1028" s="165"/>
      <c r="L1028" s="91"/>
      <c r="M1028" s="92"/>
    </row>
    <row r="1029" spans="1:13" s="45" customFormat="1" ht="8.5500000000000007" customHeight="1" x14ac:dyDescent="0.2">
      <c r="A1029" s="43"/>
      <c r="B1029" s="156" t="s">
        <v>661</v>
      </c>
      <c r="C1029" s="156"/>
      <c r="D1029" s="156"/>
      <c r="E1029" s="156"/>
      <c r="F1029" s="157"/>
      <c r="G1029" s="166">
        <v>2010</v>
      </c>
      <c r="H1029" s="167">
        <v>94</v>
      </c>
      <c r="I1029" s="160">
        <v>93</v>
      </c>
      <c r="J1029" s="162" t="s">
        <v>1916</v>
      </c>
      <c r="K1029" s="164">
        <v>2</v>
      </c>
      <c r="L1029" s="91"/>
      <c r="M1029" s="92"/>
    </row>
    <row r="1030" spans="1:13" s="45" customFormat="1" ht="8.5500000000000007" customHeight="1" x14ac:dyDescent="0.2">
      <c r="A1030" s="43"/>
      <c r="B1030" s="158"/>
      <c r="C1030" s="158"/>
      <c r="D1030" s="158"/>
      <c r="E1030" s="158"/>
      <c r="F1030" s="159"/>
      <c r="G1030" s="166"/>
      <c r="H1030" s="168"/>
      <c r="I1030" s="161"/>
      <c r="J1030" s="163"/>
      <c r="K1030" s="165"/>
      <c r="L1030" s="91"/>
      <c r="M1030" s="92"/>
    </row>
    <row r="1031" spans="1:13" s="45" customFormat="1" ht="8.5500000000000007" customHeight="1" x14ac:dyDescent="0.2">
      <c r="A1031" s="43"/>
      <c r="B1031" s="172" t="s">
        <v>389</v>
      </c>
      <c r="C1031" s="172"/>
      <c r="D1031" s="172"/>
      <c r="E1031" s="172"/>
      <c r="F1031" s="173"/>
      <c r="G1031" s="166">
        <v>1982</v>
      </c>
      <c r="H1031" s="167">
        <v>94</v>
      </c>
      <c r="I1031" s="160">
        <v>96</v>
      </c>
      <c r="J1031" s="162" t="s">
        <v>126</v>
      </c>
      <c r="K1031" s="164">
        <v>3</v>
      </c>
      <c r="L1031" s="91"/>
      <c r="M1031" s="92"/>
    </row>
    <row r="1032" spans="1:13" s="45" customFormat="1" ht="8.5500000000000007" customHeight="1" x14ac:dyDescent="0.2">
      <c r="A1032" s="43"/>
      <c r="B1032" s="174"/>
      <c r="C1032" s="174"/>
      <c r="D1032" s="174"/>
      <c r="E1032" s="174"/>
      <c r="F1032" s="175"/>
      <c r="G1032" s="166"/>
      <c r="H1032" s="168"/>
      <c r="I1032" s="161"/>
      <c r="J1032" s="163"/>
      <c r="K1032" s="165"/>
      <c r="L1032" s="91"/>
      <c r="M1032" s="92"/>
    </row>
    <row r="1033" spans="1:13" s="45" customFormat="1" ht="8.5500000000000007" customHeight="1" x14ac:dyDescent="0.2">
      <c r="A1033" s="43"/>
      <c r="B1033" s="156" t="s">
        <v>389</v>
      </c>
      <c r="C1033" s="156"/>
      <c r="D1033" s="156"/>
      <c r="E1033" s="156"/>
      <c r="F1033" s="157"/>
      <c r="G1033" s="166">
        <v>2005</v>
      </c>
      <c r="H1033" s="167">
        <v>95</v>
      </c>
      <c r="I1033" s="160">
        <v>94</v>
      </c>
      <c r="J1033" s="162" t="s">
        <v>261</v>
      </c>
      <c r="K1033" s="164">
        <v>2</v>
      </c>
      <c r="L1033" s="91"/>
      <c r="M1033" s="92"/>
    </row>
    <row r="1034" spans="1:13" s="45" customFormat="1" ht="8.5500000000000007" customHeight="1" x14ac:dyDescent="0.2">
      <c r="A1034" s="43"/>
      <c r="B1034" s="158"/>
      <c r="C1034" s="158"/>
      <c r="D1034" s="158"/>
      <c r="E1034" s="158"/>
      <c r="F1034" s="159"/>
      <c r="G1034" s="166"/>
      <c r="H1034" s="168"/>
      <c r="I1034" s="161"/>
      <c r="J1034" s="163"/>
      <c r="K1034" s="165"/>
      <c r="L1034" s="91"/>
      <c r="M1034" s="92"/>
    </row>
    <row r="1035" spans="1:13" s="45" customFormat="1" ht="8.5500000000000007" customHeight="1" x14ac:dyDescent="0.2">
      <c r="A1035" s="43"/>
      <c r="B1035" s="156" t="s">
        <v>389</v>
      </c>
      <c r="C1035" s="156"/>
      <c r="D1035" s="156"/>
      <c r="E1035" s="156"/>
      <c r="F1035" s="157"/>
      <c r="G1035" s="166">
        <v>2009</v>
      </c>
      <c r="H1035" s="167" t="s">
        <v>640</v>
      </c>
      <c r="I1035" s="160"/>
      <c r="J1035" s="162" t="s">
        <v>1626</v>
      </c>
      <c r="K1035" s="164">
        <v>4</v>
      </c>
      <c r="L1035" s="91"/>
      <c r="M1035" s="92"/>
    </row>
    <row r="1036" spans="1:13" s="45" customFormat="1" ht="8.5500000000000007" customHeight="1" x14ac:dyDescent="0.2">
      <c r="A1036" s="43"/>
      <c r="B1036" s="158"/>
      <c r="C1036" s="158"/>
      <c r="D1036" s="158"/>
      <c r="E1036" s="158"/>
      <c r="F1036" s="159"/>
      <c r="G1036" s="166"/>
      <c r="H1036" s="168"/>
      <c r="I1036" s="161"/>
      <c r="J1036" s="163"/>
      <c r="K1036" s="165"/>
      <c r="L1036" s="91"/>
      <c r="M1036" s="92"/>
    </row>
    <row r="1037" spans="1:13" s="45" customFormat="1" ht="8.5500000000000007" customHeight="1" x14ac:dyDescent="0.2">
      <c r="A1037" s="43"/>
      <c r="B1037" s="156" t="s">
        <v>969</v>
      </c>
      <c r="C1037" s="156"/>
      <c r="D1037" s="156"/>
      <c r="E1037" s="156"/>
      <c r="F1037" s="157"/>
      <c r="G1037" s="166">
        <v>2005</v>
      </c>
      <c r="H1037" s="167">
        <v>100</v>
      </c>
      <c r="I1037" s="160"/>
      <c r="J1037" s="162" t="s">
        <v>26</v>
      </c>
      <c r="K1037" s="164">
        <v>3</v>
      </c>
      <c r="L1037" s="91"/>
      <c r="M1037" s="92"/>
    </row>
    <row r="1038" spans="1:13" s="45" customFormat="1" ht="8.5500000000000007" customHeight="1" x14ac:dyDescent="0.2">
      <c r="A1038" s="43"/>
      <c r="B1038" s="158"/>
      <c r="C1038" s="158"/>
      <c r="D1038" s="158"/>
      <c r="E1038" s="158"/>
      <c r="F1038" s="159"/>
      <c r="G1038" s="166"/>
      <c r="H1038" s="168"/>
      <c r="I1038" s="161"/>
      <c r="J1038" s="163"/>
      <c r="K1038" s="165"/>
      <c r="L1038" s="91"/>
      <c r="M1038" s="92"/>
    </row>
    <row r="1039" spans="1:13" s="45" customFormat="1" ht="8.5500000000000007" customHeight="1" x14ac:dyDescent="0.2">
      <c r="A1039" s="43"/>
      <c r="B1039" s="156" t="s">
        <v>59</v>
      </c>
      <c r="C1039" s="156"/>
      <c r="D1039" s="156"/>
      <c r="E1039" s="156"/>
      <c r="F1039" s="157"/>
      <c r="G1039" s="166">
        <v>2005</v>
      </c>
      <c r="H1039" s="167" t="s">
        <v>629</v>
      </c>
      <c r="I1039" s="160"/>
      <c r="J1039" s="169" t="s">
        <v>1912</v>
      </c>
      <c r="K1039" s="164">
        <v>5</v>
      </c>
      <c r="L1039" s="91"/>
      <c r="M1039" s="92"/>
    </row>
    <row r="1040" spans="1:13" s="45" customFormat="1" ht="8.5500000000000007" customHeight="1" x14ac:dyDescent="0.2">
      <c r="A1040" s="43"/>
      <c r="B1040" s="158"/>
      <c r="C1040" s="158"/>
      <c r="D1040" s="158"/>
      <c r="E1040" s="158"/>
      <c r="F1040" s="159"/>
      <c r="G1040" s="166"/>
      <c r="H1040" s="168"/>
      <c r="I1040" s="161"/>
      <c r="J1040" s="168"/>
      <c r="K1040" s="165"/>
      <c r="L1040" s="91"/>
      <c r="M1040" s="92"/>
    </row>
    <row r="1041" spans="1:13" s="45" customFormat="1" ht="8.5500000000000007" customHeight="1" x14ac:dyDescent="0.2">
      <c r="A1041" s="43"/>
      <c r="B1041" s="156" t="s">
        <v>27</v>
      </c>
      <c r="C1041" s="156"/>
      <c r="D1041" s="156"/>
      <c r="E1041" s="156"/>
      <c r="F1041" s="157"/>
      <c r="G1041" s="166">
        <v>2009</v>
      </c>
      <c r="H1041" s="167" t="s">
        <v>640</v>
      </c>
      <c r="I1041" s="160">
        <v>91</v>
      </c>
      <c r="J1041" s="162" t="s">
        <v>306</v>
      </c>
      <c r="K1041" s="164">
        <v>3</v>
      </c>
      <c r="L1041" s="91"/>
      <c r="M1041" s="92"/>
    </row>
    <row r="1042" spans="1:13" s="45" customFormat="1" ht="8.5500000000000007" customHeight="1" x14ac:dyDescent="0.2">
      <c r="A1042" s="43"/>
      <c r="B1042" s="158"/>
      <c r="C1042" s="158"/>
      <c r="D1042" s="158"/>
      <c r="E1042" s="158"/>
      <c r="F1042" s="159"/>
      <c r="G1042" s="166"/>
      <c r="H1042" s="168"/>
      <c r="I1042" s="161"/>
      <c r="J1042" s="163"/>
      <c r="K1042" s="165"/>
      <c r="L1042" s="91"/>
      <c r="M1042" s="92"/>
    </row>
    <row r="1043" spans="1:13" s="45" customFormat="1" ht="8.5500000000000007" customHeight="1" x14ac:dyDescent="0.2">
      <c r="A1043" s="43"/>
      <c r="B1043" s="170" t="s">
        <v>786</v>
      </c>
      <c r="C1043" s="170"/>
      <c r="D1043" s="170"/>
      <c r="E1043" s="170"/>
      <c r="F1043" s="170"/>
      <c r="G1043" s="47"/>
      <c r="H1043" s="47"/>
      <c r="I1043" s="48"/>
      <c r="J1043" s="48"/>
      <c r="K1043" s="224">
        <v>298</v>
      </c>
      <c r="L1043" s="230">
        <f>+K1043</f>
        <v>298</v>
      </c>
      <c r="M1043" s="92"/>
    </row>
    <row r="1044" spans="1:13" s="45" customFormat="1" ht="8.5500000000000007" customHeight="1" x14ac:dyDescent="0.2">
      <c r="A1044" s="43"/>
      <c r="B1044" s="171"/>
      <c r="C1044" s="171"/>
      <c r="D1044" s="171"/>
      <c r="E1044" s="171"/>
      <c r="F1044" s="171"/>
      <c r="G1044" s="54"/>
      <c r="H1044" s="54"/>
      <c r="I1044" s="49"/>
      <c r="J1044" s="49"/>
      <c r="K1044" s="225"/>
      <c r="L1044" s="231"/>
      <c r="M1044" s="92"/>
    </row>
    <row r="1045" spans="1:13" s="45" customFormat="1" ht="8.5500000000000007" customHeight="1" x14ac:dyDescent="0.2">
      <c r="A1045" s="43"/>
      <c r="B1045" s="170" t="s">
        <v>788</v>
      </c>
      <c r="C1045" s="170"/>
      <c r="D1045" s="170"/>
      <c r="E1045" s="170"/>
      <c r="F1045" s="170"/>
      <c r="G1045" s="47"/>
      <c r="H1045" s="47"/>
      <c r="I1045" s="48"/>
      <c r="J1045" s="48"/>
      <c r="K1045" s="236">
        <v>1339</v>
      </c>
      <c r="L1045" s="230">
        <f>SUM(L19:L1044)</f>
        <v>1339</v>
      </c>
      <c r="M1045" s="230">
        <f>SUM(M19:M1044)</f>
        <v>0</v>
      </c>
    </row>
    <row r="1046" spans="1:13" s="45" customFormat="1" ht="8.5500000000000007" customHeight="1" x14ac:dyDescent="0.2">
      <c r="A1046" s="43"/>
      <c r="B1046" s="171"/>
      <c r="C1046" s="171"/>
      <c r="D1046" s="171"/>
      <c r="E1046" s="171"/>
      <c r="F1046" s="171"/>
      <c r="G1046" s="54"/>
      <c r="H1046" s="54"/>
      <c r="I1046" s="49"/>
      <c r="J1046" s="49"/>
      <c r="K1046" s="225"/>
      <c r="L1046" s="231"/>
      <c r="M1046" s="231"/>
    </row>
    <row r="1047" spans="1:13" ht="8.5500000000000007" customHeight="1" x14ac:dyDescent="0.25">
      <c r="H1047" s="8"/>
      <c r="K1047" s="7"/>
    </row>
    <row r="1048" spans="1:13" ht="8.5500000000000007" customHeight="1" x14ac:dyDescent="0.25">
      <c r="H1048" s="8"/>
      <c r="K1048" s="7"/>
    </row>
    <row r="1049" spans="1:13" ht="8.5500000000000007" customHeight="1" x14ac:dyDescent="0.25">
      <c r="D1049" s="87" t="s">
        <v>792</v>
      </c>
      <c r="H1049" s="8"/>
      <c r="L1049" s="241">
        <f>(SUM(K13:K1044))/2</f>
        <v>1339</v>
      </c>
    </row>
    <row r="1050" spans="1:13" ht="8.5500000000000007" customHeight="1" x14ac:dyDescent="0.25">
      <c r="D1050" s="87" t="s">
        <v>848</v>
      </c>
      <c r="H1050" s="8"/>
      <c r="L1050" s="231"/>
    </row>
    <row r="1051" spans="1:13" x14ac:dyDescent="0.25">
      <c r="H1051" s="8"/>
      <c r="K1051" s="88"/>
    </row>
    <row r="1052" spans="1:13" x14ac:dyDescent="0.25">
      <c r="H1052" s="8"/>
    </row>
    <row r="1053" spans="1:13" x14ac:dyDescent="0.25">
      <c r="H1053" s="8"/>
    </row>
    <row r="1054" spans="1:13" x14ac:dyDescent="0.25">
      <c r="H1054" s="8"/>
    </row>
    <row r="1055" spans="1:13" ht="12.6" x14ac:dyDescent="0.25">
      <c r="A1055" s="1"/>
      <c r="H1055" s="8"/>
      <c r="L1055" s="1"/>
      <c r="M1055" s="1"/>
    </row>
    <row r="1056" spans="1:13" ht="12.6" x14ac:dyDescent="0.25">
      <c r="A1056" s="1"/>
      <c r="H1056" s="8"/>
      <c r="L1056" s="1"/>
      <c r="M1056" s="1"/>
    </row>
    <row r="1057" spans="8:8" s="1" customFormat="1" ht="12.6" x14ac:dyDescent="0.25">
      <c r="H1057" s="8"/>
    </row>
    <row r="1058" spans="8:8" s="1" customFormat="1" ht="12.6" x14ac:dyDescent="0.25">
      <c r="H1058" s="8"/>
    </row>
    <row r="1059" spans="8:8" s="1" customFormat="1" ht="12.6" x14ac:dyDescent="0.25">
      <c r="H1059" s="8"/>
    </row>
    <row r="1060" spans="8:8" s="1" customFormat="1" ht="12.6" x14ac:dyDescent="0.25">
      <c r="H1060" s="8"/>
    </row>
    <row r="1061" spans="8:8" s="1" customFormat="1" ht="12.6" x14ac:dyDescent="0.25">
      <c r="H1061" s="8"/>
    </row>
    <row r="1062" spans="8:8" s="1" customFormat="1" ht="12.6" x14ac:dyDescent="0.25">
      <c r="H1062" s="8"/>
    </row>
  </sheetData>
  <mergeCells count="3001">
    <mergeCell ref="B793:F794"/>
    <mergeCell ref="G793:G794"/>
    <mergeCell ref="K793:K794"/>
    <mergeCell ref="K1017:K1018"/>
    <mergeCell ref="B725:F726"/>
    <mergeCell ref="G725:G726"/>
    <mergeCell ref="H725:H726"/>
    <mergeCell ref="I725:I726"/>
    <mergeCell ref="J725:J726"/>
    <mergeCell ref="K725:K726"/>
    <mergeCell ref="B625:F626"/>
    <mergeCell ref="G625:G626"/>
    <mergeCell ref="K625:K626"/>
    <mergeCell ref="H361:H362"/>
    <mergeCell ref="I361:I362"/>
    <mergeCell ref="J361:J362"/>
    <mergeCell ref="K361:K362"/>
    <mergeCell ref="J831:J832"/>
    <mergeCell ref="K831:K832"/>
    <mergeCell ref="K703:K704"/>
    <mergeCell ref="J695:J696"/>
    <mergeCell ref="J717:J718"/>
    <mergeCell ref="J691:J692"/>
    <mergeCell ref="K689:K690"/>
    <mergeCell ref="K593:K594"/>
    <mergeCell ref="J661:J662"/>
    <mergeCell ref="K667:K668"/>
    <mergeCell ref="K661:K662"/>
    <mergeCell ref="J657:J658"/>
    <mergeCell ref="J615:J616"/>
    <mergeCell ref="K651:K652"/>
    <mergeCell ref="K639:K640"/>
    <mergeCell ref="J197:J198"/>
    <mergeCell ref="K197:K198"/>
    <mergeCell ref="B99:F100"/>
    <mergeCell ref="G99:G100"/>
    <mergeCell ref="H99:H100"/>
    <mergeCell ref="I99:I100"/>
    <mergeCell ref="J99:J100"/>
    <mergeCell ref="K173:K174"/>
    <mergeCell ref="K179:K180"/>
    <mergeCell ref="J163:J164"/>
    <mergeCell ref="K149:K150"/>
    <mergeCell ref="K133:K134"/>
    <mergeCell ref="K155:K156"/>
    <mergeCell ref="K147:K148"/>
    <mergeCell ref="K187:K188"/>
    <mergeCell ref="I171:I172"/>
    <mergeCell ref="K175:K176"/>
    <mergeCell ref="K131:K132"/>
    <mergeCell ref="K157:K158"/>
    <mergeCell ref="J175:J176"/>
    <mergeCell ref="J177:J178"/>
    <mergeCell ref="J161:J162"/>
    <mergeCell ref="I163:I164"/>
    <mergeCell ref="J129:J130"/>
    <mergeCell ref="J137:J138"/>
    <mergeCell ref="K189:K190"/>
    <mergeCell ref="H151:H152"/>
    <mergeCell ref="B151:F152"/>
    <mergeCell ref="J601:J602"/>
    <mergeCell ref="J617:J618"/>
    <mergeCell ref="J645:J646"/>
    <mergeCell ref="J653:J654"/>
    <mergeCell ref="J651:J652"/>
    <mergeCell ref="J647:J648"/>
    <mergeCell ref="K647:K648"/>
    <mergeCell ref="K621:K622"/>
    <mergeCell ref="K617:K618"/>
    <mergeCell ref="K643:K644"/>
    <mergeCell ref="K631:K632"/>
    <mergeCell ref="K653:K654"/>
    <mergeCell ref="J655:J656"/>
    <mergeCell ref="J643:J644"/>
    <mergeCell ref="J641:J642"/>
    <mergeCell ref="J631:J632"/>
    <mergeCell ref="J623:J624"/>
    <mergeCell ref="K629:K630"/>
    <mergeCell ref="K649:K650"/>
    <mergeCell ref="J635:J636"/>
    <mergeCell ref="K635:K636"/>
    <mergeCell ref="J629:J630"/>
    <mergeCell ref="K637:K638"/>
    <mergeCell ref="J649:J650"/>
    <mergeCell ref="K633:K634"/>
    <mergeCell ref="J633:J634"/>
    <mergeCell ref="K627:K628"/>
    <mergeCell ref="J627:J628"/>
    <mergeCell ref="J621:J622"/>
    <mergeCell ref="G593:G594"/>
    <mergeCell ref="G571:G572"/>
    <mergeCell ref="H583:H584"/>
    <mergeCell ref="J585:J586"/>
    <mergeCell ref="I565:I566"/>
    <mergeCell ref="K603:K604"/>
    <mergeCell ref="K607:K608"/>
    <mergeCell ref="K619:K620"/>
    <mergeCell ref="J613:J614"/>
    <mergeCell ref="J599:J600"/>
    <mergeCell ref="K521:K522"/>
    <mergeCell ref="K567:K568"/>
    <mergeCell ref="J575:J576"/>
    <mergeCell ref="K615:K616"/>
    <mergeCell ref="J605:J606"/>
    <mergeCell ref="J589:J590"/>
    <mergeCell ref="J547:J548"/>
    <mergeCell ref="K547:K548"/>
    <mergeCell ref="K611:K612"/>
    <mergeCell ref="J577:J578"/>
    <mergeCell ref="K583:K584"/>
    <mergeCell ref="K601:K602"/>
    <mergeCell ref="K613:K614"/>
    <mergeCell ref="J607:J608"/>
    <mergeCell ref="J595:J596"/>
    <mergeCell ref="K557:K558"/>
    <mergeCell ref="K579:K580"/>
    <mergeCell ref="J559:J560"/>
    <mergeCell ref="J597:J598"/>
    <mergeCell ref="J611:J612"/>
    <mergeCell ref="J603:J604"/>
    <mergeCell ref="J619:J620"/>
    <mergeCell ref="J527:J528"/>
    <mergeCell ref="J537:J538"/>
    <mergeCell ref="J531:J532"/>
    <mergeCell ref="G543:G544"/>
    <mergeCell ref="G579:G580"/>
    <mergeCell ref="J543:J544"/>
    <mergeCell ref="J587:J588"/>
    <mergeCell ref="J571:J572"/>
    <mergeCell ref="J591:J592"/>
    <mergeCell ref="J567:J568"/>
    <mergeCell ref="J579:J580"/>
    <mergeCell ref="K571:K572"/>
    <mergeCell ref="K569:K570"/>
    <mergeCell ref="K581:K582"/>
    <mergeCell ref="G577:G578"/>
    <mergeCell ref="I567:I568"/>
    <mergeCell ref="G575:G576"/>
    <mergeCell ref="I547:I548"/>
    <mergeCell ref="H581:H582"/>
    <mergeCell ref="K239:K240"/>
    <mergeCell ref="K241:K242"/>
    <mergeCell ref="K229:K230"/>
    <mergeCell ref="K363:K364"/>
    <mergeCell ref="K309:K310"/>
    <mergeCell ref="J427:J428"/>
    <mergeCell ref="J437:J438"/>
    <mergeCell ref="J429:J430"/>
    <mergeCell ref="K435:K436"/>
    <mergeCell ref="A555:A556"/>
    <mergeCell ref="B555:F556"/>
    <mergeCell ref="G555:G556"/>
    <mergeCell ref="H555:H556"/>
    <mergeCell ref="I555:I556"/>
    <mergeCell ref="J555:J556"/>
    <mergeCell ref="K555:K556"/>
    <mergeCell ref="K501:K502"/>
    <mergeCell ref="K485:K486"/>
    <mergeCell ref="K489:K490"/>
    <mergeCell ref="K445:K446"/>
    <mergeCell ref="J467:J468"/>
    <mergeCell ref="K491:K492"/>
    <mergeCell ref="J487:J488"/>
    <mergeCell ref="J491:J492"/>
    <mergeCell ref="K473:K474"/>
    <mergeCell ref="J517:J518"/>
    <mergeCell ref="J533:J534"/>
    <mergeCell ref="J529:J530"/>
    <mergeCell ref="K529:K530"/>
    <mergeCell ref="K535:K536"/>
    <mergeCell ref="K429:K430"/>
    <mergeCell ref="K439:K440"/>
    <mergeCell ref="J365:J366"/>
    <mergeCell ref="I369:I370"/>
    <mergeCell ref="I323:I324"/>
    <mergeCell ref="I319:I320"/>
    <mergeCell ref="J249:J250"/>
    <mergeCell ref="J323:J324"/>
    <mergeCell ref="J309:J310"/>
    <mergeCell ref="J225:J226"/>
    <mergeCell ref="I341:I342"/>
    <mergeCell ref="I355:I356"/>
    <mergeCell ref="J347:J348"/>
    <mergeCell ref="I365:I366"/>
    <mergeCell ref="I343:I344"/>
    <mergeCell ref="I337:I338"/>
    <mergeCell ref="I353:I354"/>
    <mergeCell ref="J353:J354"/>
    <mergeCell ref="I229:I230"/>
    <mergeCell ref="I227:I228"/>
    <mergeCell ref="I267:I268"/>
    <mergeCell ref="I237:I238"/>
    <mergeCell ref="I311:I312"/>
    <mergeCell ref="I239:I240"/>
    <mergeCell ref="I335:I336"/>
    <mergeCell ref="J333:J334"/>
    <mergeCell ref="J287:J288"/>
    <mergeCell ref="K281:K282"/>
    <mergeCell ref="K261:K262"/>
    <mergeCell ref="K267:K268"/>
    <mergeCell ref="K347:K348"/>
    <mergeCell ref="K325:K326"/>
    <mergeCell ref="K303:K304"/>
    <mergeCell ref="K391:K392"/>
    <mergeCell ref="K283:K284"/>
    <mergeCell ref="K393:K394"/>
    <mergeCell ref="K331:K332"/>
    <mergeCell ref="K359:K360"/>
    <mergeCell ref="K245:K246"/>
    <mergeCell ref="K247:K248"/>
    <mergeCell ref="K279:K280"/>
    <mergeCell ref="K251:K252"/>
    <mergeCell ref="K257:K258"/>
    <mergeCell ref="K249:K250"/>
    <mergeCell ref="K291:K292"/>
    <mergeCell ref="K299:K300"/>
    <mergeCell ref="K293:K294"/>
    <mergeCell ref="K287:K288"/>
    <mergeCell ref="K295:K296"/>
    <mergeCell ref="K285:K286"/>
    <mergeCell ref="K375:K376"/>
    <mergeCell ref="K389:K390"/>
    <mergeCell ref="K349:K350"/>
    <mergeCell ref="K307:K308"/>
    <mergeCell ref="J395:J396"/>
    <mergeCell ref="I379:I380"/>
    <mergeCell ref="I371:I372"/>
    <mergeCell ref="I375:I376"/>
    <mergeCell ref="I383:I384"/>
    <mergeCell ref="I373:I374"/>
    <mergeCell ref="K847:K848"/>
    <mergeCell ref="K851:K852"/>
    <mergeCell ref="J867:J868"/>
    <mergeCell ref="J377:J378"/>
    <mergeCell ref="J367:J368"/>
    <mergeCell ref="J387:J388"/>
    <mergeCell ref="J403:J404"/>
    <mergeCell ref="J371:J372"/>
    <mergeCell ref="J439:J440"/>
    <mergeCell ref="K415:K416"/>
    <mergeCell ref="K405:K406"/>
    <mergeCell ref="J431:J432"/>
    <mergeCell ref="J861:J862"/>
    <mergeCell ref="K427:K428"/>
    <mergeCell ref="J423:J424"/>
    <mergeCell ref="J857:J858"/>
    <mergeCell ref="J859:J860"/>
    <mergeCell ref="J373:J374"/>
    <mergeCell ref="J391:J392"/>
    <mergeCell ref="J399:J400"/>
    <mergeCell ref="I397:I398"/>
    <mergeCell ref="I399:I400"/>
    <mergeCell ref="I377:I378"/>
    <mergeCell ref="J379:J380"/>
    <mergeCell ref="K465:K466"/>
    <mergeCell ref="J523:J524"/>
    <mergeCell ref="I415:I416"/>
    <mergeCell ref="I367:I368"/>
    <mergeCell ref="J357:J358"/>
    <mergeCell ref="J363:J364"/>
    <mergeCell ref="J443:J444"/>
    <mergeCell ref="J445:J446"/>
    <mergeCell ref="J447:J448"/>
    <mergeCell ref="J435:J436"/>
    <mergeCell ref="J561:J562"/>
    <mergeCell ref="J583:J584"/>
    <mergeCell ref="J593:J594"/>
    <mergeCell ref="J609:J610"/>
    <mergeCell ref="J845:J846"/>
    <mergeCell ref="J825:J826"/>
    <mergeCell ref="A11:A12"/>
    <mergeCell ref="A13:A14"/>
    <mergeCell ref="J823:J824"/>
    <mergeCell ref="J483:J484"/>
    <mergeCell ref="J495:J496"/>
    <mergeCell ref="J481:J482"/>
    <mergeCell ref="J501:J502"/>
    <mergeCell ref="J499:J500"/>
    <mergeCell ref="J497:J498"/>
    <mergeCell ref="J493:J494"/>
    <mergeCell ref="J477:J478"/>
    <mergeCell ref="J773:J774"/>
    <mergeCell ref="J755:J756"/>
    <mergeCell ref="J753:J754"/>
    <mergeCell ref="J789:J790"/>
    <mergeCell ref="J813:J814"/>
    <mergeCell ref="J817:J818"/>
    <mergeCell ref="J397:J398"/>
    <mergeCell ref="K219:K220"/>
    <mergeCell ref="K171:K172"/>
    <mergeCell ref="K217:K218"/>
    <mergeCell ref="K223:K224"/>
    <mergeCell ref="J17:J18"/>
    <mergeCell ref="J195:J196"/>
    <mergeCell ref="K201:K202"/>
    <mergeCell ref="K167:K168"/>
    <mergeCell ref="K177:K178"/>
    <mergeCell ref="K169:K170"/>
    <mergeCell ref="K165:K166"/>
    <mergeCell ref="K159:K160"/>
    <mergeCell ref="L1049:L1050"/>
    <mergeCell ref="K931:K932"/>
    <mergeCell ref="K907:K908"/>
    <mergeCell ref="J949:J950"/>
    <mergeCell ref="J941:J942"/>
    <mergeCell ref="J891:J892"/>
    <mergeCell ref="K911:K912"/>
    <mergeCell ref="K883:K884"/>
    <mergeCell ref="K905:K906"/>
    <mergeCell ref="J887:J888"/>
    <mergeCell ref="J899:J900"/>
    <mergeCell ref="K887:K888"/>
    <mergeCell ref="K885:K886"/>
    <mergeCell ref="J921:J922"/>
    <mergeCell ref="K1037:K1038"/>
    <mergeCell ref="K983:K984"/>
    <mergeCell ref="K961:K962"/>
    <mergeCell ref="K951:K952"/>
    <mergeCell ref="J955:J956"/>
    <mergeCell ref="K953:K954"/>
    <mergeCell ref="K973:K974"/>
    <mergeCell ref="K955:K956"/>
    <mergeCell ref="K903:K904"/>
    <mergeCell ref="K947:K948"/>
    <mergeCell ref="K879:K880"/>
    <mergeCell ref="J929:J930"/>
    <mergeCell ref="J901:J902"/>
    <mergeCell ref="K979:K980"/>
    <mergeCell ref="J957:J958"/>
    <mergeCell ref="K975:K976"/>
    <mergeCell ref="J873:J874"/>
    <mergeCell ref="K839:K840"/>
    <mergeCell ref="K845:K846"/>
    <mergeCell ref="K867:K868"/>
    <mergeCell ref="J913:J914"/>
    <mergeCell ref="K353:K354"/>
    <mergeCell ref="K365:K366"/>
    <mergeCell ref="K413:K414"/>
    <mergeCell ref="K419:K420"/>
    <mergeCell ref="K397:K398"/>
    <mergeCell ref="K409:K410"/>
    <mergeCell ref="K367:K368"/>
    <mergeCell ref="K385:K386"/>
    <mergeCell ref="K821:K822"/>
    <mergeCell ref="J837:J838"/>
    <mergeCell ref="K841:K842"/>
    <mergeCell ref="J847:J848"/>
    <mergeCell ref="J821:J822"/>
    <mergeCell ref="J853:J854"/>
    <mergeCell ref="K853:K854"/>
    <mergeCell ref="J851:J852"/>
    <mergeCell ref="J871:J872"/>
    <mergeCell ref="K859:K860"/>
    <mergeCell ref="K825:K826"/>
    <mergeCell ref="K835:K836"/>
    <mergeCell ref="J863:J864"/>
    <mergeCell ref="J907:J908"/>
    <mergeCell ref="K939:K940"/>
    <mergeCell ref="J885:J886"/>
    <mergeCell ref="K921:K922"/>
    <mergeCell ref="K927:K928"/>
    <mergeCell ref="J927:J928"/>
    <mergeCell ref="J931:J932"/>
    <mergeCell ref="J893:J894"/>
    <mergeCell ref="J943:J944"/>
    <mergeCell ref="J843:J844"/>
    <mergeCell ref="J839:J840"/>
    <mergeCell ref="J835:J836"/>
    <mergeCell ref="J841:J842"/>
    <mergeCell ref="J881:J882"/>
    <mergeCell ref="J911:J912"/>
    <mergeCell ref="J869:J870"/>
    <mergeCell ref="J915:J916"/>
    <mergeCell ref="K913:K914"/>
    <mergeCell ref="J889:J890"/>
    <mergeCell ref="K941:K942"/>
    <mergeCell ref="J883:J884"/>
    <mergeCell ref="K855:K856"/>
    <mergeCell ref="I901:I902"/>
    <mergeCell ref="I893:I894"/>
    <mergeCell ref="I913:I914"/>
    <mergeCell ref="I907:I908"/>
    <mergeCell ref="I881:I882"/>
    <mergeCell ref="I895:I896"/>
    <mergeCell ref="I899:I900"/>
    <mergeCell ref="J977:J978"/>
    <mergeCell ref="I969:I970"/>
    <mergeCell ref="K977:K978"/>
    <mergeCell ref="I957:I958"/>
    <mergeCell ref="K949:K950"/>
    <mergeCell ref="K937:K938"/>
    <mergeCell ref="K971:K972"/>
    <mergeCell ref="K893:K894"/>
    <mergeCell ref="K895:K896"/>
    <mergeCell ref="K923:K924"/>
    <mergeCell ref="J903:J904"/>
    <mergeCell ref="J925:J926"/>
    <mergeCell ref="K899:K900"/>
    <mergeCell ref="J919:J920"/>
    <mergeCell ref="K969:K970"/>
    <mergeCell ref="I917:I918"/>
    <mergeCell ref="I915:I916"/>
    <mergeCell ref="I921:I922"/>
    <mergeCell ref="I919:I920"/>
    <mergeCell ref="I909:I910"/>
    <mergeCell ref="I975:I976"/>
    <mergeCell ref="K945:K946"/>
    <mergeCell ref="K919:K920"/>
    <mergeCell ref="K943:K944"/>
    <mergeCell ref="J965:J966"/>
    <mergeCell ref="K875:K876"/>
    <mergeCell ref="J953:J954"/>
    <mergeCell ref="J959:J960"/>
    <mergeCell ref="J875:J876"/>
    <mergeCell ref="J969:J970"/>
    <mergeCell ref="K877:K878"/>
    <mergeCell ref="J877:J878"/>
    <mergeCell ref="K957:K958"/>
    <mergeCell ref="K967:K968"/>
    <mergeCell ref="J939:J940"/>
    <mergeCell ref="J935:J936"/>
    <mergeCell ref="J917:J918"/>
    <mergeCell ref="K935:K936"/>
    <mergeCell ref="J895:J896"/>
    <mergeCell ref="J933:J934"/>
    <mergeCell ref="K933:K934"/>
    <mergeCell ref="J923:J924"/>
    <mergeCell ref="K925:K926"/>
    <mergeCell ref="K929:K930"/>
    <mergeCell ref="K915:K916"/>
    <mergeCell ref="J879:J880"/>
    <mergeCell ref="J909:J910"/>
    <mergeCell ref="K909:K910"/>
    <mergeCell ref="K917:K918"/>
    <mergeCell ref="J897:J898"/>
    <mergeCell ref="K897:K898"/>
    <mergeCell ref="K965:K966"/>
    <mergeCell ref="K963:K964"/>
    <mergeCell ref="I987:I988"/>
    <mergeCell ref="I989:I990"/>
    <mergeCell ref="I1009:I1010"/>
    <mergeCell ref="I1005:I1006"/>
    <mergeCell ref="I981:I982"/>
    <mergeCell ref="I983:I984"/>
    <mergeCell ref="J963:J964"/>
    <mergeCell ref="J947:J948"/>
    <mergeCell ref="J937:J938"/>
    <mergeCell ref="I967:I968"/>
    <mergeCell ref="I973:I974"/>
    <mergeCell ref="I965:I966"/>
    <mergeCell ref="J973:J974"/>
    <mergeCell ref="J975:J976"/>
    <mergeCell ref="I955:I956"/>
    <mergeCell ref="I997:I998"/>
    <mergeCell ref="J1009:J1010"/>
    <mergeCell ref="J1007:J1008"/>
    <mergeCell ref="I977:I978"/>
    <mergeCell ref="J967:J968"/>
    <mergeCell ref="J945:J946"/>
    <mergeCell ref="J971:J972"/>
    <mergeCell ref="I959:I960"/>
    <mergeCell ref="I925:I926"/>
    <mergeCell ref="K1031:K1032"/>
    <mergeCell ref="I991:I992"/>
    <mergeCell ref="K985:K986"/>
    <mergeCell ref="K999:K1000"/>
    <mergeCell ref="K1001:K1002"/>
    <mergeCell ref="K1003:K1004"/>
    <mergeCell ref="J999:J1000"/>
    <mergeCell ref="I951:I952"/>
    <mergeCell ref="I927:I928"/>
    <mergeCell ref="J951:J952"/>
    <mergeCell ref="J979:J980"/>
    <mergeCell ref="I979:I980"/>
    <mergeCell ref="J983:J984"/>
    <mergeCell ref="J981:J982"/>
    <mergeCell ref="I971:I972"/>
    <mergeCell ref="J1025:J1026"/>
    <mergeCell ref="J1023:J1024"/>
    <mergeCell ref="K1013:K1014"/>
    <mergeCell ref="J1001:J1002"/>
    <mergeCell ref="K987:K988"/>
    <mergeCell ref="K991:K992"/>
    <mergeCell ref="J993:J994"/>
    <mergeCell ref="K993:K994"/>
    <mergeCell ref="K1005:K1006"/>
    <mergeCell ref="K1019:K1020"/>
    <mergeCell ref="K1011:K1012"/>
    <mergeCell ref="I945:I946"/>
    <mergeCell ref="I947:I948"/>
    <mergeCell ref="I929:I930"/>
    <mergeCell ref="I933:I934"/>
    <mergeCell ref="J985:J986"/>
    <mergeCell ref="I1041:I1042"/>
    <mergeCell ref="I985:I986"/>
    <mergeCell ref="I995:I996"/>
    <mergeCell ref="J995:J996"/>
    <mergeCell ref="I1029:I1030"/>
    <mergeCell ref="I1037:I1038"/>
    <mergeCell ref="I1019:I1020"/>
    <mergeCell ref="I1007:I1008"/>
    <mergeCell ref="I1003:I1004"/>
    <mergeCell ref="J1041:J1042"/>
    <mergeCell ref="J1033:J1034"/>
    <mergeCell ref="I1015:I1016"/>
    <mergeCell ref="I1039:I1040"/>
    <mergeCell ref="J1029:J1030"/>
    <mergeCell ref="I1035:I1036"/>
    <mergeCell ref="I1023:I1024"/>
    <mergeCell ref="I993:I994"/>
    <mergeCell ref="I1013:I1014"/>
    <mergeCell ref="I999:I1000"/>
    <mergeCell ref="I1001:I1002"/>
    <mergeCell ref="I1025:I1026"/>
    <mergeCell ref="I1031:I1032"/>
    <mergeCell ref="I1011:I1012"/>
    <mergeCell ref="J1003:J1004"/>
    <mergeCell ref="J997:J998"/>
    <mergeCell ref="I1033:I1034"/>
    <mergeCell ref="I1021:I1022"/>
    <mergeCell ref="I1027:I1028"/>
    <mergeCell ref="J987:J988"/>
    <mergeCell ref="J1027:J1028"/>
    <mergeCell ref="J1019:J1020"/>
    <mergeCell ref="J1005:J1006"/>
    <mergeCell ref="M1045:M1046"/>
    <mergeCell ref="L1045:L1046"/>
    <mergeCell ref="L1043:L1044"/>
    <mergeCell ref="K1015:K1016"/>
    <mergeCell ref="K1045:K1046"/>
    <mergeCell ref="J1021:J1022"/>
    <mergeCell ref="J1015:J1016"/>
    <mergeCell ref="J1011:J1012"/>
    <mergeCell ref="J1037:J1038"/>
    <mergeCell ref="J1039:J1040"/>
    <mergeCell ref="J1031:J1032"/>
    <mergeCell ref="K1041:K1042"/>
    <mergeCell ref="K1043:K1044"/>
    <mergeCell ref="K1029:K1030"/>
    <mergeCell ref="K1033:K1034"/>
    <mergeCell ref="K1039:K1040"/>
    <mergeCell ref="K1007:K1008"/>
    <mergeCell ref="J1035:J1036"/>
    <mergeCell ref="K1027:K1028"/>
    <mergeCell ref="K1035:K1036"/>
    <mergeCell ref="K1021:K1022"/>
    <mergeCell ref="K1023:K1024"/>
    <mergeCell ref="K1025:K1026"/>
    <mergeCell ref="K1009:K1010"/>
    <mergeCell ref="J855:J856"/>
    <mergeCell ref="K843:K844"/>
    <mergeCell ref="K989:K990"/>
    <mergeCell ref="K995:K996"/>
    <mergeCell ref="J1013:J1014"/>
    <mergeCell ref="J991:J992"/>
    <mergeCell ref="J989:J990"/>
    <mergeCell ref="L797:L798"/>
    <mergeCell ref="K997:K998"/>
    <mergeCell ref="K891:K892"/>
    <mergeCell ref="K901:K902"/>
    <mergeCell ref="K823:K824"/>
    <mergeCell ref="K837:K838"/>
    <mergeCell ref="K857:K858"/>
    <mergeCell ref="K959:K960"/>
    <mergeCell ref="K889:K890"/>
    <mergeCell ref="K817:K818"/>
    <mergeCell ref="K881:K882"/>
    <mergeCell ref="K869:K870"/>
    <mergeCell ref="K871:K872"/>
    <mergeCell ref="K873:K874"/>
    <mergeCell ref="K863:K864"/>
    <mergeCell ref="K861:K862"/>
    <mergeCell ref="K827:K828"/>
    <mergeCell ref="K849:K850"/>
    <mergeCell ref="K801:K802"/>
    <mergeCell ref="K981:K982"/>
    <mergeCell ref="K829:K830"/>
    <mergeCell ref="K833:K834"/>
    <mergeCell ref="J827:J828"/>
    <mergeCell ref="J811:J812"/>
    <mergeCell ref="K809:K810"/>
    <mergeCell ref="L637:L638"/>
    <mergeCell ref="K559:K560"/>
    <mergeCell ref="K573:K574"/>
    <mergeCell ref="K687:K688"/>
    <mergeCell ref="K541:K542"/>
    <mergeCell ref="K577:K578"/>
    <mergeCell ref="K737:K738"/>
    <mergeCell ref="K641:K642"/>
    <mergeCell ref="K657:K658"/>
    <mergeCell ref="K709:K710"/>
    <mergeCell ref="K701:K702"/>
    <mergeCell ref="K565:K566"/>
    <mergeCell ref="K575:K576"/>
    <mergeCell ref="K605:K606"/>
    <mergeCell ref="K609:K610"/>
    <mergeCell ref="K599:K600"/>
    <mergeCell ref="K561:K562"/>
    <mergeCell ref="K645:K646"/>
    <mergeCell ref="K723:K724"/>
    <mergeCell ref="K553:K554"/>
    <mergeCell ref="K623:K624"/>
    <mergeCell ref="K585:K586"/>
    <mergeCell ref="K545:K546"/>
    <mergeCell ref="K597:K598"/>
    <mergeCell ref="K589:K590"/>
    <mergeCell ref="L231:L232"/>
    <mergeCell ref="L549:L550"/>
    <mergeCell ref="K263:K264"/>
    <mergeCell ref="K253:K254"/>
    <mergeCell ref="K255:K256"/>
    <mergeCell ref="K243:K244"/>
    <mergeCell ref="K231:K232"/>
    <mergeCell ref="K275:K276"/>
    <mergeCell ref="K265:K266"/>
    <mergeCell ref="K335:K336"/>
    <mergeCell ref="K259:K260"/>
    <mergeCell ref="K383:K384"/>
    <mergeCell ref="K355:K356"/>
    <mergeCell ref="L539:L540"/>
    <mergeCell ref="K273:K274"/>
    <mergeCell ref="K337:K338"/>
    <mergeCell ref="K549:K550"/>
    <mergeCell ref="K329:K330"/>
    <mergeCell ref="K233:K234"/>
    <mergeCell ref="K499:K500"/>
    <mergeCell ref="K313:K314"/>
    <mergeCell ref="K475:K476"/>
    <mergeCell ref="K515:K516"/>
    <mergeCell ref="K471:K472"/>
    <mergeCell ref="K493:K494"/>
    <mergeCell ref="K505:K506"/>
    <mergeCell ref="K507:K508"/>
    <mergeCell ref="K497:K498"/>
    <mergeCell ref="K513:K514"/>
    <mergeCell ref="L325:L326"/>
    <mergeCell ref="L405:L406"/>
    <mergeCell ref="K277:K278"/>
    <mergeCell ref="K403:K404"/>
    <mergeCell ref="K357:K358"/>
    <mergeCell ref="K423:K424"/>
    <mergeCell ref="K399:K400"/>
    <mergeCell ref="K467:K468"/>
    <mergeCell ref="K441:K442"/>
    <mergeCell ref="K379:K380"/>
    <mergeCell ref="K351:K352"/>
    <mergeCell ref="K373:K374"/>
    <mergeCell ref="K417:K418"/>
    <mergeCell ref="K451:K452"/>
    <mergeCell ref="J751:J752"/>
    <mergeCell ref="J749:J750"/>
    <mergeCell ref="J719:J720"/>
    <mergeCell ref="J679:J680"/>
    <mergeCell ref="J685:J686"/>
    <mergeCell ref="K693:K694"/>
    <mergeCell ref="K675:K676"/>
    <mergeCell ref="K745:K746"/>
    <mergeCell ref="K713:K714"/>
    <mergeCell ref="K679:K680"/>
    <mergeCell ref="K751:K752"/>
    <mergeCell ref="K495:K496"/>
    <mergeCell ref="K479:K480"/>
    <mergeCell ref="K739:K740"/>
    <mergeCell ref="J723:J724"/>
    <mergeCell ref="K727:K728"/>
    <mergeCell ref="K749:K750"/>
    <mergeCell ref="K717:K718"/>
    <mergeCell ref="K747:K748"/>
    <mergeCell ref="J741:J742"/>
    <mergeCell ref="J727:J728"/>
    <mergeCell ref="K741:K742"/>
    <mergeCell ref="J739:J740"/>
    <mergeCell ref="K691:K692"/>
    <mergeCell ref="J441:J442"/>
    <mergeCell ref="K453:K454"/>
    <mergeCell ref="K455:K456"/>
    <mergeCell ref="J761:J762"/>
    <mergeCell ref="J711:J712"/>
    <mergeCell ref="J701:J702"/>
    <mergeCell ref="K443:K444"/>
    <mergeCell ref="J469:J470"/>
    <mergeCell ref="K699:K700"/>
    <mergeCell ref="K681:K682"/>
    <mergeCell ref="K697:K698"/>
    <mergeCell ref="J743:J744"/>
    <mergeCell ref="K743:K744"/>
    <mergeCell ref="J747:J748"/>
    <mergeCell ref="K755:K756"/>
    <mergeCell ref="K759:K760"/>
    <mergeCell ref="J757:J758"/>
    <mergeCell ref="J745:J746"/>
    <mergeCell ref="J693:J694"/>
    <mergeCell ref="K469:K470"/>
    <mergeCell ref="K481:K482"/>
    <mergeCell ref="J455:J456"/>
    <mergeCell ref="J461:J462"/>
    <mergeCell ref="J479:J480"/>
    <mergeCell ref="J485:J486"/>
    <mergeCell ref="J471:J472"/>
    <mergeCell ref="K483:K484"/>
    <mergeCell ref="K487:K488"/>
    <mergeCell ref="K757:K758"/>
    <mergeCell ref="J669:J670"/>
    <mergeCell ref="K665:K666"/>
    <mergeCell ref="K731:K732"/>
    <mergeCell ref="J675:J676"/>
    <mergeCell ref="J697:J698"/>
    <mergeCell ref="K683:K684"/>
    <mergeCell ref="J687:J688"/>
    <mergeCell ref="K735:K736"/>
    <mergeCell ref="K671:K672"/>
    <mergeCell ref="J673:J674"/>
    <mergeCell ref="K729:K730"/>
    <mergeCell ref="K721:K722"/>
    <mergeCell ref="J709:J710"/>
    <mergeCell ref="K695:K696"/>
    <mergeCell ref="J721:J722"/>
    <mergeCell ref="J713:J714"/>
    <mergeCell ref="J703:J704"/>
    <mergeCell ref="J699:J700"/>
    <mergeCell ref="K711:K712"/>
    <mergeCell ref="K797:K798"/>
    <mergeCell ref="K807:K808"/>
    <mergeCell ref="J785:J786"/>
    <mergeCell ref="K803:K804"/>
    <mergeCell ref="K811:K812"/>
    <mergeCell ref="K813:K814"/>
    <mergeCell ref="K795:K796"/>
    <mergeCell ref="J795:J796"/>
    <mergeCell ref="K815:K816"/>
    <mergeCell ref="J807:J808"/>
    <mergeCell ref="K805:K806"/>
    <mergeCell ref="J791:J792"/>
    <mergeCell ref="K799:K800"/>
    <mergeCell ref="J819:J820"/>
    <mergeCell ref="J769:J770"/>
    <mergeCell ref="J809:J810"/>
    <mergeCell ref="K789:K790"/>
    <mergeCell ref="K775:K776"/>
    <mergeCell ref="J787:J788"/>
    <mergeCell ref="K783:K784"/>
    <mergeCell ref="J781:J782"/>
    <mergeCell ref="K787:K788"/>
    <mergeCell ref="K819:K820"/>
    <mergeCell ref="J803:J804"/>
    <mergeCell ref="J805:J806"/>
    <mergeCell ref="K771:K772"/>
    <mergeCell ref="K669:K670"/>
    <mergeCell ref="K551:K552"/>
    <mergeCell ref="K763:K764"/>
    <mergeCell ref="K785:K786"/>
    <mergeCell ref="J783:J784"/>
    <mergeCell ref="J779:J780"/>
    <mergeCell ref="K765:K766"/>
    <mergeCell ref="J771:J772"/>
    <mergeCell ref="J759:J760"/>
    <mergeCell ref="K767:K768"/>
    <mergeCell ref="J767:J768"/>
    <mergeCell ref="K761:K762"/>
    <mergeCell ref="J777:J778"/>
    <mergeCell ref="K773:K774"/>
    <mergeCell ref="K777:K778"/>
    <mergeCell ref="J763:J764"/>
    <mergeCell ref="K769:K770"/>
    <mergeCell ref="J775:J776"/>
    <mergeCell ref="K779:K780"/>
    <mergeCell ref="K753:K754"/>
    <mergeCell ref="J715:J716"/>
    <mergeCell ref="K705:K706"/>
    <mergeCell ref="K673:K674"/>
    <mergeCell ref="J665:J666"/>
    <mergeCell ref="J707:J708"/>
    <mergeCell ref="J683:J684"/>
    <mergeCell ref="K719:K720"/>
    <mergeCell ref="J735:J736"/>
    <mergeCell ref="J733:J734"/>
    <mergeCell ref="K707:K708"/>
    <mergeCell ref="J705:J706"/>
    <mergeCell ref="K733:K734"/>
    <mergeCell ref="K517:K518"/>
    <mergeCell ref="K539:K540"/>
    <mergeCell ref="J729:J730"/>
    <mergeCell ref="J689:J690"/>
    <mergeCell ref="K655:K656"/>
    <mergeCell ref="J677:J678"/>
    <mergeCell ref="J671:J672"/>
    <mergeCell ref="K715:K716"/>
    <mergeCell ref="J731:J732"/>
    <mergeCell ref="J765:J766"/>
    <mergeCell ref="J667:J668"/>
    <mergeCell ref="J801:J802"/>
    <mergeCell ref="J815:J816"/>
    <mergeCell ref="K791:K792"/>
    <mergeCell ref="K781:K782"/>
    <mergeCell ref="C6:J7"/>
    <mergeCell ref="K685:K686"/>
    <mergeCell ref="K677:K678"/>
    <mergeCell ref="K519:K520"/>
    <mergeCell ref="K421:K422"/>
    <mergeCell ref="K411:K412"/>
    <mergeCell ref="K433:K434"/>
    <mergeCell ref="K477:K478"/>
    <mergeCell ref="K395:K396"/>
    <mergeCell ref="I635:I636"/>
    <mergeCell ref="I669:I670"/>
    <mergeCell ref="K503:K504"/>
    <mergeCell ref="J503:J504"/>
    <mergeCell ref="J553:J554"/>
    <mergeCell ref="K587:K588"/>
    <mergeCell ref="J581:J582"/>
    <mergeCell ref="K659:K660"/>
    <mergeCell ref="J369:J370"/>
    <mergeCell ref="K321:K322"/>
    <mergeCell ref="K317:K318"/>
    <mergeCell ref="K301:K302"/>
    <mergeCell ref="J335:J336"/>
    <mergeCell ref="J659:J660"/>
    <mergeCell ref="K663:K664"/>
    <mergeCell ref="J663:J664"/>
    <mergeCell ref="J565:J566"/>
    <mergeCell ref="K527:K528"/>
    <mergeCell ref="K591:K592"/>
    <mergeCell ref="K595:K596"/>
    <mergeCell ref="J557:J558"/>
    <mergeCell ref="J573:J574"/>
    <mergeCell ref="K523:K524"/>
    <mergeCell ref="J519:J520"/>
    <mergeCell ref="J505:J506"/>
    <mergeCell ref="J515:J516"/>
    <mergeCell ref="J507:J508"/>
    <mergeCell ref="K525:K526"/>
    <mergeCell ref="J509:J510"/>
    <mergeCell ref="K543:K544"/>
    <mergeCell ref="K537:K538"/>
    <mergeCell ref="J521:J522"/>
    <mergeCell ref="K511:K512"/>
    <mergeCell ref="K509:K510"/>
    <mergeCell ref="K531:K532"/>
    <mergeCell ref="J535:J536"/>
    <mergeCell ref="J525:J526"/>
    <mergeCell ref="J511:J512"/>
    <mergeCell ref="J545:J546"/>
    <mergeCell ref="K533:K534"/>
    <mergeCell ref="J219:J220"/>
    <mergeCell ref="J223:J224"/>
    <mergeCell ref="J217:J218"/>
    <mergeCell ref="J213:J214"/>
    <mergeCell ref="J237:J238"/>
    <mergeCell ref="J305:J306"/>
    <mergeCell ref="K319:K320"/>
    <mergeCell ref="J257:J258"/>
    <mergeCell ref="J265:J266"/>
    <mergeCell ref="J273:J274"/>
    <mergeCell ref="K61:K62"/>
    <mergeCell ref="J465:J466"/>
    <mergeCell ref="J459:J460"/>
    <mergeCell ref="K459:K460"/>
    <mergeCell ref="K447:K448"/>
    <mergeCell ref="J453:J454"/>
    <mergeCell ref="K457:K458"/>
    <mergeCell ref="J451:J452"/>
    <mergeCell ref="J229:J230"/>
    <mergeCell ref="K199:K200"/>
    <mergeCell ref="J203:J204"/>
    <mergeCell ref="K207:K208"/>
    <mergeCell ref="K213:K214"/>
    <mergeCell ref="K161:K162"/>
    <mergeCell ref="K377:K378"/>
    <mergeCell ref="K369:K370"/>
    <mergeCell ref="K343:K344"/>
    <mergeCell ref="K203:K204"/>
    <mergeCell ref="J359:J360"/>
    <mergeCell ref="J355:J356"/>
    <mergeCell ref="J313:J314"/>
    <mergeCell ref="K235:K236"/>
    <mergeCell ref="J385:J386"/>
    <mergeCell ref="J393:J394"/>
    <mergeCell ref="J417:J418"/>
    <mergeCell ref="J411:J412"/>
    <mergeCell ref="K289:K290"/>
    <mergeCell ref="K297:K298"/>
    <mergeCell ref="K269:K270"/>
    <mergeCell ref="K305:K306"/>
    <mergeCell ref="K327:K328"/>
    <mergeCell ref="K387:K388"/>
    <mergeCell ref="K371:K372"/>
    <mergeCell ref="J329:J330"/>
    <mergeCell ref="K333:K334"/>
    <mergeCell ref="K311:K312"/>
    <mergeCell ref="J285:J286"/>
    <mergeCell ref="J319:J320"/>
    <mergeCell ref="J317:J318"/>
    <mergeCell ref="J321:J322"/>
    <mergeCell ref="J293:J294"/>
    <mergeCell ref="J301:J302"/>
    <mergeCell ref="J271:J272"/>
    <mergeCell ref="K271:K272"/>
    <mergeCell ref="J381:J382"/>
    <mergeCell ref="J279:J280"/>
    <mergeCell ref="J291:J292"/>
    <mergeCell ref="J311:J312"/>
    <mergeCell ref="J299:J300"/>
    <mergeCell ref="K381:K382"/>
    <mergeCell ref="K345:K346"/>
    <mergeCell ref="K339:K340"/>
    <mergeCell ref="K341:K342"/>
    <mergeCell ref="J375:J376"/>
    <mergeCell ref="K461:K462"/>
    <mergeCell ref="K463:K464"/>
    <mergeCell ref="J473:J474"/>
    <mergeCell ref="J463:J464"/>
    <mergeCell ref="J475:J476"/>
    <mergeCell ref="K181:K182"/>
    <mergeCell ref="J489:J490"/>
    <mergeCell ref="K437:K438"/>
    <mergeCell ref="K407:K408"/>
    <mergeCell ref="J339:J340"/>
    <mergeCell ref="J341:J342"/>
    <mergeCell ref="J343:J344"/>
    <mergeCell ref="K315:K316"/>
    <mergeCell ref="J315:J316"/>
    <mergeCell ref="J337:J338"/>
    <mergeCell ref="K323:K324"/>
    <mergeCell ref="J263:J264"/>
    <mergeCell ref="K431:K432"/>
    <mergeCell ref="J303:J304"/>
    <mergeCell ref="K425:K426"/>
    <mergeCell ref="J449:J450"/>
    <mergeCell ref="K237:K238"/>
    <mergeCell ref="K449:K450"/>
    <mergeCell ref="K227:K228"/>
    <mergeCell ref="K221:K222"/>
    <mergeCell ref="K225:K226"/>
    <mergeCell ref="J215:J216"/>
    <mergeCell ref="J207:J208"/>
    <mergeCell ref="J209:J210"/>
    <mergeCell ref="K215:K216"/>
    <mergeCell ref="K185:K186"/>
    <mergeCell ref="J227:J228"/>
    <mergeCell ref="K211:K212"/>
    <mergeCell ref="J211:J212"/>
    <mergeCell ref="K183:K184"/>
    <mergeCell ref="K205:K206"/>
    <mergeCell ref="K191:K192"/>
    <mergeCell ref="K209:K210"/>
    <mergeCell ref="K193:K194"/>
    <mergeCell ref="K195:K196"/>
    <mergeCell ref="H153:H154"/>
    <mergeCell ref="J147:J148"/>
    <mergeCell ref="H87:H88"/>
    <mergeCell ref="K163:K164"/>
    <mergeCell ref="J205:J206"/>
    <mergeCell ref="J201:J202"/>
    <mergeCell ref="J189:J190"/>
    <mergeCell ref="J169:J170"/>
    <mergeCell ref="J187:J188"/>
    <mergeCell ref="J157:J158"/>
    <mergeCell ref="J167:J168"/>
    <mergeCell ref="I145:I146"/>
    <mergeCell ref="J165:J166"/>
    <mergeCell ref="J181:J182"/>
    <mergeCell ref="J183:J184"/>
    <mergeCell ref="J193:J194"/>
    <mergeCell ref="J171:J172"/>
    <mergeCell ref="K119:K120"/>
    <mergeCell ref="J151:J152"/>
    <mergeCell ref="I153:I154"/>
    <mergeCell ref="I149:I150"/>
    <mergeCell ref="I181:I182"/>
    <mergeCell ref="I177:I178"/>
    <mergeCell ref="I169:I170"/>
    <mergeCell ref="K153:K154"/>
    <mergeCell ref="K109:K110"/>
    <mergeCell ref="I89:I90"/>
    <mergeCell ref="I131:I132"/>
    <mergeCell ref="J139:J140"/>
    <mergeCell ref="K135:K136"/>
    <mergeCell ref="I141:I142"/>
    <mergeCell ref="J135:J136"/>
    <mergeCell ref="I81:I82"/>
    <mergeCell ref="K121:K122"/>
    <mergeCell ref="J113:J114"/>
    <mergeCell ref="K113:K114"/>
    <mergeCell ref="I129:I130"/>
    <mergeCell ref="K77:K78"/>
    <mergeCell ref="I127:I128"/>
    <mergeCell ref="I161:I162"/>
    <mergeCell ref="I59:I60"/>
    <mergeCell ref="J75:J76"/>
    <mergeCell ref="I75:I76"/>
    <mergeCell ref="I77:I78"/>
    <mergeCell ref="J111:J112"/>
    <mergeCell ref="I155:I156"/>
    <mergeCell ref="J155:J156"/>
    <mergeCell ref="I113:I114"/>
    <mergeCell ref="J145:J146"/>
    <mergeCell ref="I91:I92"/>
    <mergeCell ref="I143:I144"/>
    <mergeCell ref="J143:J144"/>
    <mergeCell ref="K143:K144"/>
    <mergeCell ref="J141:J142"/>
    <mergeCell ref="K93:K94"/>
    <mergeCell ref="K95:K96"/>
    <mergeCell ref="J185:J186"/>
    <mergeCell ref="I157:I158"/>
    <mergeCell ref="I183:I184"/>
    <mergeCell ref="K127:K128"/>
    <mergeCell ref="K107:K108"/>
    <mergeCell ref="K97:K98"/>
    <mergeCell ref="I65:I66"/>
    <mergeCell ref="I85:I86"/>
    <mergeCell ref="J109:J110"/>
    <mergeCell ref="K79:K80"/>
    <mergeCell ref="I117:I118"/>
    <mergeCell ref="I61:I62"/>
    <mergeCell ref="I95:I96"/>
    <mergeCell ref="I97:I98"/>
    <mergeCell ref="J79:J80"/>
    <mergeCell ref="K59:K60"/>
    <mergeCell ref="H79:H80"/>
    <mergeCell ref="H89:H90"/>
    <mergeCell ref="H137:H138"/>
    <mergeCell ref="H117:H118"/>
    <mergeCell ref="I107:I108"/>
    <mergeCell ref="J87:J88"/>
    <mergeCell ref="K151:K152"/>
    <mergeCell ref="J159:J160"/>
    <mergeCell ref="I173:I174"/>
    <mergeCell ref="I147:I148"/>
    <mergeCell ref="J127:J128"/>
    <mergeCell ref="J89:J90"/>
    <mergeCell ref="J133:J134"/>
    <mergeCell ref="J121:J122"/>
    <mergeCell ref="K115:K116"/>
    <mergeCell ref="K145:K146"/>
    <mergeCell ref="I9:I10"/>
    <mergeCell ref="I41:I42"/>
    <mergeCell ref="J105:J106"/>
    <mergeCell ref="I103:I104"/>
    <mergeCell ref="I105:I106"/>
    <mergeCell ref="J45:J46"/>
    <mergeCell ref="K139:K140"/>
    <mergeCell ref="J119:J120"/>
    <mergeCell ref="J125:J126"/>
    <mergeCell ref="J73:J74"/>
    <mergeCell ref="K49:K50"/>
    <mergeCell ref="K89:K90"/>
    <mergeCell ref="K99:K100"/>
    <mergeCell ref="K123:K124"/>
    <mergeCell ref="K91:K92"/>
    <mergeCell ref="J49:J50"/>
    <mergeCell ref="J149:J150"/>
    <mergeCell ref="K141:K142"/>
    <mergeCell ref="J103:J104"/>
    <mergeCell ref="K137:K138"/>
    <mergeCell ref="J55:J56"/>
    <mergeCell ref="K129:K130"/>
    <mergeCell ref="K73:K74"/>
    <mergeCell ref="K63:K64"/>
    <mergeCell ref="J131:J132"/>
    <mergeCell ref="J117:J118"/>
    <mergeCell ref="K85:K86"/>
    <mergeCell ref="K125:K126"/>
    <mergeCell ref="K19:K20"/>
    <mergeCell ref="K35:K36"/>
    <mergeCell ref="K9:K10"/>
    <mergeCell ref="J21:J22"/>
    <mergeCell ref="J37:J38"/>
    <mergeCell ref="G29:G30"/>
    <mergeCell ref="B25:F26"/>
    <mergeCell ref="J77:J78"/>
    <mergeCell ref="J115:J116"/>
    <mergeCell ref="K13:K14"/>
    <mergeCell ref="J83:J84"/>
    <mergeCell ref="J91:J92"/>
    <mergeCell ref="I109:I110"/>
    <mergeCell ref="J93:J94"/>
    <mergeCell ref="I79:I80"/>
    <mergeCell ref="I83:I84"/>
    <mergeCell ref="K105:K106"/>
    <mergeCell ref="K83:K84"/>
    <mergeCell ref="K67:K68"/>
    <mergeCell ref="K81:K82"/>
    <mergeCell ref="J95:J96"/>
    <mergeCell ref="K111:K112"/>
    <mergeCell ref="J53:J54"/>
    <mergeCell ref="J69:J70"/>
    <mergeCell ref="J59:J60"/>
    <mergeCell ref="K87:K88"/>
    <mergeCell ref="J107:J108"/>
    <mergeCell ref="J85:J86"/>
    <mergeCell ref="K33:K34"/>
    <mergeCell ref="G9:G10"/>
    <mergeCell ref="B13:F14"/>
    <mergeCell ref="H69:H70"/>
    <mergeCell ref="J101:J102"/>
    <mergeCell ref="K101:K102"/>
    <mergeCell ref="K37:K38"/>
    <mergeCell ref="K47:K48"/>
    <mergeCell ref="B11:F12"/>
    <mergeCell ref="H19:H20"/>
    <mergeCell ref="B9:F10"/>
    <mergeCell ref="J15:J16"/>
    <mergeCell ref="H17:H18"/>
    <mergeCell ref="G55:G56"/>
    <mergeCell ref="B65:F66"/>
    <mergeCell ref="G35:G36"/>
    <mergeCell ref="G51:G52"/>
    <mergeCell ref="H21:H22"/>
    <mergeCell ref="H27:H28"/>
    <mergeCell ref="J41:J42"/>
    <mergeCell ref="H9:H10"/>
    <mergeCell ref="G25:G26"/>
    <mergeCell ref="K69:K70"/>
    <mergeCell ref="K31:K32"/>
    <mergeCell ref="I39:I40"/>
    <mergeCell ref="G33:G34"/>
    <mergeCell ref="K41:K42"/>
    <mergeCell ref="K15:K16"/>
    <mergeCell ref="G17:G18"/>
    <mergeCell ref="G59:G60"/>
    <mergeCell ref="B19:F20"/>
    <mergeCell ref="K23:K24"/>
    <mergeCell ref="I19:I20"/>
    <mergeCell ref="K51:K52"/>
    <mergeCell ref="J61:J62"/>
    <mergeCell ref="K43:K44"/>
    <mergeCell ref="J23:J24"/>
    <mergeCell ref="J71:J72"/>
    <mergeCell ref="J33:J34"/>
    <mergeCell ref="J39:J40"/>
    <mergeCell ref="J25:J26"/>
    <mergeCell ref="H29:H30"/>
    <mergeCell ref="B47:F48"/>
    <mergeCell ref="G31:G32"/>
    <mergeCell ref="I29:I30"/>
    <mergeCell ref="J51:J52"/>
    <mergeCell ref="I115:I116"/>
    <mergeCell ref="J19:J20"/>
    <mergeCell ref="K21:K22"/>
    <mergeCell ref="K25:K26"/>
    <mergeCell ref="K39:K40"/>
    <mergeCell ref="I21:I22"/>
    <mergeCell ref="I121:I122"/>
    <mergeCell ref="J47:J48"/>
    <mergeCell ref="K117:K118"/>
    <mergeCell ref="K103:K104"/>
    <mergeCell ref="I87:I88"/>
    <mergeCell ref="J97:J98"/>
    <mergeCell ref="I119:I120"/>
    <mergeCell ref="I111:I112"/>
    <mergeCell ref="G41:G42"/>
    <mergeCell ref="G75:G76"/>
    <mergeCell ref="J81:J82"/>
    <mergeCell ref="G87:G88"/>
    <mergeCell ref="G105:G106"/>
    <mergeCell ref="H105:H106"/>
    <mergeCell ref="J43:J44"/>
    <mergeCell ref="J31:J32"/>
    <mergeCell ref="K75:K76"/>
    <mergeCell ref="J35:J36"/>
    <mergeCell ref="I71:I72"/>
    <mergeCell ref="J63:J64"/>
    <mergeCell ref="J65:J66"/>
    <mergeCell ref="K45:K46"/>
    <mergeCell ref="K55:K56"/>
    <mergeCell ref="I43:I44"/>
    <mergeCell ref="J27:J28"/>
    <mergeCell ref="H53:H54"/>
    <mergeCell ref="J29:J30"/>
    <mergeCell ref="K27:K28"/>
    <mergeCell ref="K29:K30"/>
    <mergeCell ref="I27:I28"/>
    <mergeCell ref="B41:F42"/>
    <mergeCell ref="H55:H56"/>
    <mergeCell ref="K71:K72"/>
    <mergeCell ref="K53:K54"/>
    <mergeCell ref="G27:G28"/>
    <mergeCell ref="K65:K66"/>
    <mergeCell ref="B75:F76"/>
    <mergeCell ref="H25:H26"/>
    <mergeCell ref="H63:H64"/>
    <mergeCell ref="G21:G22"/>
    <mergeCell ref="B21:F22"/>
    <mergeCell ref="G63:G64"/>
    <mergeCell ref="G43:G44"/>
    <mergeCell ref="I45:I46"/>
    <mergeCell ref="H43:H44"/>
    <mergeCell ref="H47:H48"/>
    <mergeCell ref="B59:F60"/>
    <mergeCell ref="B69:F70"/>
    <mergeCell ref="B71:F72"/>
    <mergeCell ref="G69:G70"/>
    <mergeCell ref="B31:F32"/>
    <mergeCell ref="B39:F40"/>
    <mergeCell ref="B35:F36"/>
    <mergeCell ref="H65:H66"/>
    <mergeCell ref="I49:I50"/>
    <mergeCell ref="I37:I38"/>
    <mergeCell ref="G53:G54"/>
    <mergeCell ref="I25:I26"/>
    <mergeCell ref="I23:I24"/>
    <mergeCell ref="H41:H42"/>
    <mergeCell ref="I33:I34"/>
    <mergeCell ref="H39:H40"/>
    <mergeCell ref="H35:H36"/>
    <mergeCell ref="H33:H34"/>
    <mergeCell ref="H31:H32"/>
    <mergeCell ref="H37:H38"/>
    <mergeCell ref="I47:I48"/>
    <mergeCell ref="B23:F24"/>
    <mergeCell ref="H51:H52"/>
    <mergeCell ref="H59:H60"/>
    <mergeCell ref="G61:G62"/>
    <mergeCell ref="B27:F28"/>
    <mergeCell ref="H61:H62"/>
    <mergeCell ref="G47:G48"/>
    <mergeCell ref="B63:F64"/>
    <mergeCell ref="B73:F74"/>
    <mergeCell ref="B67:F68"/>
    <mergeCell ref="I55:I56"/>
    <mergeCell ref="I73:I74"/>
    <mergeCell ref="I63:I64"/>
    <mergeCell ref="B55:F56"/>
    <mergeCell ref="B51:F52"/>
    <mergeCell ref="I51:I52"/>
    <mergeCell ref="G37:G38"/>
    <mergeCell ref="G65:G66"/>
    <mergeCell ref="G39:G40"/>
    <mergeCell ref="B61:F62"/>
    <mergeCell ref="H45:H46"/>
    <mergeCell ref="H73:H74"/>
    <mergeCell ref="I53:I54"/>
    <mergeCell ref="B43:F44"/>
    <mergeCell ref="I69:I70"/>
    <mergeCell ref="B37:F38"/>
    <mergeCell ref="H71:H72"/>
    <mergeCell ref="I35:I36"/>
    <mergeCell ref="B29:F30"/>
    <mergeCell ref="G73:G74"/>
    <mergeCell ref="G71:G72"/>
    <mergeCell ref="I31:I32"/>
    <mergeCell ref="H103:H104"/>
    <mergeCell ref="B105:F106"/>
    <mergeCell ref="B87:F88"/>
    <mergeCell ref="H115:H116"/>
    <mergeCell ref="G89:G90"/>
    <mergeCell ref="H77:H78"/>
    <mergeCell ref="H119:H120"/>
    <mergeCell ref="H113:H114"/>
    <mergeCell ref="H81:H82"/>
    <mergeCell ref="B91:F92"/>
    <mergeCell ref="B111:F112"/>
    <mergeCell ref="B121:F122"/>
    <mergeCell ref="G121:G122"/>
    <mergeCell ref="G91:G92"/>
    <mergeCell ref="H83:H84"/>
    <mergeCell ref="B85:F86"/>
    <mergeCell ref="B89:F90"/>
    <mergeCell ref="G83:G84"/>
    <mergeCell ref="H91:H92"/>
    <mergeCell ref="B103:F104"/>
    <mergeCell ref="H107:H108"/>
    <mergeCell ref="H93:H94"/>
    <mergeCell ref="G95:G96"/>
    <mergeCell ref="G97:G98"/>
    <mergeCell ref="B81:F82"/>
    <mergeCell ref="B77:F78"/>
    <mergeCell ref="G177:G178"/>
    <mergeCell ref="G109:G110"/>
    <mergeCell ref="G85:G86"/>
    <mergeCell ref="G115:G116"/>
    <mergeCell ref="H97:H98"/>
    <mergeCell ref="B97:F98"/>
    <mergeCell ref="G103:G104"/>
    <mergeCell ref="H201:H202"/>
    <mergeCell ref="H163:H164"/>
    <mergeCell ref="B159:F160"/>
    <mergeCell ref="B167:F168"/>
    <mergeCell ref="B157:F158"/>
    <mergeCell ref="B123:F124"/>
    <mergeCell ref="G133:G134"/>
    <mergeCell ref="B141:F142"/>
    <mergeCell ref="H133:H134"/>
    <mergeCell ref="G129:G130"/>
    <mergeCell ref="H121:H122"/>
    <mergeCell ref="G107:G108"/>
    <mergeCell ref="H109:H110"/>
    <mergeCell ref="G161:G162"/>
    <mergeCell ref="G193:G194"/>
    <mergeCell ref="G199:G200"/>
    <mergeCell ref="H139:H140"/>
    <mergeCell ref="G151:G152"/>
    <mergeCell ref="B153:F154"/>
    <mergeCell ref="B149:F150"/>
    <mergeCell ref="G147:G148"/>
    <mergeCell ref="G137:G138"/>
    <mergeCell ref="H129:H130"/>
    <mergeCell ref="H135:H136"/>
    <mergeCell ref="G125:G126"/>
    <mergeCell ref="B117:F118"/>
    <mergeCell ref="I133:I134"/>
    <mergeCell ref="I135:I136"/>
    <mergeCell ref="B119:F120"/>
    <mergeCell ref="B137:F138"/>
    <mergeCell ref="I137:I138"/>
    <mergeCell ref="G117:G118"/>
    <mergeCell ref="G131:G132"/>
    <mergeCell ref="H131:H132"/>
    <mergeCell ref="G141:G142"/>
    <mergeCell ref="H125:H126"/>
    <mergeCell ref="H127:H128"/>
    <mergeCell ref="B139:F140"/>
    <mergeCell ref="G135:G136"/>
    <mergeCell ref="G119:G120"/>
    <mergeCell ref="H169:H170"/>
    <mergeCell ref="I159:I160"/>
    <mergeCell ref="G149:G150"/>
    <mergeCell ref="I151:I152"/>
    <mergeCell ref="B163:F164"/>
    <mergeCell ref="B131:F132"/>
    <mergeCell ref="B135:F136"/>
    <mergeCell ref="B155:F156"/>
    <mergeCell ref="G155:G156"/>
    <mergeCell ref="H155:H156"/>
    <mergeCell ref="B147:F148"/>
    <mergeCell ref="G139:G140"/>
    <mergeCell ref="B129:F130"/>
    <mergeCell ref="H141:H142"/>
    <mergeCell ref="B133:F134"/>
    <mergeCell ref="B127:F128"/>
    <mergeCell ref="H341:H342"/>
    <mergeCell ref="I339:I340"/>
    <mergeCell ref="H279:H280"/>
    <mergeCell ref="H357:H358"/>
    <mergeCell ref="J243:J244"/>
    <mergeCell ref="J297:J298"/>
    <mergeCell ref="J247:J248"/>
    <mergeCell ref="J277:J278"/>
    <mergeCell ref="J255:J256"/>
    <mergeCell ref="J283:J284"/>
    <mergeCell ref="H329:H330"/>
    <mergeCell ref="H317:H318"/>
    <mergeCell ref="J275:J276"/>
    <mergeCell ref="J251:J252"/>
    <mergeCell ref="J221:J222"/>
    <mergeCell ref="J269:J270"/>
    <mergeCell ref="J281:J282"/>
    <mergeCell ref="J259:J260"/>
    <mergeCell ref="J245:J246"/>
    <mergeCell ref="J235:J236"/>
    <mergeCell ref="J239:J240"/>
    <mergeCell ref="J295:J296"/>
    <mergeCell ref="I285:I286"/>
    <mergeCell ref="J349:J350"/>
    <mergeCell ref="J351:J352"/>
    <mergeCell ref="J267:J268"/>
    <mergeCell ref="J241:J242"/>
    <mergeCell ref="J261:J262"/>
    <mergeCell ref="J253:J254"/>
    <mergeCell ref="J331:J332"/>
    <mergeCell ref="H321:H322"/>
    <mergeCell ref="H149:H150"/>
    <mergeCell ref="G127:G128"/>
    <mergeCell ref="G163:G164"/>
    <mergeCell ref="B161:F162"/>
    <mergeCell ref="I243:I244"/>
    <mergeCell ref="I241:I242"/>
    <mergeCell ref="I269:I270"/>
    <mergeCell ref="I247:I248"/>
    <mergeCell ref="I301:I302"/>
    <mergeCell ref="J307:J308"/>
    <mergeCell ref="H187:H188"/>
    <mergeCell ref="J173:J174"/>
    <mergeCell ref="I139:I140"/>
    <mergeCell ref="J153:J154"/>
    <mergeCell ref="J191:J192"/>
    <mergeCell ref="J199:J200"/>
    <mergeCell ref="I195:I196"/>
    <mergeCell ref="H157:H158"/>
    <mergeCell ref="H145:H146"/>
    <mergeCell ref="B143:F144"/>
    <mergeCell ref="G143:G144"/>
    <mergeCell ref="H143:H144"/>
    <mergeCell ref="I287:I288"/>
    <mergeCell ref="I273:I274"/>
    <mergeCell ref="G145:G146"/>
    <mergeCell ref="H147:H148"/>
    <mergeCell ref="G153:G154"/>
    <mergeCell ref="I297:I298"/>
    <mergeCell ref="I255:I256"/>
    <mergeCell ref="I213:I214"/>
    <mergeCell ref="I275:I276"/>
    <mergeCell ref="H293:H294"/>
    <mergeCell ref="H291:H292"/>
    <mergeCell ref="I283:I284"/>
    <mergeCell ref="G259:G260"/>
    <mergeCell ref="H287:H288"/>
    <mergeCell ref="H307:H308"/>
    <mergeCell ref="H297:H298"/>
    <mergeCell ref="G335:G336"/>
    <mergeCell ref="H323:H324"/>
    <mergeCell ref="I303:I304"/>
    <mergeCell ref="I299:I300"/>
    <mergeCell ref="I293:I294"/>
    <mergeCell ref="I333:I334"/>
    <mergeCell ref="I313:I314"/>
    <mergeCell ref="I321:I322"/>
    <mergeCell ref="H263:H264"/>
    <mergeCell ref="I261:I262"/>
    <mergeCell ref="I263:I264"/>
    <mergeCell ref="H275:H276"/>
    <mergeCell ref="I271:I272"/>
    <mergeCell ref="H259:H260"/>
    <mergeCell ref="I317:I318"/>
    <mergeCell ref="I259:I260"/>
    <mergeCell ref="G275:G276"/>
    <mergeCell ref="H265:H266"/>
    <mergeCell ref="G263:G264"/>
    <mergeCell ref="H267:H268"/>
    <mergeCell ref="I279:I280"/>
    <mergeCell ref="I281:I282"/>
    <mergeCell ref="I307:I308"/>
    <mergeCell ref="I329:I330"/>
    <mergeCell ref="C3:J5"/>
    <mergeCell ref="H15:H16"/>
    <mergeCell ref="G279:G280"/>
    <mergeCell ref="B169:F170"/>
    <mergeCell ref="G219:G220"/>
    <mergeCell ref="G167:G168"/>
    <mergeCell ref="B209:F210"/>
    <mergeCell ref="G195:G196"/>
    <mergeCell ref="B269:F270"/>
    <mergeCell ref="H221:H222"/>
    <mergeCell ref="H261:H262"/>
    <mergeCell ref="B251:F252"/>
    <mergeCell ref="I125:I126"/>
    <mergeCell ref="B125:F126"/>
    <mergeCell ref="B83:F84"/>
    <mergeCell ref="H75:H76"/>
    <mergeCell ref="H239:H240"/>
    <mergeCell ref="H277:H278"/>
    <mergeCell ref="H167:H168"/>
    <mergeCell ref="I165:I166"/>
    <mergeCell ref="I167:I168"/>
    <mergeCell ref="H183:H184"/>
    <mergeCell ref="H181:H182"/>
    <mergeCell ref="H211:H212"/>
    <mergeCell ref="B185:F186"/>
    <mergeCell ref="H185:H186"/>
    <mergeCell ref="H193:H194"/>
    <mergeCell ref="I205:I206"/>
    <mergeCell ref="G189:G190"/>
    <mergeCell ref="G183:G184"/>
    <mergeCell ref="I265:I266"/>
    <mergeCell ref="I257:I258"/>
    <mergeCell ref="H165:H166"/>
    <mergeCell ref="H243:H244"/>
    <mergeCell ref="H247:H248"/>
    <mergeCell ref="G239:G240"/>
    <mergeCell ref="B211:F212"/>
    <mergeCell ref="H171:H172"/>
    <mergeCell ref="H219:H220"/>
    <mergeCell ref="H177:H178"/>
    <mergeCell ref="H255:H256"/>
    <mergeCell ref="B181:F182"/>
    <mergeCell ref="B215:F216"/>
    <mergeCell ref="I217:I218"/>
    <mergeCell ref="G185:G186"/>
    <mergeCell ref="B191:F192"/>
    <mergeCell ref="I251:I252"/>
    <mergeCell ref="B221:F222"/>
    <mergeCell ref="H223:H224"/>
    <mergeCell ref="G211:G212"/>
    <mergeCell ref="B231:F232"/>
    <mergeCell ref="H241:H242"/>
    <mergeCell ref="I185:I186"/>
    <mergeCell ref="B179:F180"/>
    <mergeCell ref="H245:H246"/>
    <mergeCell ref="G233:G234"/>
    <mergeCell ref="G225:G226"/>
    <mergeCell ref="I223:I224"/>
    <mergeCell ref="I249:I250"/>
    <mergeCell ref="I221:I222"/>
    <mergeCell ref="G165:G166"/>
    <mergeCell ref="H175:H176"/>
    <mergeCell ref="B175:F176"/>
    <mergeCell ref="H195:H196"/>
    <mergeCell ref="B177:F178"/>
    <mergeCell ref="B203:F204"/>
    <mergeCell ref="G171:G172"/>
    <mergeCell ref="B171:F172"/>
    <mergeCell ref="G255:G256"/>
    <mergeCell ref="G245:G246"/>
    <mergeCell ref="G251:G252"/>
    <mergeCell ref="G217:G218"/>
    <mergeCell ref="I209:I210"/>
    <mergeCell ref="B183:F184"/>
    <mergeCell ref="G191:G192"/>
    <mergeCell ref="B213:F214"/>
    <mergeCell ref="I193:I194"/>
    <mergeCell ref="G175:G176"/>
    <mergeCell ref="I215:I216"/>
    <mergeCell ref="I219:I220"/>
    <mergeCell ref="H213:H214"/>
    <mergeCell ref="G207:G208"/>
    <mergeCell ref="H207:H208"/>
    <mergeCell ref="B173:F174"/>
    <mergeCell ref="B195:F196"/>
    <mergeCell ref="I225:I226"/>
    <mergeCell ref="H235:H236"/>
    <mergeCell ref="I253:I254"/>
    <mergeCell ref="H203:H204"/>
    <mergeCell ref="G203:G204"/>
    <mergeCell ref="G253:G254"/>
    <mergeCell ref="I207:I208"/>
    <mergeCell ref="H225:H226"/>
    <mergeCell ref="H215:H216"/>
    <mergeCell ref="B225:F226"/>
    <mergeCell ref="B219:F220"/>
    <mergeCell ref="H229:H230"/>
    <mergeCell ref="H217:H218"/>
    <mergeCell ref="B245:F246"/>
    <mergeCell ref="G241:G242"/>
    <mergeCell ref="B239:F240"/>
    <mergeCell ref="I187:I188"/>
    <mergeCell ref="I191:I192"/>
    <mergeCell ref="I201:I202"/>
    <mergeCell ref="H257:H258"/>
    <mergeCell ref="B235:F236"/>
    <mergeCell ref="I235:I236"/>
    <mergeCell ref="I245:I246"/>
    <mergeCell ref="H251:H252"/>
    <mergeCell ref="H253:H254"/>
    <mergeCell ref="H227:H228"/>
    <mergeCell ref="B187:F188"/>
    <mergeCell ref="B247:F248"/>
    <mergeCell ref="B237:F238"/>
    <mergeCell ref="H189:H190"/>
    <mergeCell ref="G249:G250"/>
    <mergeCell ref="B241:F242"/>
    <mergeCell ref="B257:F258"/>
    <mergeCell ref="G247:G248"/>
    <mergeCell ref="I199:I200"/>
    <mergeCell ref="I211:I212"/>
    <mergeCell ref="B249:F250"/>
    <mergeCell ref="I189:I190"/>
    <mergeCell ref="I203:I204"/>
    <mergeCell ref="B197:F198"/>
    <mergeCell ref="G197:G198"/>
    <mergeCell ref="H197:H198"/>
    <mergeCell ref="I197:I198"/>
    <mergeCell ref="H173:H174"/>
    <mergeCell ref="G205:G206"/>
    <mergeCell ref="I175:I176"/>
    <mergeCell ref="H205:H206"/>
    <mergeCell ref="G181:G182"/>
    <mergeCell ref="H159:H160"/>
    <mergeCell ref="G169:G170"/>
    <mergeCell ref="G159:G160"/>
    <mergeCell ref="G157:G158"/>
    <mergeCell ref="H199:H200"/>
    <mergeCell ref="G201:G202"/>
    <mergeCell ref="H161:H162"/>
    <mergeCell ref="B201:F202"/>
    <mergeCell ref="H295:H296"/>
    <mergeCell ref="B193:F194"/>
    <mergeCell ref="H237:H238"/>
    <mergeCell ref="I277:I278"/>
    <mergeCell ref="H209:H210"/>
    <mergeCell ref="H191:H192"/>
    <mergeCell ref="B227:F228"/>
    <mergeCell ref="G227:G228"/>
    <mergeCell ref="G173:G174"/>
    <mergeCell ref="H249:H250"/>
    <mergeCell ref="B199:F200"/>
    <mergeCell ref="B207:F208"/>
    <mergeCell ref="G261:G262"/>
    <mergeCell ref="G235:G236"/>
    <mergeCell ref="H269:H270"/>
    <mergeCell ref="H273:H274"/>
    <mergeCell ref="G215:G216"/>
    <mergeCell ref="G265:G266"/>
    <mergeCell ref="G237:G238"/>
    <mergeCell ref="G223:G224"/>
    <mergeCell ref="G213:G214"/>
    <mergeCell ref="B223:F224"/>
    <mergeCell ref="B263:F264"/>
    <mergeCell ref="B205:F206"/>
    <mergeCell ref="B253:F254"/>
    <mergeCell ref="B243:F244"/>
    <mergeCell ref="G257:G258"/>
    <mergeCell ref="G209:G210"/>
    <mergeCell ref="G229:G230"/>
    <mergeCell ref="G287:G288"/>
    <mergeCell ref="G267:G268"/>
    <mergeCell ref="G285:G286"/>
    <mergeCell ref="G281:G282"/>
    <mergeCell ref="B229:F230"/>
    <mergeCell ref="B265:F266"/>
    <mergeCell ref="B267:F268"/>
    <mergeCell ref="B279:F280"/>
    <mergeCell ref="G221:G222"/>
    <mergeCell ref="B275:F276"/>
    <mergeCell ref="B331:F332"/>
    <mergeCell ref="B277:F278"/>
    <mergeCell ref="B299:F300"/>
    <mergeCell ref="B319:F320"/>
    <mergeCell ref="B233:F234"/>
    <mergeCell ref="B261:F262"/>
    <mergeCell ref="B315:F316"/>
    <mergeCell ref="G273:G274"/>
    <mergeCell ref="G277:G278"/>
    <mergeCell ref="G291:G292"/>
    <mergeCell ref="H333:H334"/>
    <mergeCell ref="B255:F256"/>
    <mergeCell ref="G323:G324"/>
    <mergeCell ref="B313:F314"/>
    <mergeCell ref="H311:H312"/>
    <mergeCell ref="B281:F282"/>
    <mergeCell ref="H271:H272"/>
    <mergeCell ref="H299:H300"/>
    <mergeCell ref="H305:H306"/>
    <mergeCell ref="H281:H282"/>
    <mergeCell ref="H283:H284"/>
    <mergeCell ref="B283:F284"/>
    <mergeCell ref="G283:G284"/>
    <mergeCell ref="B353:F354"/>
    <mergeCell ref="G307:G308"/>
    <mergeCell ref="G341:G342"/>
    <mergeCell ref="B325:F326"/>
    <mergeCell ref="B327:F328"/>
    <mergeCell ref="G353:G354"/>
    <mergeCell ref="B361:F362"/>
    <mergeCell ref="G361:G362"/>
    <mergeCell ref="B285:F286"/>
    <mergeCell ref="B287:F288"/>
    <mergeCell ref="G289:G290"/>
    <mergeCell ref="B345:F346"/>
    <mergeCell ref="B347:F348"/>
    <mergeCell ref="G329:G330"/>
    <mergeCell ref="B329:F330"/>
    <mergeCell ref="G313:G314"/>
    <mergeCell ref="B291:F292"/>
    <mergeCell ref="G337:G338"/>
    <mergeCell ref="B349:F350"/>
    <mergeCell ref="B317:F318"/>
    <mergeCell ref="G357:G358"/>
    <mergeCell ref="B343:F344"/>
    <mergeCell ref="G333:G334"/>
    <mergeCell ref="B289:F290"/>
    <mergeCell ref="B335:F336"/>
    <mergeCell ref="B311:F312"/>
    <mergeCell ref="B301:F302"/>
    <mergeCell ref="I309:I310"/>
    <mergeCell ref="H353:H354"/>
    <mergeCell ref="H355:H356"/>
    <mergeCell ref="I291:I292"/>
    <mergeCell ref="H319:H320"/>
    <mergeCell ref="H349:H350"/>
    <mergeCell ref="H331:H332"/>
    <mergeCell ref="G347:G348"/>
    <mergeCell ref="G351:G352"/>
    <mergeCell ref="G327:G328"/>
    <mergeCell ref="G331:G332"/>
    <mergeCell ref="H309:H310"/>
    <mergeCell ref="H315:H316"/>
    <mergeCell ref="I501:I502"/>
    <mergeCell ref="H495:H496"/>
    <mergeCell ref="H359:H360"/>
    <mergeCell ref="G311:G312"/>
    <mergeCell ref="G315:G316"/>
    <mergeCell ref="G301:G302"/>
    <mergeCell ref="G363:G364"/>
    <mergeCell ref="G319:G320"/>
    <mergeCell ref="G343:G344"/>
    <mergeCell ref="G309:G310"/>
    <mergeCell ref="G365:G366"/>
    <mergeCell ref="G369:G370"/>
    <mergeCell ref="I295:I296"/>
    <mergeCell ref="I305:I306"/>
    <mergeCell ref="I315:I316"/>
    <mergeCell ref="I347:I348"/>
    <mergeCell ref="H335:H336"/>
    <mergeCell ref="I357:I358"/>
    <mergeCell ref="I359:I360"/>
    <mergeCell ref="B557:F558"/>
    <mergeCell ref="G491:G492"/>
    <mergeCell ref="H503:H504"/>
    <mergeCell ref="H507:H508"/>
    <mergeCell ref="G497:G498"/>
    <mergeCell ref="B505:F506"/>
    <mergeCell ref="G501:G502"/>
    <mergeCell ref="G479:G480"/>
    <mergeCell ref="G507:G508"/>
    <mergeCell ref="H515:H516"/>
    <mergeCell ref="G561:G562"/>
    <mergeCell ref="B571:F572"/>
    <mergeCell ref="H561:H562"/>
    <mergeCell ref="G553:G554"/>
    <mergeCell ref="G557:G558"/>
    <mergeCell ref="H567:H568"/>
    <mergeCell ref="G523:G524"/>
    <mergeCell ref="G515:G516"/>
    <mergeCell ref="B491:F492"/>
    <mergeCell ref="G493:G494"/>
    <mergeCell ref="H489:H490"/>
    <mergeCell ref="H517:H518"/>
    <mergeCell ref="G519:G520"/>
    <mergeCell ref="H511:H512"/>
    <mergeCell ref="B569:F570"/>
    <mergeCell ref="B547:F548"/>
    <mergeCell ref="H565:H566"/>
    <mergeCell ref="H547:H548"/>
    <mergeCell ref="H531:H532"/>
    <mergeCell ref="H523:H524"/>
    <mergeCell ref="G525:G526"/>
    <mergeCell ref="B501:F502"/>
    <mergeCell ref="G559:G560"/>
    <mergeCell ref="I411:I412"/>
    <mergeCell ref="I463:I464"/>
    <mergeCell ref="G541:G542"/>
    <mergeCell ref="I531:I532"/>
    <mergeCell ref="G531:G532"/>
    <mergeCell ref="H529:H530"/>
    <mergeCell ref="I505:I506"/>
    <mergeCell ref="B529:F530"/>
    <mergeCell ref="B541:F542"/>
    <mergeCell ref="H497:H498"/>
    <mergeCell ref="H487:H488"/>
    <mergeCell ref="B539:F540"/>
    <mergeCell ref="B513:F514"/>
    <mergeCell ref="G513:G514"/>
    <mergeCell ref="H509:H510"/>
    <mergeCell ref="I493:I494"/>
    <mergeCell ref="B487:F488"/>
    <mergeCell ref="I497:I498"/>
    <mergeCell ref="G505:G506"/>
    <mergeCell ref="I543:I544"/>
    <mergeCell ref="B533:F534"/>
    <mergeCell ref="H557:H558"/>
    <mergeCell ref="I509:I510"/>
    <mergeCell ref="B499:F500"/>
    <mergeCell ref="B535:F536"/>
    <mergeCell ref="G439:G440"/>
    <mergeCell ref="I559:I560"/>
    <mergeCell ref="B521:F522"/>
    <mergeCell ref="I557:I558"/>
    <mergeCell ref="B447:F448"/>
    <mergeCell ref="G533:G534"/>
    <mergeCell ref="H553:H554"/>
    <mergeCell ref="G463:G464"/>
    <mergeCell ref="G457:G458"/>
    <mergeCell ref="B463:F464"/>
    <mergeCell ref="B503:F504"/>
    <mergeCell ref="I527:I528"/>
    <mergeCell ref="I511:I512"/>
    <mergeCell ref="I533:I534"/>
    <mergeCell ref="G511:G512"/>
    <mergeCell ref="I477:I478"/>
    <mergeCell ref="H527:H528"/>
    <mergeCell ref="I503:I504"/>
    <mergeCell ref="I525:I526"/>
    <mergeCell ref="I519:I520"/>
    <mergeCell ref="H525:H526"/>
    <mergeCell ref="B537:F538"/>
    <mergeCell ref="B515:F516"/>
    <mergeCell ref="G469:G470"/>
    <mergeCell ref="B511:F512"/>
    <mergeCell ref="G509:G510"/>
    <mergeCell ref="G503:G504"/>
    <mergeCell ref="G517:G518"/>
    <mergeCell ref="I507:I508"/>
    <mergeCell ref="I521:I522"/>
    <mergeCell ref="I535:I536"/>
    <mergeCell ref="H473:H474"/>
    <mergeCell ref="B485:F486"/>
    <mergeCell ref="H467:H468"/>
    <mergeCell ref="G465:G466"/>
    <mergeCell ref="I517:I518"/>
    <mergeCell ref="I491:I492"/>
    <mergeCell ref="B489:F490"/>
    <mergeCell ref="G587:G588"/>
    <mergeCell ref="H587:H588"/>
    <mergeCell ref="I577:I578"/>
    <mergeCell ref="H499:H500"/>
    <mergeCell ref="H533:H534"/>
    <mergeCell ref="B497:F498"/>
    <mergeCell ref="B599:F600"/>
    <mergeCell ref="H575:H576"/>
    <mergeCell ref="G537:G538"/>
    <mergeCell ref="B525:F526"/>
    <mergeCell ref="B559:F560"/>
    <mergeCell ref="I571:I572"/>
    <mergeCell ref="I579:I580"/>
    <mergeCell ref="G569:G570"/>
    <mergeCell ref="I589:I590"/>
    <mergeCell ref="I581:I582"/>
    <mergeCell ref="G583:G584"/>
    <mergeCell ref="I593:I594"/>
    <mergeCell ref="I523:I524"/>
    <mergeCell ref="G551:G552"/>
    <mergeCell ref="H543:H544"/>
    <mergeCell ref="B583:F584"/>
    <mergeCell ref="I545:I546"/>
    <mergeCell ref="B553:F554"/>
    <mergeCell ref="B531:F532"/>
    <mergeCell ref="H559:H560"/>
    <mergeCell ref="B577:F578"/>
    <mergeCell ref="H591:H592"/>
    <mergeCell ref="H545:H546"/>
    <mergeCell ref="H537:H538"/>
    <mergeCell ref="B575:F576"/>
    <mergeCell ref="B519:F520"/>
    <mergeCell ref="I599:I600"/>
    <mergeCell ref="I587:I588"/>
    <mergeCell ref="I391:I392"/>
    <mergeCell ref="I351:I352"/>
    <mergeCell ref="I381:I382"/>
    <mergeCell ref="B591:F592"/>
    <mergeCell ref="G565:G566"/>
    <mergeCell ref="B543:F544"/>
    <mergeCell ref="G567:G568"/>
    <mergeCell ref="I573:I574"/>
    <mergeCell ref="G581:G582"/>
    <mergeCell ref="I529:I530"/>
    <mergeCell ref="B567:F568"/>
    <mergeCell ref="B449:F450"/>
    <mergeCell ref="B481:F482"/>
    <mergeCell ref="G481:G482"/>
    <mergeCell ref="B545:F546"/>
    <mergeCell ref="B561:F562"/>
    <mergeCell ref="G545:G546"/>
    <mergeCell ref="B551:F552"/>
    <mergeCell ref="I459:I460"/>
    <mergeCell ref="H571:H572"/>
    <mergeCell ref="I575:I576"/>
    <mergeCell ref="G373:G374"/>
    <mergeCell ref="G521:G522"/>
    <mergeCell ref="I515:I516"/>
    <mergeCell ref="B573:F574"/>
    <mergeCell ref="G585:G586"/>
    <mergeCell ref="I597:I598"/>
    <mergeCell ref="H389:H390"/>
    <mergeCell ref="H373:H374"/>
    <mergeCell ref="B565:F566"/>
    <mergeCell ref="G597:G598"/>
    <mergeCell ref="G589:G590"/>
    <mergeCell ref="H589:H590"/>
    <mergeCell ref="H573:H574"/>
    <mergeCell ref="G573:G574"/>
    <mergeCell ref="B617:F618"/>
    <mergeCell ref="H579:H580"/>
    <mergeCell ref="I583:I584"/>
    <mergeCell ref="G599:G600"/>
    <mergeCell ref="I617:I618"/>
    <mergeCell ref="I427:I428"/>
    <mergeCell ref="B427:F428"/>
    <mergeCell ref="H439:H440"/>
    <mergeCell ref="G547:G548"/>
    <mergeCell ref="G603:G604"/>
    <mergeCell ref="I601:I602"/>
    <mergeCell ref="B601:F602"/>
    <mergeCell ref="B595:F596"/>
    <mergeCell ref="I561:I562"/>
    <mergeCell ref="G475:G476"/>
    <mergeCell ref="B495:F496"/>
    <mergeCell ref="G485:G486"/>
    <mergeCell ref="I553:I554"/>
    <mergeCell ref="B549:F550"/>
    <mergeCell ref="H477:H478"/>
    <mergeCell ref="I481:I482"/>
    <mergeCell ref="B579:F580"/>
    <mergeCell ref="G529:G530"/>
    <mergeCell ref="H577:H578"/>
    <mergeCell ref="G605:G606"/>
    <mergeCell ref="G613:G614"/>
    <mergeCell ref="I585:I586"/>
    <mergeCell ref="H729:H730"/>
    <mergeCell ref="H603:H604"/>
    <mergeCell ref="B631:F632"/>
    <mergeCell ref="H619:H620"/>
    <mergeCell ref="G629:G630"/>
    <mergeCell ref="B627:F628"/>
    <mergeCell ref="B623:F624"/>
    <mergeCell ref="H623:H624"/>
    <mergeCell ref="B589:F590"/>
    <mergeCell ref="B587:F588"/>
    <mergeCell ref="B581:F582"/>
    <mergeCell ref="B603:F604"/>
    <mergeCell ref="B621:F622"/>
    <mergeCell ref="B607:F608"/>
    <mergeCell ref="G621:G622"/>
    <mergeCell ref="B629:F630"/>
    <mergeCell ref="B605:F606"/>
    <mergeCell ref="B593:F594"/>
    <mergeCell ref="B597:F598"/>
    <mergeCell ref="B613:F614"/>
    <mergeCell ref="B615:F616"/>
    <mergeCell ref="B611:F612"/>
    <mergeCell ref="B619:F620"/>
    <mergeCell ref="B609:F610"/>
    <mergeCell ref="B671:F672"/>
    <mergeCell ref="B679:F680"/>
    <mergeCell ref="B677:F678"/>
    <mergeCell ref="B667:F668"/>
    <mergeCell ref="B673:F674"/>
    <mergeCell ref="B653:F654"/>
    <mergeCell ref="H585:H586"/>
    <mergeCell ref="B585:F586"/>
    <mergeCell ref="G607:G608"/>
    <mergeCell ref="H609:H610"/>
    <mergeCell ref="H611:H612"/>
    <mergeCell ref="H607:H608"/>
    <mergeCell ref="G615:G616"/>
    <mergeCell ref="H613:H614"/>
    <mergeCell ref="H621:H622"/>
    <mergeCell ref="I605:I606"/>
    <mergeCell ref="I591:I592"/>
    <mergeCell ref="I619:I620"/>
    <mergeCell ref="H605:H606"/>
    <mergeCell ref="H601:H602"/>
    <mergeCell ref="H595:H596"/>
    <mergeCell ref="G591:G592"/>
    <mergeCell ref="G595:G596"/>
    <mergeCell ref="H593:H594"/>
    <mergeCell ref="H617:H618"/>
    <mergeCell ref="G617:G618"/>
    <mergeCell ref="G611:G612"/>
    <mergeCell ref="G609:G610"/>
    <mergeCell ref="I609:I610"/>
    <mergeCell ref="G619:G620"/>
    <mergeCell ref="I595:I596"/>
    <mergeCell ref="I607:I608"/>
    <mergeCell ref="I615:I616"/>
    <mergeCell ref="H615:H616"/>
    <mergeCell ref="I613:I614"/>
    <mergeCell ref="H597:H598"/>
    <mergeCell ref="H599:H600"/>
    <mergeCell ref="I603:I604"/>
    <mergeCell ref="I611:I612"/>
    <mergeCell ref="G601:G602"/>
    <mergeCell ref="G733:G734"/>
    <mergeCell ref="G745:G746"/>
    <mergeCell ref="I719:I720"/>
    <mergeCell ref="H677:H678"/>
    <mergeCell ref="G683:G684"/>
    <mergeCell ref="I667:I668"/>
    <mergeCell ref="H669:H670"/>
    <mergeCell ref="I693:I694"/>
    <mergeCell ref="I707:I708"/>
    <mergeCell ref="I665:I666"/>
    <mergeCell ref="I699:I700"/>
    <mergeCell ref="I673:I674"/>
    <mergeCell ref="H671:H672"/>
    <mergeCell ref="G695:G696"/>
    <mergeCell ref="H715:H716"/>
    <mergeCell ref="G713:G714"/>
    <mergeCell ref="H719:H720"/>
    <mergeCell ref="H707:H708"/>
    <mergeCell ref="G717:G718"/>
    <mergeCell ref="I717:I718"/>
    <mergeCell ref="I671:I672"/>
    <mergeCell ref="I709:I710"/>
    <mergeCell ref="I705:I706"/>
    <mergeCell ref="I711:I712"/>
    <mergeCell ref="I703:I704"/>
    <mergeCell ref="H675:H676"/>
    <mergeCell ref="G703:G704"/>
    <mergeCell ref="H699:H700"/>
    <mergeCell ref="G699:G700"/>
    <mergeCell ref="G701:G702"/>
    <mergeCell ref="I695:I696"/>
    <mergeCell ref="I697:I698"/>
    <mergeCell ref="I623:I624"/>
    <mergeCell ref="B741:F742"/>
    <mergeCell ref="B721:F722"/>
    <mergeCell ref="H735:H736"/>
    <mergeCell ref="I727:I728"/>
    <mergeCell ref="I729:I730"/>
    <mergeCell ref="G739:G740"/>
    <mergeCell ref="B703:F704"/>
    <mergeCell ref="B705:F706"/>
    <mergeCell ref="B687:F688"/>
    <mergeCell ref="B691:F692"/>
    <mergeCell ref="B701:F702"/>
    <mergeCell ref="H717:H718"/>
    <mergeCell ref="B669:F670"/>
    <mergeCell ref="H679:H680"/>
    <mergeCell ref="G675:G676"/>
    <mergeCell ref="I733:I734"/>
    <mergeCell ref="I701:I702"/>
    <mergeCell ref="I723:I724"/>
    <mergeCell ref="H727:H728"/>
    <mergeCell ref="B683:F684"/>
    <mergeCell ref="B685:F686"/>
    <mergeCell ref="B695:F696"/>
    <mergeCell ref="I685:I686"/>
    <mergeCell ref="G689:G690"/>
    <mergeCell ref="I713:I714"/>
    <mergeCell ref="G671:G672"/>
    <mergeCell ref="G693:G694"/>
    <mergeCell ref="I721:I722"/>
    <mergeCell ref="G677:G678"/>
    <mergeCell ref="I715:I716"/>
    <mergeCell ref="I691:I692"/>
    <mergeCell ref="I813:I814"/>
    <mergeCell ref="H831:H832"/>
    <mergeCell ref="I873:I874"/>
    <mergeCell ref="I753:I754"/>
    <mergeCell ref="B749:F750"/>
    <mergeCell ref="G727:G728"/>
    <mergeCell ref="I739:I740"/>
    <mergeCell ref="G741:G742"/>
    <mergeCell ref="I743:I744"/>
    <mergeCell ref="I731:I732"/>
    <mergeCell ref="B753:F754"/>
    <mergeCell ref="B747:F748"/>
    <mergeCell ref="I755:I756"/>
    <mergeCell ref="B729:F730"/>
    <mergeCell ref="H753:H754"/>
    <mergeCell ref="I745:I746"/>
    <mergeCell ref="I747:I748"/>
    <mergeCell ref="I759:I760"/>
    <mergeCell ref="I749:I750"/>
    <mergeCell ref="B751:F752"/>
    <mergeCell ref="I741:I742"/>
    <mergeCell ref="B757:F758"/>
    <mergeCell ref="G757:G758"/>
    <mergeCell ref="H757:H758"/>
    <mergeCell ref="I757:I758"/>
    <mergeCell ref="H745:H746"/>
    <mergeCell ref="G735:G736"/>
    <mergeCell ref="B739:F740"/>
    <mergeCell ref="B755:F756"/>
    <mergeCell ref="I735:I736"/>
    <mergeCell ref="B735:F736"/>
    <mergeCell ref="I751:I752"/>
    <mergeCell ref="I963:I964"/>
    <mergeCell ref="I941:I942"/>
    <mergeCell ref="B969:F970"/>
    <mergeCell ref="G905:G906"/>
    <mergeCell ref="I761:I762"/>
    <mergeCell ref="H785:H786"/>
    <mergeCell ref="H769:H770"/>
    <mergeCell ref="I763:I764"/>
    <mergeCell ref="I867:I868"/>
    <mergeCell ref="I885:I886"/>
    <mergeCell ref="H855:H856"/>
    <mergeCell ref="I869:I870"/>
    <mergeCell ref="I857:I858"/>
    <mergeCell ref="H765:H766"/>
    <mergeCell ref="I785:I786"/>
    <mergeCell ref="H775:H776"/>
    <mergeCell ref="I819:I820"/>
    <mergeCell ref="H781:H782"/>
    <mergeCell ref="I823:I824"/>
    <mergeCell ref="I809:I810"/>
    <mergeCell ref="H841:H842"/>
    <mergeCell ref="H839:H840"/>
    <mergeCell ref="I771:I772"/>
    <mergeCell ref="I765:I766"/>
    <mergeCell ref="H789:H790"/>
    <mergeCell ref="H859:H860"/>
    <mergeCell ref="I845:I846"/>
    <mergeCell ref="I811:I812"/>
    <mergeCell ref="I883:I884"/>
    <mergeCell ref="I783:I784"/>
    <mergeCell ref="I821:I822"/>
    <mergeCell ref="G855:G856"/>
    <mergeCell ref="I911:I912"/>
    <mergeCell ref="G899:G900"/>
    <mergeCell ref="G881:G882"/>
    <mergeCell ref="G883:G884"/>
    <mergeCell ref="G867:G868"/>
    <mergeCell ref="G929:G930"/>
    <mergeCell ref="H915:H916"/>
    <mergeCell ref="I861:I862"/>
    <mergeCell ref="I903:I904"/>
    <mergeCell ref="I953:I954"/>
    <mergeCell ref="I949:I950"/>
    <mergeCell ref="H945:H946"/>
    <mergeCell ref="H953:H954"/>
    <mergeCell ref="G927:G928"/>
    <mergeCell ref="G953:G954"/>
    <mergeCell ref="I937:I938"/>
    <mergeCell ref="B929:F930"/>
    <mergeCell ref="B921:F922"/>
    <mergeCell ref="G951:G952"/>
    <mergeCell ref="H949:H950"/>
    <mergeCell ref="H943:H944"/>
    <mergeCell ref="H887:H888"/>
    <mergeCell ref="H879:H880"/>
    <mergeCell ref="H939:H940"/>
    <mergeCell ref="I931:I932"/>
    <mergeCell ref="I939:I940"/>
    <mergeCell ref="I943:I944"/>
    <mergeCell ref="I935:I936"/>
    <mergeCell ref="G923:G924"/>
    <mergeCell ref="G925:G926"/>
    <mergeCell ref="H923:H924"/>
    <mergeCell ref="H925:H926"/>
    <mergeCell ref="I827:I828"/>
    <mergeCell ref="I871:I872"/>
    <mergeCell ref="H851:H852"/>
    <mergeCell ref="H889:H890"/>
    <mergeCell ref="H899:H900"/>
    <mergeCell ref="I891:I892"/>
    <mergeCell ref="H885:H886"/>
    <mergeCell ref="H891:H892"/>
    <mergeCell ref="I889:I890"/>
    <mergeCell ref="I875:I876"/>
    <mergeCell ref="I847:I848"/>
    <mergeCell ref="I835:I836"/>
    <mergeCell ref="I855:I856"/>
    <mergeCell ref="H845:H846"/>
    <mergeCell ref="I859:I860"/>
    <mergeCell ref="I897:I898"/>
    <mergeCell ref="G865:G866"/>
    <mergeCell ref="H865:H866"/>
    <mergeCell ref="I865:I866"/>
    <mergeCell ref="I837:I838"/>
    <mergeCell ref="I839:I840"/>
    <mergeCell ref="G857:G858"/>
    <mergeCell ref="G859:G860"/>
    <mergeCell ref="I877:I878"/>
    <mergeCell ref="I803:I804"/>
    <mergeCell ref="I787:I788"/>
    <mergeCell ref="H791:H792"/>
    <mergeCell ref="I791:I792"/>
    <mergeCell ref="I789:I790"/>
    <mergeCell ref="H787:H788"/>
    <mergeCell ref="I807:I808"/>
    <mergeCell ref="H805:H806"/>
    <mergeCell ref="H807:H808"/>
    <mergeCell ref="I825:I826"/>
    <mergeCell ref="H823:H824"/>
    <mergeCell ref="G863:G864"/>
    <mergeCell ref="H813:H814"/>
    <mergeCell ref="I923:I924"/>
    <mergeCell ref="H911:H912"/>
    <mergeCell ref="G833:G834"/>
    <mergeCell ref="G887:G888"/>
    <mergeCell ref="G891:G892"/>
    <mergeCell ref="I887:I888"/>
    <mergeCell ref="I853:I854"/>
    <mergeCell ref="H827:H828"/>
    <mergeCell ref="H853:H854"/>
    <mergeCell ref="I815:I816"/>
    <mergeCell ref="I879:I880"/>
    <mergeCell ref="I841:I842"/>
    <mergeCell ref="H861:H862"/>
    <mergeCell ref="H819:H820"/>
    <mergeCell ref="H829:H830"/>
    <mergeCell ref="I817:I818"/>
    <mergeCell ref="I851:I852"/>
    <mergeCell ref="I863:I864"/>
    <mergeCell ref="I843:I844"/>
    <mergeCell ref="H1029:H1030"/>
    <mergeCell ref="H947:H948"/>
    <mergeCell ref="H977:H978"/>
    <mergeCell ref="H981:H982"/>
    <mergeCell ref="H1007:H1008"/>
    <mergeCell ref="H963:H964"/>
    <mergeCell ref="H971:H972"/>
    <mergeCell ref="H967:H968"/>
    <mergeCell ref="B1007:F1008"/>
    <mergeCell ref="G945:G946"/>
    <mergeCell ref="H1001:H1002"/>
    <mergeCell ref="G1003:G1004"/>
    <mergeCell ref="I767:I768"/>
    <mergeCell ref="I777:I778"/>
    <mergeCell ref="I795:I796"/>
    <mergeCell ref="I775:I776"/>
    <mergeCell ref="I779:I780"/>
    <mergeCell ref="H801:H802"/>
    <mergeCell ref="I769:I770"/>
    <mergeCell ref="I773:I774"/>
    <mergeCell ref="G807:G808"/>
    <mergeCell ref="G767:G768"/>
    <mergeCell ref="H803:H804"/>
    <mergeCell ref="H771:H772"/>
    <mergeCell ref="G779:G780"/>
    <mergeCell ref="G771:G772"/>
    <mergeCell ref="I801:I802"/>
    <mergeCell ref="H779:H780"/>
    <mergeCell ref="G795:G796"/>
    <mergeCell ref="I781:I782"/>
    <mergeCell ref="I805:I806"/>
    <mergeCell ref="G803:G804"/>
    <mergeCell ref="B1011:F1012"/>
    <mergeCell ref="G1009:G1010"/>
    <mergeCell ref="B977:F978"/>
    <mergeCell ref="G959:G960"/>
    <mergeCell ref="B1017:F1018"/>
    <mergeCell ref="G1017:G1018"/>
    <mergeCell ref="H1027:H1028"/>
    <mergeCell ref="H1023:H1024"/>
    <mergeCell ref="B1027:F1028"/>
    <mergeCell ref="G1013:G1014"/>
    <mergeCell ref="B1003:F1004"/>
    <mergeCell ref="H937:H938"/>
    <mergeCell ref="H955:H956"/>
    <mergeCell ref="H959:H960"/>
    <mergeCell ref="H999:H1000"/>
    <mergeCell ref="G965:G966"/>
    <mergeCell ref="B967:F968"/>
    <mergeCell ref="G1015:G1016"/>
    <mergeCell ref="H1003:H1004"/>
    <mergeCell ref="G969:G970"/>
    <mergeCell ref="G963:G964"/>
    <mergeCell ref="B943:F944"/>
    <mergeCell ref="G947:G948"/>
    <mergeCell ref="G1037:G1038"/>
    <mergeCell ref="B1035:F1036"/>
    <mergeCell ref="G973:G974"/>
    <mergeCell ref="G967:G968"/>
    <mergeCell ref="G999:G1000"/>
    <mergeCell ref="G1007:G1008"/>
    <mergeCell ref="G1033:G1034"/>
    <mergeCell ref="B961:F962"/>
    <mergeCell ref="G961:G962"/>
    <mergeCell ref="G937:G938"/>
    <mergeCell ref="B1033:F1034"/>
    <mergeCell ref="G1031:G1032"/>
    <mergeCell ref="B1031:F1032"/>
    <mergeCell ref="B1029:F1030"/>
    <mergeCell ref="B1021:F1022"/>
    <mergeCell ref="B971:F972"/>
    <mergeCell ref="B985:F986"/>
    <mergeCell ref="G1001:G1002"/>
    <mergeCell ref="B1037:F1038"/>
    <mergeCell ref="B1023:F1024"/>
    <mergeCell ref="G1005:G1006"/>
    <mergeCell ref="G971:G972"/>
    <mergeCell ref="B1001:F1002"/>
    <mergeCell ref="B951:F952"/>
    <mergeCell ref="G989:G990"/>
    <mergeCell ref="B983:F984"/>
    <mergeCell ref="G955:G956"/>
    <mergeCell ref="G987:G988"/>
    <mergeCell ref="B955:F956"/>
    <mergeCell ref="B937:F938"/>
    <mergeCell ref="B941:F942"/>
    <mergeCell ref="B1025:F1026"/>
    <mergeCell ref="H1031:H1032"/>
    <mergeCell ref="B1045:F1046"/>
    <mergeCell ref="B993:F994"/>
    <mergeCell ref="B975:F976"/>
    <mergeCell ref="G939:G940"/>
    <mergeCell ref="B947:F948"/>
    <mergeCell ref="B957:F958"/>
    <mergeCell ref="B945:F946"/>
    <mergeCell ref="B939:F940"/>
    <mergeCell ref="B963:F964"/>
    <mergeCell ref="B1043:F1044"/>
    <mergeCell ref="G1041:G1042"/>
    <mergeCell ref="B989:F990"/>
    <mergeCell ref="G975:G976"/>
    <mergeCell ref="B973:F974"/>
    <mergeCell ref="G1035:G1036"/>
    <mergeCell ref="G949:G950"/>
    <mergeCell ref="G941:G942"/>
    <mergeCell ref="G943:G944"/>
    <mergeCell ref="B959:F960"/>
    <mergeCell ref="B995:F996"/>
    <mergeCell ref="B965:F966"/>
    <mergeCell ref="G1029:G1030"/>
    <mergeCell ref="G1019:G1020"/>
    <mergeCell ref="H1005:H1006"/>
    <mergeCell ref="G1021:G1022"/>
    <mergeCell ref="G1027:G1028"/>
    <mergeCell ref="B1019:F1020"/>
    <mergeCell ref="G995:G996"/>
    <mergeCell ref="G1011:G1012"/>
    <mergeCell ref="G1025:G1026"/>
    <mergeCell ref="G1023:G1024"/>
    <mergeCell ref="G1039:G1040"/>
    <mergeCell ref="B1041:F1042"/>
    <mergeCell ref="B1039:F1040"/>
    <mergeCell ref="B987:F988"/>
    <mergeCell ref="H1033:H1034"/>
    <mergeCell ref="B999:F1000"/>
    <mergeCell ref="H995:H996"/>
    <mergeCell ref="G979:G980"/>
    <mergeCell ref="H979:H980"/>
    <mergeCell ref="H987:H988"/>
    <mergeCell ref="H1041:H1042"/>
    <mergeCell ref="H1011:H1012"/>
    <mergeCell ref="H1035:H1036"/>
    <mergeCell ref="H1039:H1040"/>
    <mergeCell ref="B1015:F1016"/>
    <mergeCell ref="G983:G984"/>
    <mergeCell ref="G985:G986"/>
    <mergeCell ref="H1015:H1016"/>
    <mergeCell ref="B1009:F1010"/>
    <mergeCell ref="H1021:H1022"/>
    <mergeCell ref="H1025:H1026"/>
    <mergeCell ref="B1013:F1014"/>
    <mergeCell ref="H1009:H1010"/>
    <mergeCell ref="G981:G982"/>
    <mergeCell ref="H1019:H1020"/>
    <mergeCell ref="B1005:F1006"/>
    <mergeCell ref="G991:G992"/>
    <mergeCell ref="H997:H998"/>
    <mergeCell ref="H1013:H1014"/>
    <mergeCell ref="H983:H984"/>
    <mergeCell ref="H993:H994"/>
    <mergeCell ref="G993:G994"/>
    <mergeCell ref="B881:F882"/>
    <mergeCell ref="B885:F886"/>
    <mergeCell ref="B883:F884"/>
    <mergeCell ref="G895:G896"/>
    <mergeCell ref="B899:F900"/>
    <mergeCell ref="G915:G916"/>
    <mergeCell ref="B907:F908"/>
    <mergeCell ref="B903:F904"/>
    <mergeCell ref="G997:G998"/>
    <mergeCell ref="H929:H930"/>
    <mergeCell ref="B997:F998"/>
    <mergeCell ref="H935:H936"/>
    <mergeCell ref="B893:F894"/>
    <mergeCell ref="B917:F918"/>
    <mergeCell ref="H989:H990"/>
    <mergeCell ref="H973:H974"/>
    <mergeCell ref="H901:H902"/>
    <mergeCell ref="G919:G920"/>
    <mergeCell ref="H893:H894"/>
    <mergeCell ref="G903:G904"/>
    <mergeCell ref="H991:H992"/>
    <mergeCell ref="H985:H986"/>
    <mergeCell ref="B991:F992"/>
    <mergeCell ref="H957:H958"/>
    <mergeCell ref="H903:H904"/>
    <mergeCell ref="G977:G978"/>
    <mergeCell ref="H933:H934"/>
    <mergeCell ref="B981:F982"/>
    <mergeCell ref="H969:H970"/>
    <mergeCell ref="B891:F892"/>
    <mergeCell ref="B923:F924"/>
    <mergeCell ref="B901:F902"/>
    <mergeCell ref="G907:G908"/>
    <mergeCell ref="B915:F916"/>
    <mergeCell ref="H927:H928"/>
    <mergeCell ref="B979:F980"/>
    <mergeCell ref="H975:H976"/>
    <mergeCell ref="B953:F954"/>
    <mergeCell ref="H931:H932"/>
    <mergeCell ref="G957:G958"/>
    <mergeCell ref="B949:F950"/>
    <mergeCell ref="B925:F926"/>
    <mergeCell ref="B905:F906"/>
    <mergeCell ref="B911:F912"/>
    <mergeCell ref="H965:H966"/>
    <mergeCell ref="H921:H922"/>
    <mergeCell ref="H895:H896"/>
    <mergeCell ref="G931:G932"/>
    <mergeCell ref="G935:G936"/>
    <mergeCell ref="H951:H952"/>
    <mergeCell ref="B919:F920"/>
    <mergeCell ref="G913:G914"/>
    <mergeCell ref="H941:H942"/>
    <mergeCell ref="G917:G918"/>
    <mergeCell ref="H919:H920"/>
    <mergeCell ref="B935:F936"/>
    <mergeCell ref="H913:H914"/>
    <mergeCell ref="B933:F934"/>
    <mergeCell ref="G933:G934"/>
    <mergeCell ref="B927:F928"/>
    <mergeCell ref="B931:F932"/>
    <mergeCell ref="B889:F890"/>
    <mergeCell ref="B879:F880"/>
    <mergeCell ref="B869:F870"/>
    <mergeCell ref="G885:G886"/>
    <mergeCell ref="G873:G874"/>
    <mergeCell ref="B841:F842"/>
    <mergeCell ref="G841:G842"/>
    <mergeCell ref="G837:G838"/>
    <mergeCell ref="G847:G848"/>
    <mergeCell ref="B845:F846"/>
    <mergeCell ref="B857:F858"/>
    <mergeCell ref="B887:F888"/>
    <mergeCell ref="G921:G922"/>
    <mergeCell ref="G843:G844"/>
    <mergeCell ref="H875:H876"/>
    <mergeCell ref="H883:H884"/>
    <mergeCell ref="B909:F910"/>
    <mergeCell ref="G909:G910"/>
    <mergeCell ref="H909:H910"/>
    <mergeCell ref="H877:H878"/>
    <mergeCell ref="H881:H882"/>
    <mergeCell ref="B877:F878"/>
    <mergeCell ref="H917:H918"/>
    <mergeCell ref="G911:G912"/>
    <mergeCell ref="B895:F896"/>
    <mergeCell ref="G893:G894"/>
    <mergeCell ref="G901:G902"/>
    <mergeCell ref="G889:G890"/>
    <mergeCell ref="B897:F898"/>
    <mergeCell ref="G897:G898"/>
    <mergeCell ref="H897:H898"/>
    <mergeCell ref="G879:G880"/>
    <mergeCell ref="H1037:H1038"/>
    <mergeCell ref="B859:F860"/>
    <mergeCell ref="G851:G852"/>
    <mergeCell ref="B843:F844"/>
    <mergeCell ref="G823:G824"/>
    <mergeCell ref="H811:H812"/>
    <mergeCell ref="G871:G872"/>
    <mergeCell ref="B821:F822"/>
    <mergeCell ref="H873:H874"/>
    <mergeCell ref="B873:F874"/>
    <mergeCell ref="G835:G836"/>
    <mergeCell ref="H835:H836"/>
    <mergeCell ref="H837:H838"/>
    <mergeCell ref="B847:F848"/>
    <mergeCell ref="H815:H816"/>
    <mergeCell ref="H825:H826"/>
    <mergeCell ref="G839:G840"/>
    <mergeCell ref="H833:H834"/>
    <mergeCell ref="H817:H818"/>
    <mergeCell ref="B815:F816"/>
    <mergeCell ref="B851:F852"/>
    <mergeCell ref="B871:F872"/>
    <mergeCell ref="B913:F914"/>
    <mergeCell ref="G875:G876"/>
    <mergeCell ref="G877:G878"/>
    <mergeCell ref="G869:G870"/>
    <mergeCell ref="B875:F876"/>
    <mergeCell ref="B813:F814"/>
    <mergeCell ref="G849:G850"/>
    <mergeCell ref="B831:F832"/>
    <mergeCell ref="G831:G832"/>
    <mergeCell ref="H907:H908"/>
    <mergeCell ref="B803:F804"/>
    <mergeCell ref="H869:H870"/>
    <mergeCell ref="H871:H872"/>
    <mergeCell ref="H867:H868"/>
    <mergeCell ref="H863:H864"/>
    <mergeCell ref="B827:F828"/>
    <mergeCell ref="B837:F838"/>
    <mergeCell ref="B855:F856"/>
    <mergeCell ref="G805:G806"/>
    <mergeCell ref="B829:F830"/>
    <mergeCell ref="B833:F834"/>
    <mergeCell ref="B805:F806"/>
    <mergeCell ref="G811:G812"/>
    <mergeCell ref="G815:G816"/>
    <mergeCell ref="B861:F862"/>
    <mergeCell ref="B863:F864"/>
    <mergeCell ref="B839:F840"/>
    <mergeCell ref="G845:G846"/>
    <mergeCell ref="B849:F850"/>
    <mergeCell ref="G809:G810"/>
    <mergeCell ref="G861:G862"/>
    <mergeCell ref="H857:H858"/>
    <mergeCell ref="H843:H844"/>
    <mergeCell ref="G853:G854"/>
    <mergeCell ref="H809:H810"/>
    <mergeCell ref="G819:G820"/>
    <mergeCell ref="G821:G822"/>
    <mergeCell ref="B823:F824"/>
    <mergeCell ref="B835:F836"/>
    <mergeCell ref="B867:F868"/>
    <mergeCell ref="B853:F854"/>
    <mergeCell ref="H847:H848"/>
    <mergeCell ref="B787:F788"/>
    <mergeCell ref="B789:F790"/>
    <mergeCell ref="G789:G790"/>
    <mergeCell ref="B801:F802"/>
    <mergeCell ref="G829:G830"/>
    <mergeCell ref="G769:G770"/>
    <mergeCell ref="H795:H796"/>
    <mergeCell ref="H777:H778"/>
    <mergeCell ref="G801:G802"/>
    <mergeCell ref="B769:F770"/>
    <mergeCell ref="B795:F796"/>
    <mergeCell ref="H821:H822"/>
    <mergeCell ref="B817:F818"/>
    <mergeCell ref="B781:F782"/>
    <mergeCell ref="B809:F810"/>
    <mergeCell ref="G827:G828"/>
    <mergeCell ref="G787:G788"/>
    <mergeCell ref="G799:G800"/>
    <mergeCell ref="H773:H774"/>
    <mergeCell ref="G783:G784"/>
    <mergeCell ref="G781:G782"/>
    <mergeCell ref="G777:G778"/>
    <mergeCell ref="G813:G814"/>
    <mergeCell ref="B807:F808"/>
    <mergeCell ref="B825:F826"/>
    <mergeCell ref="G825:G826"/>
    <mergeCell ref="B819:F820"/>
    <mergeCell ref="B811:F812"/>
    <mergeCell ref="G817:G818"/>
    <mergeCell ref="G785:G786"/>
    <mergeCell ref="G773:G774"/>
    <mergeCell ref="B799:F800"/>
    <mergeCell ref="B779:F780"/>
    <mergeCell ref="B709:F710"/>
    <mergeCell ref="H749:H750"/>
    <mergeCell ref="G765:G766"/>
    <mergeCell ref="H783:H784"/>
    <mergeCell ref="B777:F778"/>
    <mergeCell ref="B785:F786"/>
    <mergeCell ref="B773:F774"/>
    <mergeCell ref="B783:F784"/>
    <mergeCell ref="B713:F714"/>
    <mergeCell ref="B711:F712"/>
    <mergeCell ref="B759:F760"/>
    <mergeCell ref="B745:F746"/>
    <mergeCell ref="H761:H762"/>
    <mergeCell ref="B763:F764"/>
    <mergeCell ref="G763:G764"/>
    <mergeCell ref="B765:F766"/>
    <mergeCell ref="B767:F768"/>
    <mergeCell ref="H763:H764"/>
    <mergeCell ref="G729:G730"/>
    <mergeCell ref="H723:H724"/>
    <mergeCell ref="H733:H734"/>
    <mergeCell ref="G723:G724"/>
    <mergeCell ref="G775:G776"/>
    <mergeCell ref="B771:F772"/>
    <mergeCell ref="B775:F776"/>
    <mergeCell ref="G759:G760"/>
    <mergeCell ref="G753:G754"/>
    <mergeCell ref="B723:F724"/>
    <mergeCell ref="B733:F734"/>
    <mergeCell ref="B727:F728"/>
    <mergeCell ref="B715:F716"/>
    <mergeCell ref="B797:F798"/>
    <mergeCell ref="B689:F690"/>
    <mergeCell ref="H697:H698"/>
    <mergeCell ref="G697:G698"/>
    <mergeCell ref="B693:F694"/>
    <mergeCell ref="H701:H702"/>
    <mergeCell ref="B697:F698"/>
    <mergeCell ref="H695:H696"/>
    <mergeCell ref="H691:H692"/>
    <mergeCell ref="H687:H688"/>
    <mergeCell ref="B717:F718"/>
    <mergeCell ref="B707:F708"/>
    <mergeCell ref="B761:F762"/>
    <mergeCell ref="H703:H704"/>
    <mergeCell ref="G761:G762"/>
    <mergeCell ref="B791:F792"/>
    <mergeCell ref="G791:G792"/>
    <mergeCell ref="H709:H710"/>
    <mergeCell ref="G715:G716"/>
    <mergeCell ref="B699:F700"/>
    <mergeCell ref="H711:H712"/>
    <mergeCell ref="G711:G712"/>
    <mergeCell ref="B719:F720"/>
    <mergeCell ref="H731:H732"/>
    <mergeCell ref="G749:G750"/>
    <mergeCell ref="H747:H748"/>
    <mergeCell ref="G719:G720"/>
    <mergeCell ref="G709:G710"/>
    <mergeCell ref="B731:F732"/>
    <mergeCell ref="H741:H742"/>
    <mergeCell ref="G743:G744"/>
    <mergeCell ref="G747:G748"/>
    <mergeCell ref="H767:H768"/>
    <mergeCell ref="B743:F744"/>
    <mergeCell ref="G737:G738"/>
    <mergeCell ref="B737:F738"/>
    <mergeCell ref="H759:H760"/>
    <mergeCell ref="H743:H744"/>
    <mergeCell ref="G755:G756"/>
    <mergeCell ref="H739:H740"/>
    <mergeCell ref="H755:H756"/>
    <mergeCell ref="G751:G752"/>
    <mergeCell ref="G665:G666"/>
    <mergeCell ref="B665:F666"/>
    <mergeCell ref="H693:H694"/>
    <mergeCell ref="G705:G706"/>
    <mergeCell ref="H685:H686"/>
    <mergeCell ref="H689:H690"/>
    <mergeCell ref="H683:H684"/>
    <mergeCell ref="G667:G668"/>
    <mergeCell ref="H665:H666"/>
    <mergeCell ref="G707:G708"/>
    <mergeCell ref="H751:H752"/>
    <mergeCell ref="G669:G670"/>
    <mergeCell ref="B675:F676"/>
    <mergeCell ref="G731:G732"/>
    <mergeCell ref="B681:F682"/>
    <mergeCell ref="G681:G682"/>
    <mergeCell ref="G721:G722"/>
    <mergeCell ref="G673:G674"/>
    <mergeCell ref="H713:H714"/>
    <mergeCell ref="G691:G692"/>
    <mergeCell ref="H721:H722"/>
    <mergeCell ref="H705:H706"/>
    <mergeCell ref="B657:F658"/>
    <mergeCell ref="B639:F640"/>
    <mergeCell ref="B635:F636"/>
    <mergeCell ref="B633:F634"/>
    <mergeCell ref="B637:F638"/>
    <mergeCell ref="G663:G664"/>
    <mergeCell ref="G653:G654"/>
    <mergeCell ref="B663:F664"/>
    <mergeCell ref="B651:F652"/>
    <mergeCell ref="G639:G640"/>
    <mergeCell ref="H663:H664"/>
    <mergeCell ref="B643:F644"/>
    <mergeCell ref="G645:G646"/>
    <mergeCell ref="G643:G644"/>
    <mergeCell ref="H643:H644"/>
    <mergeCell ref="H633:H634"/>
    <mergeCell ref="G647:G648"/>
    <mergeCell ref="B647:F648"/>
    <mergeCell ref="B641:F642"/>
    <mergeCell ref="B659:F660"/>
    <mergeCell ref="H661:H662"/>
    <mergeCell ref="B645:F646"/>
    <mergeCell ref="G649:G650"/>
    <mergeCell ref="B655:F656"/>
    <mergeCell ref="B649:F650"/>
    <mergeCell ref="B661:F662"/>
    <mergeCell ref="H659:H660"/>
    <mergeCell ref="G657:G658"/>
    <mergeCell ref="H651:H652"/>
    <mergeCell ref="H645:H646"/>
    <mergeCell ref="G661:G662"/>
    <mergeCell ref="I643:I644"/>
    <mergeCell ref="I645:I646"/>
    <mergeCell ref="H673:H674"/>
    <mergeCell ref="I653:I654"/>
    <mergeCell ref="H635:H636"/>
    <mergeCell ref="H631:H632"/>
    <mergeCell ref="I621:I622"/>
    <mergeCell ref="H647:H648"/>
    <mergeCell ref="I647:I648"/>
    <mergeCell ref="I675:I676"/>
    <mergeCell ref="H657:H658"/>
    <mergeCell ref="G659:G660"/>
    <mergeCell ref="I677:I678"/>
    <mergeCell ref="I689:I690"/>
    <mergeCell ref="I683:I684"/>
    <mergeCell ref="I687:I688"/>
    <mergeCell ref="I649:I650"/>
    <mergeCell ref="G635:G636"/>
    <mergeCell ref="I655:I656"/>
    <mergeCell ref="G687:G688"/>
    <mergeCell ref="I633:I634"/>
    <mergeCell ref="I627:I628"/>
    <mergeCell ref="G623:G624"/>
    <mergeCell ref="H653:H654"/>
    <mergeCell ref="H641:H642"/>
    <mergeCell ref="I631:I632"/>
    <mergeCell ref="G627:G628"/>
    <mergeCell ref="G655:G656"/>
    <mergeCell ref="H627:H628"/>
    <mergeCell ref="G633:G634"/>
    <mergeCell ref="H629:H630"/>
    <mergeCell ref="I641:I642"/>
    <mergeCell ref="G679:G680"/>
    <mergeCell ref="G685:G686"/>
    <mergeCell ref="H667:H668"/>
    <mergeCell ref="G651:G652"/>
    <mergeCell ref="H655:H656"/>
    <mergeCell ref="I663:I664"/>
    <mergeCell ref="I679:I680"/>
    <mergeCell ref="G631:G632"/>
    <mergeCell ref="H649:H650"/>
    <mergeCell ref="G641:G642"/>
    <mergeCell ref="I651:I652"/>
    <mergeCell ref="I659:I660"/>
    <mergeCell ref="I661:I662"/>
    <mergeCell ref="I657:I658"/>
    <mergeCell ref="I629:I630"/>
    <mergeCell ref="B101:F102"/>
    <mergeCell ref="G101:G102"/>
    <mergeCell ref="H101:H102"/>
    <mergeCell ref="I101:I102"/>
    <mergeCell ref="B165:F166"/>
    <mergeCell ref="H377:H378"/>
    <mergeCell ref="H409:H410"/>
    <mergeCell ref="B217:F218"/>
    <mergeCell ref="B145:F146"/>
    <mergeCell ref="G187:G188"/>
    <mergeCell ref="B189:F190"/>
    <mergeCell ref="G393:G394"/>
    <mergeCell ref="B339:F340"/>
    <mergeCell ref="B273:F274"/>
    <mergeCell ref="G375:G376"/>
    <mergeCell ref="B259:F260"/>
    <mergeCell ref="H303:H304"/>
    <mergeCell ref="K17:K18"/>
    <mergeCell ref="B33:F34"/>
    <mergeCell ref="B45:F46"/>
    <mergeCell ref="G15:G16"/>
    <mergeCell ref="B115:F116"/>
    <mergeCell ref="G113:G114"/>
    <mergeCell ref="B109:F110"/>
    <mergeCell ref="G23:G24"/>
    <mergeCell ref="H23:H24"/>
    <mergeCell ref="B17:F18"/>
    <mergeCell ref="G111:G112"/>
    <mergeCell ref="G81:G82"/>
    <mergeCell ref="G45:G46"/>
    <mergeCell ref="B15:F16"/>
    <mergeCell ref="G93:G94"/>
    <mergeCell ref="I93:I94"/>
    <mergeCell ref="I17:I18"/>
    <mergeCell ref="G19:G20"/>
    <mergeCell ref="B79:F80"/>
    <mergeCell ref="B53:F54"/>
    <mergeCell ref="H85:H86"/>
    <mergeCell ref="B49:F50"/>
    <mergeCell ref="G49:G50"/>
    <mergeCell ref="H49:H50"/>
    <mergeCell ref="H111:H112"/>
    <mergeCell ref="B93:F94"/>
    <mergeCell ref="B107:F108"/>
    <mergeCell ref="H95:H96"/>
    <mergeCell ref="G77:G78"/>
    <mergeCell ref="G79:G80"/>
    <mergeCell ref="B113:F114"/>
    <mergeCell ref="B95:F96"/>
    <mergeCell ref="G295:G296"/>
    <mergeCell ref="H393:H394"/>
    <mergeCell ref="G243:G244"/>
    <mergeCell ref="B297:F298"/>
    <mergeCell ref="G269:G270"/>
    <mergeCell ref="B271:F272"/>
    <mergeCell ref="G271:G272"/>
    <mergeCell ref="B295:F296"/>
    <mergeCell ref="B355:F356"/>
    <mergeCell ref="B377:F378"/>
    <mergeCell ref="B387:F388"/>
    <mergeCell ref="B379:F380"/>
    <mergeCell ref="H375:H376"/>
    <mergeCell ref="B365:F366"/>
    <mergeCell ref="H371:H372"/>
    <mergeCell ref="B367:F368"/>
    <mergeCell ref="H365:H366"/>
    <mergeCell ref="H367:H368"/>
    <mergeCell ref="B369:F370"/>
    <mergeCell ref="B373:F374"/>
    <mergeCell ref="G305:G306"/>
    <mergeCell ref="G297:G298"/>
    <mergeCell ref="B305:F306"/>
    <mergeCell ref="B303:F304"/>
    <mergeCell ref="G303:G304"/>
    <mergeCell ref="B293:F294"/>
    <mergeCell ref="H285:H286"/>
    <mergeCell ref="G293:G294"/>
    <mergeCell ref="H313:H314"/>
    <mergeCell ref="H347:H348"/>
    <mergeCell ref="G359:G360"/>
    <mergeCell ref="B371:F372"/>
    <mergeCell ref="I537:I538"/>
    <mergeCell ref="H535:H536"/>
    <mergeCell ref="I479:I480"/>
    <mergeCell ref="H465:H466"/>
    <mergeCell ref="H379:H380"/>
    <mergeCell ref="G383:G384"/>
    <mergeCell ref="B415:F416"/>
    <mergeCell ref="H403:H404"/>
    <mergeCell ref="H521:H522"/>
    <mergeCell ref="B527:F528"/>
    <mergeCell ref="B517:F518"/>
    <mergeCell ref="B509:F510"/>
    <mergeCell ref="B439:F440"/>
    <mergeCell ref="G431:G432"/>
    <mergeCell ref="B435:F436"/>
    <mergeCell ref="B383:F384"/>
    <mergeCell ref="G499:G500"/>
    <mergeCell ref="B523:F524"/>
    <mergeCell ref="G527:G528"/>
    <mergeCell ref="H519:H520"/>
    <mergeCell ref="G483:G484"/>
    <mergeCell ref="H475:H476"/>
    <mergeCell ref="B413:F414"/>
    <mergeCell ref="B469:F470"/>
    <mergeCell ref="H433:H434"/>
    <mergeCell ref="B441:F442"/>
    <mergeCell ref="B471:F472"/>
    <mergeCell ref="G473:G474"/>
    <mergeCell ref="B455:F456"/>
    <mergeCell ref="B477:F478"/>
    <mergeCell ref="G535:G536"/>
    <mergeCell ref="I409:I410"/>
    <mergeCell ref="H505:H506"/>
    <mergeCell ref="B453:F454"/>
    <mergeCell ref="B507:F508"/>
    <mergeCell ref="H481:H482"/>
    <mergeCell ref="I499:I500"/>
    <mergeCell ref="I469:I470"/>
    <mergeCell ref="H479:H480"/>
    <mergeCell ref="B483:F484"/>
    <mergeCell ref="B475:F476"/>
    <mergeCell ref="B473:F474"/>
    <mergeCell ref="I483:I484"/>
    <mergeCell ref="B479:F480"/>
    <mergeCell ref="G455:G456"/>
    <mergeCell ref="G471:G472"/>
    <mergeCell ref="H459:H460"/>
    <mergeCell ref="H501:H502"/>
    <mergeCell ref="G495:G496"/>
    <mergeCell ref="G459:G460"/>
    <mergeCell ref="B467:F468"/>
    <mergeCell ref="I455:I456"/>
    <mergeCell ref="B465:F466"/>
    <mergeCell ref="I495:I496"/>
    <mergeCell ref="I485:I486"/>
    <mergeCell ref="H461:H462"/>
    <mergeCell ref="H471:H472"/>
    <mergeCell ref="I453:I454"/>
    <mergeCell ref="I467:I468"/>
    <mergeCell ref="H455:H456"/>
    <mergeCell ref="B461:F462"/>
    <mergeCell ref="G461:G462"/>
    <mergeCell ref="B457:F458"/>
    <mergeCell ref="H419:H420"/>
    <mergeCell ref="B451:F452"/>
    <mergeCell ref="H301:H302"/>
    <mergeCell ref="G299:G300"/>
    <mergeCell ref="H339:H340"/>
    <mergeCell ref="G317:G318"/>
    <mergeCell ref="B405:F406"/>
    <mergeCell ref="G399:G400"/>
    <mergeCell ref="B409:F410"/>
    <mergeCell ref="B411:F412"/>
    <mergeCell ref="B431:F432"/>
    <mergeCell ref="B421:F422"/>
    <mergeCell ref="B433:F434"/>
    <mergeCell ref="B425:F426"/>
    <mergeCell ref="B423:F424"/>
    <mergeCell ref="B443:F444"/>
    <mergeCell ref="B375:F376"/>
    <mergeCell ref="H445:H446"/>
    <mergeCell ref="B437:F438"/>
    <mergeCell ref="H383:H384"/>
    <mergeCell ref="H381:H382"/>
    <mergeCell ref="H391:H392"/>
    <mergeCell ref="H397:H398"/>
    <mergeCell ref="B403:F404"/>
    <mergeCell ref="G403:G404"/>
    <mergeCell ref="G371:G372"/>
    <mergeCell ref="B445:F446"/>
    <mergeCell ref="G377:G378"/>
    <mergeCell ref="H369:H370"/>
    <mergeCell ref="G321:G322"/>
    <mergeCell ref="B359:F360"/>
    <mergeCell ref="B321:F322"/>
    <mergeCell ref="H485:H486"/>
    <mergeCell ref="B493:F494"/>
    <mergeCell ref="H493:H494"/>
    <mergeCell ref="H449:H450"/>
    <mergeCell ref="I471:I472"/>
    <mergeCell ref="I451:I452"/>
    <mergeCell ref="B459:F460"/>
    <mergeCell ref="H469:H470"/>
    <mergeCell ref="G487:G488"/>
    <mergeCell ref="G489:G490"/>
    <mergeCell ref="H463:H464"/>
    <mergeCell ref="I461:I462"/>
    <mergeCell ref="G449:G450"/>
    <mergeCell ref="H447:H448"/>
    <mergeCell ref="I473:I474"/>
    <mergeCell ref="I449:I450"/>
    <mergeCell ref="G467:G468"/>
    <mergeCell ref="H491:H492"/>
    <mergeCell ref="I475:I476"/>
    <mergeCell ref="G477:G478"/>
    <mergeCell ref="H483:H484"/>
    <mergeCell ref="I465:I466"/>
    <mergeCell ref="G453:G454"/>
    <mergeCell ref="I489:I490"/>
    <mergeCell ref="I487:I488"/>
    <mergeCell ref="I447:I448"/>
    <mergeCell ref="G437:G438"/>
    <mergeCell ref="I435:I436"/>
    <mergeCell ref="G407:G408"/>
    <mergeCell ref="H415:H416"/>
    <mergeCell ref="I433:I434"/>
    <mergeCell ref="I437:I438"/>
    <mergeCell ref="H437:H438"/>
    <mergeCell ref="H431:H432"/>
    <mergeCell ref="H435:H436"/>
    <mergeCell ref="G443:G444"/>
    <mergeCell ref="G445:G446"/>
    <mergeCell ref="H453:H454"/>
    <mergeCell ref="G415:G416"/>
    <mergeCell ref="G423:G424"/>
    <mergeCell ref="G419:G420"/>
    <mergeCell ref="I439:I440"/>
    <mergeCell ref="G451:G452"/>
    <mergeCell ref="H451:H452"/>
    <mergeCell ref="H441:H442"/>
    <mergeCell ref="I441:I442"/>
    <mergeCell ref="G421:G422"/>
    <mergeCell ref="I419:I420"/>
    <mergeCell ref="I443:I444"/>
    <mergeCell ref="H443:H444"/>
    <mergeCell ref="G447:G448"/>
    <mergeCell ref="G435:G436"/>
    <mergeCell ref="I445:I446"/>
    <mergeCell ref="G441:G442"/>
    <mergeCell ref="G433:G434"/>
    <mergeCell ref="H423:H424"/>
    <mergeCell ref="G425:G426"/>
    <mergeCell ref="B419:F420"/>
    <mergeCell ref="I389:I390"/>
    <mergeCell ref="G395:G396"/>
    <mergeCell ref="J419:J420"/>
    <mergeCell ref="J415:J416"/>
    <mergeCell ref="J425:J426"/>
    <mergeCell ref="J413:J414"/>
    <mergeCell ref="J409:J410"/>
    <mergeCell ref="H411:H412"/>
    <mergeCell ref="B401:F402"/>
    <mergeCell ref="J433:J434"/>
    <mergeCell ref="G409:G410"/>
    <mergeCell ref="H395:H396"/>
    <mergeCell ref="H417:H418"/>
    <mergeCell ref="B429:F430"/>
    <mergeCell ref="I429:I430"/>
    <mergeCell ref="I431:I432"/>
    <mergeCell ref="B391:F392"/>
    <mergeCell ref="B389:F390"/>
    <mergeCell ref="B397:F398"/>
    <mergeCell ref="G429:G430"/>
    <mergeCell ref="I425:I426"/>
    <mergeCell ref="G411:G412"/>
    <mergeCell ref="I403:I404"/>
    <mergeCell ref="H399:H400"/>
    <mergeCell ref="I417:I418"/>
    <mergeCell ref="G427:G428"/>
    <mergeCell ref="B399:F400"/>
    <mergeCell ref="B395:F396"/>
    <mergeCell ref="G397:G398"/>
    <mergeCell ref="I421:I422"/>
    <mergeCell ref="H429:H430"/>
    <mergeCell ref="B385:F386"/>
    <mergeCell ref="J389:J390"/>
    <mergeCell ref="I413:I414"/>
    <mergeCell ref="G385:G386"/>
    <mergeCell ref="H413:H414"/>
    <mergeCell ref="G389:G390"/>
    <mergeCell ref="B393:F394"/>
    <mergeCell ref="B307:F308"/>
    <mergeCell ref="G339:G340"/>
    <mergeCell ref="B381:F382"/>
    <mergeCell ref="G381:G382"/>
    <mergeCell ref="G379:G380"/>
    <mergeCell ref="H337:H338"/>
    <mergeCell ref="H343:H344"/>
    <mergeCell ref="H351:H352"/>
    <mergeCell ref="B363:F364"/>
    <mergeCell ref="G367:G368"/>
    <mergeCell ref="I387:I388"/>
    <mergeCell ref="G387:G388"/>
    <mergeCell ref="B357:F358"/>
    <mergeCell ref="B337:F338"/>
    <mergeCell ref="B341:F342"/>
    <mergeCell ref="B323:F324"/>
    <mergeCell ref="B309:F310"/>
    <mergeCell ref="B333:F334"/>
    <mergeCell ref="B351:F352"/>
    <mergeCell ref="G349:G350"/>
    <mergeCell ref="G355:G356"/>
    <mergeCell ref="H363:H364"/>
    <mergeCell ref="I349:I350"/>
    <mergeCell ref="I363:I364"/>
    <mergeCell ref="I331:I332"/>
    <mergeCell ref="B865:F866"/>
    <mergeCell ref="I385:I386"/>
    <mergeCell ref="J865:J866"/>
    <mergeCell ref="K865:K866"/>
    <mergeCell ref="B57:F58"/>
    <mergeCell ref="G57:G58"/>
    <mergeCell ref="H57:H58"/>
    <mergeCell ref="I57:I58"/>
    <mergeCell ref="J57:J58"/>
    <mergeCell ref="K57:K58"/>
    <mergeCell ref="B563:F564"/>
    <mergeCell ref="G563:G564"/>
    <mergeCell ref="H563:H564"/>
    <mergeCell ref="I563:I564"/>
    <mergeCell ref="J563:J564"/>
    <mergeCell ref="K563:K564"/>
    <mergeCell ref="K401:K402"/>
    <mergeCell ref="I395:I396"/>
    <mergeCell ref="H387:H388"/>
    <mergeCell ref="G391:G392"/>
    <mergeCell ref="I393:I394"/>
    <mergeCell ref="H427:H428"/>
    <mergeCell ref="J383:J384"/>
    <mergeCell ref="H385:H386"/>
    <mergeCell ref="I423:I424"/>
    <mergeCell ref="B407:F408"/>
    <mergeCell ref="J421:J422"/>
    <mergeCell ref="G413:G414"/>
    <mergeCell ref="H425:H426"/>
    <mergeCell ref="H421:H422"/>
    <mergeCell ref="B417:F418"/>
    <mergeCell ref="G417:G418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scaleWithDoc="0">
    <oddFooter>&amp;L&amp;D&amp;R&amp;P/&amp;N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M860"/>
  <sheetViews>
    <sheetView showGridLines="0" view="pageBreakPreview" topLeftCell="A421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9" width="9.109375" style="1"/>
    <col min="10" max="10" width="9.109375" style="112"/>
    <col min="11" max="11" width="10" style="1" customWidth="1"/>
    <col min="12" max="12" width="9.6640625" style="89" bestFit="1" customWidth="1"/>
    <col min="13" max="13" width="9.6640625" style="90" bestFit="1" customWidth="1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C6" s="227" t="s">
        <v>430</v>
      </c>
      <c r="D6" s="227"/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C7" s="227"/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s="45" customFormat="1" ht="12" customHeight="1" x14ac:dyDescent="0.2">
      <c r="A9" s="43"/>
      <c r="B9" s="220" t="s">
        <v>82</v>
      </c>
      <c r="C9" s="220"/>
      <c r="D9" s="220"/>
      <c r="E9" s="220"/>
      <c r="F9" s="220"/>
      <c r="G9" s="220" t="s">
        <v>84</v>
      </c>
      <c r="H9" s="220" t="s">
        <v>90</v>
      </c>
      <c r="I9" s="220" t="s">
        <v>192</v>
      </c>
      <c r="J9" s="258" t="s">
        <v>986</v>
      </c>
      <c r="K9" s="220" t="s">
        <v>83</v>
      </c>
      <c r="L9" s="91"/>
      <c r="M9" s="92"/>
    </row>
    <row r="10" spans="1:13" s="45" customFormat="1" ht="12" customHeight="1" x14ac:dyDescent="0.2">
      <c r="A10" s="94"/>
      <c r="B10" s="221"/>
      <c r="C10" s="221"/>
      <c r="D10" s="221"/>
      <c r="E10" s="221"/>
      <c r="F10" s="221"/>
      <c r="G10" s="223"/>
      <c r="H10" s="221"/>
      <c r="I10" s="221"/>
      <c r="J10" s="259"/>
      <c r="K10" s="221"/>
      <c r="L10" s="91"/>
      <c r="M10" s="92"/>
    </row>
    <row r="11" spans="1:13" s="45" customFormat="1" ht="8.5500000000000007" customHeight="1" x14ac:dyDescent="0.2">
      <c r="A11" s="98"/>
      <c r="B11" s="218" t="s">
        <v>87</v>
      </c>
      <c r="C11" s="218"/>
      <c r="D11" s="218"/>
      <c r="E11" s="218"/>
      <c r="F11" s="218"/>
      <c r="G11" s="73"/>
      <c r="H11" s="73"/>
      <c r="I11" s="73"/>
      <c r="J11" s="113"/>
      <c r="K11" s="73"/>
      <c r="L11" s="91"/>
      <c r="M11" s="92"/>
    </row>
    <row r="12" spans="1:13" s="45" customFormat="1" ht="8.5500000000000007" customHeight="1" x14ac:dyDescent="0.2">
      <c r="A12" s="98"/>
      <c r="B12" s="219"/>
      <c r="C12" s="219"/>
      <c r="D12" s="219"/>
      <c r="E12" s="219"/>
      <c r="F12" s="219"/>
      <c r="G12" s="74"/>
      <c r="H12" s="74"/>
      <c r="I12" s="74"/>
      <c r="J12" s="114"/>
      <c r="K12" s="74"/>
      <c r="L12" s="91"/>
      <c r="M12" s="92"/>
    </row>
    <row r="13" spans="1:13" s="45" customFormat="1" ht="8.5500000000000007" customHeight="1" x14ac:dyDescent="0.2">
      <c r="A13" s="98"/>
      <c r="B13" s="172" t="s">
        <v>1164</v>
      </c>
      <c r="C13" s="172"/>
      <c r="D13" s="172"/>
      <c r="E13" s="172"/>
      <c r="F13" s="173"/>
      <c r="G13" s="251">
        <v>1973</v>
      </c>
      <c r="H13" s="160"/>
      <c r="I13" s="160"/>
      <c r="J13" s="249"/>
      <c r="K13" s="234">
        <v>1</v>
      </c>
      <c r="L13" s="91"/>
      <c r="M13" s="92"/>
    </row>
    <row r="14" spans="1:13" s="45" customFormat="1" ht="8.5500000000000007" customHeight="1" x14ac:dyDescent="0.2">
      <c r="A14" s="98"/>
      <c r="B14" s="174"/>
      <c r="C14" s="174"/>
      <c r="D14" s="174"/>
      <c r="E14" s="174"/>
      <c r="F14" s="175"/>
      <c r="G14" s="252"/>
      <c r="H14" s="161"/>
      <c r="I14" s="161"/>
      <c r="J14" s="250"/>
      <c r="K14" s="235"/>
      <c r="L14" s="91"/>
      <c r="M14" s="92"/>
    </row>
    <row r="15" spans="1:13" s="45" customFormat="1" ht="8.5500000000000007" customHeight="1" x14ac:dyDescent="0.2">
      <c r="A15" s="98"/>
      <c r="B15" s="156" t="s">
        <v>1164</v>
      </c>
      <c r="C15" s="156"/>
      <c r="D15" s="156"/>
      <c r="E15" s="156"/>
      <c r="F15" s="157"/>
      <c r="G15" s="251">
        <v>1983</v>
      </c>
      <c r="H15" s="167">
        <v>92</v>
      </c>
      <c r="I15" s="160"/>
      <c r="J15" s="249">
        <v>18.5</v>
      </c>
      <c r="K15" s="234">
        <v>1</v>
      </c>
      <c r="L15" s="91"/>
      <c r="M15" s="92"/>
    </row>
    <row r="16" spans="1:13" s="45" customFormat="1" ht="8.5500000000000007" customHeight="1" x14ac:dyDescent="0.2">
      <c r="A16" s="98"/>
      <c r="B16" s="158"/>
      <c r="C16" s="158"/>
      <c r="D16" s="158"/>
      <c r="E16" s="158"/>
      <c r="F16" s="159"/>
      <c r="G16" s="252"/>
      <c r="H16" s="168"/>
      <c r="I16" s="161"/>
      <c r="J16" s="250"/>
      <c r="K16" s="235"/>
      <c r="L16" s="91"/>
      <c r="M16" s="92"/>
    </row>
    <row r="17" spans="1:13" s="45" customFormat="1" ht="8.5500000000000007" customHeight="1" x14ac:dyDescent="0.2">
      <c r="A17" s="98"/>
      <c r="B17" s="156" t="s">
        <v>1164</v>
      </c>
      <c r="C17" s="156"/>
      <c r="D17" s="156"/>
      <c r="E17" s="156"/>
      <c r="F17" s="157"/>
      <c r="G17" s="251">
        <v>1989</v>
      </c>
      <c r="H17" s="167">
        <v>89</v>
      </c>
      <c r="I17" s="160"/>
      <c r="J17" s="249">
        <v>20</v>
      </c>
      <c r="K17" s="234">
        <v>1</v>
      </c>
      <c r="L17" s="91"/>
      <c r="M17" s="92"/>
    </row>
    <row r="18" spans="1:13" s="45" customFormat="1" ht="8.5500000000000007" customHeight="1" x14ac:dyDescent="0.2">
      <c r="A18" s="98"/>
      <c r="B18" s="158"/>
      <c r="C18" s="158"/>
      <c r="D18" s="158"/>
      <c r="E18" s="158"/>
      <c r="F18" s="159"/>
      <c r="G18" s="252"/>
      <c r="H18" s="168"/>
      <c r="I18" s="161"/>
      <c r="J18" s="250"/>
      <c r="K18" s="235"/>
      <c r="L18" s="91"/>
      <c r="M18" s="92"/>
    </row>
    <row r="19" spans="1:13" s="45" customFormat="1" ht="8.5500000000000007" customHeight="1" x14ac:dyDescent="0.2">
      <c r="A19" s="98"/>
      <c r="B19" s="156" t="s">
        <v>1164</v>
      </c>
      <c r="C19" s="156"/>
      <c r="D19" s="156"/>
      <c r="E19" s="156"/>
      <c r="F19" s="157"/>
      <c r="G19" s="251">
        <v>1995</v>
      </c>
      <c r="H19" s="167">
        <v>95</v>
      </c>
      <c r="I19" s="160">
        <v>95</v>
      </c>
      <c r="J19" s="249">
        <v>18.5</v>
      </c>
      <c r="K19" s="234">
        <v>1</v>
      </c>
      <c r="L19" s="91"/>
      <c r="M19" s="92"/>
    </row>
    <row r="20" spans="1:13" s="45" customFormat="1" ht="8.5500000000000007" customHeight="1" x14ac:dyDescent="0.2">
      <c r="A20" s="98"/>
      <c r="B20" s="158"/>
      <c r="C20" s="158"/>
      <c r="D20" s="158"/>
      <c r="E20" s="158"/>
      <c r="F20" s="159"/>
      <c r="G20" s="252"/>
      <c r="H20" s="168"/>
      <c r="I20" s="161"/>
      <c r="J20" s="250"/>
      <c r="K20" s="235"/>
      <c r="L20" s="91"/>
      <c r="M20" s="92"/>
    </row>
    <row r="21" spans="1:13" s="45" customFormat="1" ht="8.5500000000000007" customHeight="1" x14ac:dyDescent="0.2">
      <c r="A21" s="98"/>
      <c r="B21" s="156" t="s">
        <v>1164</v>
      </c>
      <c r="C21" s="156"/>
      <c r="D21" s="156"/>
      <c r="E21" s="156"/>
      <c r="F21" s="157"/>
      <c r="G21" s="251">
        <v>1996</v>
      </c>
      <c r="H21" s="167" t="s">
        <v>336</v>
      </c>
      <c r="I21" s="160">
        <v>96</v>
      </c>
      <c r="J21" s="249">
        <v>19.5</v>
      </c>
      <c r="K21" s="234">
        <v>1</v>
      </c>
      <c r="L21" s="91"/>
      <c r="M21" s="92"/>
    </row>
    <row r="22" spans="1:13" s="45" customFormat="1" ht="8.5500000000000007" customHeight="1" x14ac:dyDescent="0.2">
      <c r="A22" s="98"/>
      <c r="B22" s="158"/>
      <c r="C22" s="158"/>
      <c r="D22" s="158"/>
      <c r="E22" s="158"/>
      <c r="F22" s="159"/>
      <c r="G22" s="252"/>
      <c r="H22" s="168"/>
      <c r="I22" s="161"/>
      <c r="J22" s="250"/>
      <c r="K22" s="235"/>
      <c r="L22" s="91"/>
      <c r="M22" s="92"/>
    </row>
    <row r="23" spans="1:13" s="45" customFormat="1" ht="8.5500000000000007" customHeight="1" x14ac:dyDescent="0.2">
      <c r="A23" s="98"/>
      <c r="B23" s="156" t="s">
        <v>1164</v>
      </c>
      <c r="C23" s="156"/>
      <c r="D23" s="156"/>
      <c r="E23" s="156"/>
      <c r="F23" s="157"/>
      <c r="G23" s="251">
        <v>1998</v>
      </c>
      <c r="H23" s="167"/>
      <c r="I23" s="160"/>
      <c r="J23" s="249">
        <v>18.5</v>
      </c>
      <c r="K23" s="234">
        <v>1</v>
      </c>
      <c r="L23" s="91"/>
      <c r="M23" s="92"/>
    </row>
    <row r="24" spans="1:13" s="45" customFormat="1" ht="8.5500000000000007" customHeight="1" x14ac:dyDescent="0.2">
      <c r="A24" s="98"/>
      <c r="B24" s="158"/>
      <c r="C24" s="158"/>
      <c r="D24" s="158"/>
      <c r="E24" s="158"/>
      <c r="F24" s="159"/>
      <c r="G24" s="252"/>
      <c r="H24" s="168"/>
      <c r="I24" s="161"/>
      <c r="J24" s="250"/>
      <c r="K24" s="235"/>
      <c r="L24" s="91"/>
      <c r="M24" s="92"/>
    </row>
    <row r="25" spans="1:13" s="45" customFormat="1" ht="8.5500000000000007" customHeight="1" x14ac:dyDescent="0.2">
      <c r="A25" s="98"/>
      <c r="B25" s="156" t="s">
        <v>1164</v>
      </c>
      <c r="C25" s="156"/>
      <c r="D25" s="156"/>
      <c r="E25" s="156"/>
      <c r="F25" s="157"/>
      <c r="G25" s="251">
        <v>2006</v>
      </c>
      <c r="H25" s="167">
        <v>94</v>
      </c>
      <c r="I25" s="160">
        <v>97</v>
      </c>
      <c r="J25" s="249">
        <v>19</v>
      </c>
      <c r="K25" s="234">
        <v>1</v>
      </c>
      <c r="L25" s="91"/>
      <c r="M25" s="92"/>
    </row>
    <row r="26" spans="1:13" s="45" customFormat="1" ht="8.5500000000000007" customHeight="1" x14ac:dyDescent="0.2">
      <c r="A26" s="98"/>
      <c r="B26" s="158"/>
      <c r="C26" s="158"/>
      <c r="D26" s="158"/>
      <c r="E26" s="158"/>
      <c r="F26" s="159"/>
      <c r="G26" s="252"/>
      <c r="H26" s="168"/>
      <c r="I26" s="161"/>
      <c r="J26" s="250"/>
      <c r="K26" s="235"/>
      <c r="L26" s="91"/>
      <c r="M26" s="92"/>
    </row>
    <row r="27" spans="1:13" s="45" customFormat="1" ht="8.5500000000000007" customHeight="1" x14ac:dyDescent="0.2">
      <c r="A27" s="98"/>
      <c r="B27" s="156" t="s">
        <v>1164</v>
      </c>
      <c r="C27" s="156"/>
      <c r="D27" s="156"/>
      <c r="E27" s="156"/>
      <c r="F27" s="157"/>
      <c r="G27" s="251">
        <v>2007</v>
      </c>
      <c r="H27" s="167">
        <v>93</v>
      </c>
      <c r="I27" s="160">
        <v>95</v>
      </c>
      <c r="J27" s="249">
        <v>19</v>
      </c>
      <c r="K27" s="234">
        <v>2</v>
      </c>
      <c r="L27" s="91"/>
      <c r="M27" s="92"/>
    </row>
    <row r="28" spans="1:13" s="45" customFormat="1" ht="8.5500000000000007" customHeight="1" x14ac:dyDescent="0.2">
      <c r="A28" s="98"/>
      <c r="B28" s="158"/>
      <c r="C28" s="158"/>
      <c r="D28" s="158"/>
      <c r="E28" s="158"/>
      <c r="F28" s="159"/>
      <c r="G28" s="252"/>
      <c r="H28" s="168"/>
      <c r="I28" s="161"/>
      <c r="J28" s="250"/>
      <c r="K28" s="235"/>
      <c r="L28" s="91"/>
      <c r="M28" s="92"/>
    </row>
    <row r="29" spans="1:13" s="45" customFormat="1" ht="8.5500000000000007" customHeight="1" x14ac:dyDescent="0.2">
      <c r="A29" s="98"/>
      <c r="B29" s="156" t="s">
        <v>1164</v>
      </c>
      <c r="C29" s="156"/>
      <c r="D29" s="156"/>
      <c r="E29" s="156"/>
      <c r="F29" s="157"/>
      <c r="G29" s="251">
        <v>2011</v>
      </c>
      <c r="H29" s="167">
        <v>95</v>
      </c>
      <c r="I29" s="160"/>
      <c r="J29" s="249"/>
      <c r="K29" s="234">
        <v>1</v>
      </c>
      <c r="L29" s="91"/>
      <c r="M29" s="92"/>
    </row>
    <row r="30" spans="1:13" s="45" customFormat="1" ht="8.5500000000000007" customHeight="1" x14ac:dyDescent="0.2">
      <c r="A30" s="98"/>
      <c r="B30" s="158"/>
      <c r="C30" s="158"/>
      <c r="D30" s="158"/>
      <c r="E30" s="158"/>
      <c r="F30" s="159"/>
      <c r="G30" s="252"/>
      <c r="H30" s="168"/>
      <c r="I30" s="161"/>
      <c r="J30" s="250"/>
      <c r="K30" s="235"/>
      <c r="L30" s="91"/>
      <c r="M30" s="92"/>
    </row>
    <row r="31" spans="1:13" s="45" customFormat="1" ht="8.5500000000000007" customHeight="1" x14ac:dyDescent="0.2">
      <c r="A31" s="98"/>
      <c r="B31" s="172" t="s">
        <v>1165</v>
      </c>
      <c r="C31" s="172"/>
      <c r="D31" s="172"/>
      <c r="E31" s="172"/>
      <c r="F31" s="173"/>
      <c r="G31" s="251">
        <v>1969</v>
      </c>
      <c r="H31" s="167">
        <v>87</v>
      </c>
      <c r="I31" s="160"/>
      <c r="J31" s="249"/>
      <c r="K31" s="234">
        <v>1</v>
      </c>
      <c r="L31" s="91"/>
      <c r="M31" s="92"/>
    </row>
    <row r="32" spans="1:13" s="45" customFormat="1" ht="8.5500000000000007" customHeight="1" x14ac:dyDescent="0.2">
      <c r="A32" s="98"/>
      <c r="B32" s="174"/>
      <c r="C32" s="174"/>
      <c r="D32" s="174"/>
      <c r="E32" s="174"/>
      <c r="F32" s="175"/>
      <c r="G32" s="252"/>
      <c r="H32" s="168"/>
      <c r="I32" s="161"/>
      <c r="J32" s="250"/>
      <c r="K32" s="235"/>
      <c r="L32" s="91"/>
      <c r="M32" s="92"/>
    </row>
    <row r="33" spans="1:13" s="45" customFormat="1" ht="8.5500000000000007" customHeight="1" x14ac:dyDescent="0.2">
      <c r="A33" s="98"/>
      <c r="B33" s="156" t="s">
        <v>1165</v>
      </c>
      <c r="C33" s="156"/>
      <c r="D33" s="156"/>
      <c r="E33" s="156"/>
      <c r="F33" s="157"/>
      <c r="G33" s="251">
        <v>1985</v>
      </c>
      <c r="H33" s="167">
        <v>96</v>
      </c>
      <c r="I33" s="160">
        <v>100</v>
      </c>
      <c r="J33" s="249">
        <v>18</v>
      </c>
      <c r="K33" s="234">
        <v>1</v>
      </c>
      <c r="L33" s="91"/>
      <c r="M33" s="92"/>
    </row>
    <row r="34" spans="1:13" s="45" customFormat="1" ht="8.5500000000000007" customHeight="1" x14ac:dyDescent="0.2">
      <c r="A34" s="98"/>
      <c r="B34" s="158"/>
      <c r="C34" s="158"/>
      <c r="D34" s="158"/>
      <c r="E34" s="158"/>
      <c r="F34" s="159"/>
      <c r="G34" s="252"/>
      <c r="H34" s="168"/>
      <c r="I34" s="161"/>
      <c r="J34" s="250"/>
      <c r="K34" s="235"/>
      <c r="L34" s="91"/>
      <c r="M34" s="92"/>
    </row>
    <row r="35" spans="1:13" s="45" customFormat="1" ht="8.5500000000000007" customHeight="1" x14ac:dyDescent="0.2">
      <c r="A35" s="98"/>
      <c r="B35" s="156" t="s">
        <v>1165</v>
      </c>
      <c r="C35" s="156"/>
      <c r="D35" s="156"/>
      <c r="E35" s="156"/>
      <c r="F35" s="157"/>
      <c r="G35" s="251">
        <v>1990</v>
      </c>
      <c r="H35" s="167">
        <v>95</v>
      </c>
      <c r="I35" s="160"/>
      <c r="J35" s="249"/>
      <c r="K35" s="234">
        <v>1</v>
      </c>
      <c r="L35" s="91"/>
      <c r="M35" s="92"/>
    </row>
    <row r="36" spans="1:13" s="45" customFormat="1" ht="8.5500000000000007" customHeight="1" x14ac:dyDescent="0.2">
      <c r="A36" s="98"/>
      <c r="B36" s="158"/>
      <c r="C36" s="158"/>
      <c r="D36" s="158"/>
      <c r="E36" s="158"/>
      <c r="F36" s="159"/>
      <c r="G36" s="252"/>
      <c r="H36" s="168"/>
      <c r="I36" s="161"/>
      <c r="J36" s="250"/>
      <c r="K36" s="235"/>
      <c r="L36" s="91"/>
      <c r="M36" s="92"/>
    </row>
    <row r="37" spans="1:13" s="45" customFormat="1" ht="8.5500000000000007" customHeight="1" x14ac:dyDescent="0.2">
      <c r="A37" s="98"/>
      <c r="B37" s="156" t="s">
        <v>1165</v>
      </c>
      <c r="C37" s="156"/>
      <c r="D37" s="156"/>
      <c r="E37" s="156"/>
      <c r="F37" s="157"/>
      <c r="G37" s="251">
        <v>1991</v>
      </c>
      <c r="H37" s="167">
        <v>94</v>
      </c>
      <c r="I37" s="160"/>
      <c r="J37" s="249">
        <v>18</v>
      </c>
      <c r="K37" s="234">
        <v>1</v>
      </c>
      <c r="L37" s="91"/>
      <c r="M37" s="92"/>
    </row>
    <row r="38" spans="1:13" s="45" customFormat="1" ht="8.5500000000000007" customHeight="1" x14ac:dyDescent="0.2">
      <c r="A38" s="98"/>
      <c r="B38" s="158"/>
      <c r="C38" s="158"/>
      <c r="D38" s="158"/>
      <c r="E38" s="158"/>
      <c r="F38" s="159"/>
      <c r="G38" s="252"/>
      <c r="H38" s="168"/>
      <c r="I38" s="161"/>
      <c r="J38" s="250"/>
      <c r="K38" s="235"/>
      <c r="L38" s="91"/>
      <c r="M38" s="92"/>
    </row>
    <row r="39" spans="1:13" s="45" customFormat="1" ht="8.5500000000000007" customHeight="1" x14ac:dyDescent="0.2">
      <c r="A39" s="98"/>
      <c r="B39" s="156" t="s">
        <v>1165</v>
      </c>
      <c r="C39" s="156"/>
      <c r="D39" s="156"/>
      <c r="E39" s="156"/>
      <c r="F39" s="157"/>
      <c r="G39" s="251">
        <v>1993</v>
      </c>
      <c r="H39" s="167">
        <v>91</v>
      </c>
      <c r="I39" s="160"/>
      <c r="J39" s="249">
        <v>17.5</v>
      </c>
      <c r="K39" s="234">
        <v>1</v>
      </c>
      <c r="L39" s="91"/>
      <c r="M39" s="92"/>
    </row>
    <row r="40" spans="1:13" s="45" customFormat="1" ht="8.5500000000000007" customHeight="1" x14ac:dyDescent="0.2">
      <c r="A40" s="98"/>
      <c r="B40" s="158"/>
      <c r="C40" s="158"/>
      <c r="D40" s="158"/>
      <c r="E40" s="158"/>
      <c r="F40" s="159"/>
      <c r="G40" s="252"/>
      <c r="H40" s="168"/>
      <c r="I40" s="161"/>
      <c r="J40" s="250"/>
      <c r="K40" s="235"/>
      <c r="L40" s="91"/>
      <c r="M40" s="92"/>
    </row>
    <row r="41" spans="1:13" s="45" customFormat="1" ht="8.5500000000000007" customHeight="1" x14ac:dyDescent="0.2">
      <c r="A41" s="98"/>
      <c r="B41" s="156" t="s">
        <v>1165</v>
      </c>
      <c r="C41" s="156"/>
      <c r="D41" s="156"/>
      <c r="E41" s="156"/>
      <c r="F41" s="157"/>
      <c r="G41" s="251">
        <v>1995</v>
      </c>
      <c r="H41" s="167" t="s">
        <v>644</v>
      </c>
      <c r="I41" s="160">
        <v>98</v>
      </c>
      <c r="J41" s="249"/>
      <c r="K41" s="234">
        <v>2</v>
      </c>
      <c r="L41" s="91"/>
      <c r="M41" s="92"/>
    </row>
    <row r="42" spans="1:13" s="45" customFormat="1" ht="8.5500000000000007" customHeight="1" x14ac:dyDescent="0.2">
      <c r="A42" s="98"/>
      <c r="B42" s="158"/>
      <c r="C42" s="158"/>
      <c r="D42" s="158"/>
      <c r="E42" s="158"/>
      <c r="F42" s="159"/>
      <c r="G42" s="252"/>
      <c r="H42" s="168"/>
      <c r="I42" s="161"/>
      <c r="J42" s="250"/>
      <c r="K42" s="235"/>
      <c r="L42" s="91"/>
      <c r="M42" s="92"/>
    </row>
    <row r="43" spans="1:13" s="45" customFormat="1" ht="8.5500000000000007" customHeight="1" x14ac:dyDescent="0.2">
      <c r="A43" s="98"/>
      <c r="B43" s="156" t="s">
        <v>1165</v>
      </c>
      <c r="C43" s="156"/>
      <c r="D43" s="156"/>
      <c r="E43" s="156"/>
      <c r="F43" s="157"/>
      <c r="G43" s="251">
        <v>1996</v>
      </c>
      <c r="H43" s="167">
        <v>96</v>
      </c>
      <c r="I43" s="160"/>
      <c r="J43" s="249"/>
      <c r="K43" s="234">
        <v>1</v>
      </c>
      <c r="L43" s="91"/>
      <c r="M43" s="92"/>
    </row>
    <row r="44" spans="1:13" s="45" customFormat="1" ht="8.5500000000000007" customHeight="1" x14ac:dyDescent="0.2">
      <c r="A44" s="98"/>
      <c r="B44" s="158"/>
      <c r="C44" s="158"/>
      <c r="D44" s="158"/>
      <c r="E44" s="158"/>
      <c r="F44" s="159"/>
      <c r="G44" s="252"/>
      <c r="H44" s="168"/>
      <c r="I44" s="161"/>
      <c r="J44" s="250"/>
      <c r="K44" s="235"/>
      <c r="L44" s="91"/>
      <c r="M44" s="92"/>
    </row>
    <row r="45" spans="1:13" s="45" customFormat="1" ht="8.5500000000000007" customHeight="1" x14ac:dyDescent="0.2">
      <c r="A45" s="98"/>
      <c r="B45" s="156" t="s">
        <v>1165</v>
      </c>
      <c r="C45" s="156"/>
      <c r="D45" s="156"/>
      <c r="E45" s="156"/>
      <c r="F45" s="157"/>
      <c r="G45" s="251">
        <v>1997</v>
      </c>
      <c r="H45" s="167">
        <v>93</v>
      </c>
      <c r="I45" s="160"/>
      <c r="J45" s="249">
        <v>18</v>
      </c>
      <c r="K45" s="234">
        <v>2</v>
      </c>
      <c r="L45" s="91"/>
      <c r="M45" s="92"/>
    </row>
    <row r="46" spans="1:13" s="45" customFormat="1" ht="8.5500000000000007" customHeight="1" x14ac:dyDescent="0.2">
      <c r="A46" s="98"/>
      <c r="B46" s="158"/>
      <c r="C46" s="158"/>
      <c r="D46" s="158"/>
      <c r="E46" s="158"/>
      <c r="F46" s="159"/>
      <c r="G46" s="252"/>
      <c r="H46" s="168"/>
      <c r="I46" s="161"/>
      <c r="J46" s="250"/>
      <c r="K46" s="235"/>
      <c r="L46" s="91"/>
      <c r="M46" s="92"/>
    </row>
    <row r="47" spans="1:13" s="45" customFormat="1" ht="8.5500000000000007" customHeight="1" x14ac:dyDescent="0.2">
      <c r="A47" s="98"/>
      <c r="B47" s="156" t="s">
        <v>1165</v>
      </c>
      <c r="C47" s="156"/>
      <c r="D47" s="156"/>
      <c r="E47" s="156"/>
      <c r="F47" s="157"/>
      <c r="G47" s="251">
        <v>2003</v>
      </c>
      <c r="H47" s="167">
        <v>97</v>
      </c>
      <c r="I47" s="160"/>
      <c r="J47" s="257"/>
      <c r="K47" s="234">
        <v>2</v>
      </c>
      <c r="L47" s="91"/>
      <c r="M47" s="92"/>
    </row>
    <row r="48" spans="1:13" s="45" customFormat="1" ht="8.5500000000000007" customHeight="1" x14ac:dyDescent="0.2">
      <c r="A48" s="98"/>
      <c r="B48" s="158"/>
      <c r="C48" s="158"/>
      <c r="D48" s="158"/>
      <c r="E48" s="158"/>
      <c r="F48" s="159"/>
      <c r="G48" s="252"/>
      <c r="H48" s="168"/>
      <c r="I48" s="161"/>
      <c r="J48" s="250"/>
      <c r="K48" s="235"/>
      <c r="L48" s="91"/>
      <c r="M48" s="92"/>
    </row>
    <row r="49" spans="1:13" s="45" customFormat="1" ht="8.5500000000000007" customHeight="1" x14ac:dyDescent="0.2">
      <c r="A49" s="98"/>
      <c r="B49" s="156" t="s">
        <v>1165</v>
      </c>
      <c r="C49" s="156"/>
      <c r="D49" s="156"/>
      <c r="E49" s="156"/>
      <c r="F49" s="157"/>
      <c r="G49" s="251">
        <v>2004</v>
      </c>
      <c r="H49" s="167"/>
      <c r="I49" s="160">
        <v>94</v>
      </c>
      <c r="J49" s="249"/>
      <c r="K49" s="234">
        <v>1</v>
      </c>
      <c r="L49" s="91"/>
      <c r="M49" s="92"/>
    </row>
    <row r="50" spans="1:13" s="45" customFormat="1" ht="8.5500000000000007" customHeight="1" x14ac:dyDescent="0.2">
      <c r="A50" s="98"/>
      <c r="B50" s="158"/>
      <c r="C50" s="158"/>
      <c r="D50" s="158"/>
      <c r="E50" s="158"/>
      <c r="F50" s="159"/>
      <c r="G50" s="252"/>
      <c r="H50" s="168"/>
      <c r="I50" s="161"/>
      <c r="J50" s="250"/>
      <c r="K50" s="235"/>
      <c r="L50" s="91"/>
      <c r="M50" s="92"/>
    </row>
    <row r="51" spans="1:13" s="45" customFormat="1" ht="8.5500000000000007" customHeight="1" x14ac:dyDescent="0.2">
      <c r="A51" s="98"/>
      <c r="B51" s="156" t="s">
        <v>1165</v>
      </c>
      <c r="C51" s="156"/>
      <c r="D51" s="156"/>
      <c r="E51" s="156"/>
      <c r="F51" s="157"/>
      <c r="G51" s="251">
        <v>2006</v>
      </c>
      <c r="H51" s="167">
        <v>93</v>
      </c>
      <c r="I51" s="160">
        <v>95</v>
      </c>
      <c r="J51" s="249">
        <v>18</v>
      </c>
      <c r="K51" s="234">
        <v>2</v>
      </c>
      <c r="L51" s="91"/>
      <c r="M51" s="92"/>
    </row>
    <row r="52" spans="1:13" s="45" customFormat="1" ht="8.5500000000000007" customHeight="1" x14ac:dyDescent="0.2">
      <c r="A52" s="98"/>
      <c r="B52" s="158"/>
      <c r="C52" s="158"/>
      <c r="D52" s="158"/>
      <c r="E52" s="158"/>
      <c r="F52" s="159"/>
      <c r="G52" s="252"/>
      <c r="H52" s="168"/>
      <c r="I52" s="161"/>
      <c r="J52" s="250"/>
      <c r="K52" s="235"/>
      <c r="L52" s="91"/>
      <c r="M52" s="92"/>
    </row>
    <row r="53" spans="1:13" s="45" customFormat="1" ht="8.5500000000000007" customHeight="1" x14ac:dyDescent="0.2">
      <c r="A53" s="98"/>
      <c r="B53" s="156" t="s">
        <v>1165</v>
      </c>
      <c r="C53" s="156"/>
      <c r="D53" s="156"/>
      <c r="E53" s="156"/>
      <c r="F53" s="157"/>
      <c r="G53" s="251">
        <v>2007</v>
      </c>
      <c r="H53" s="167">
        <v>94</v>
      </c>
      <c r="I53" s="160">
        <v>97</v>
      </c>
      <c r="J53" s="249">
        <v>17.5</v>
      </c>
      <c r="K53" s="234">
        <v>2</v>
      </c>
      <c r="L53" s="91"/>
      <c r="M53" s="92"/>
    </row>
    <row r="54" spans="1:13" s="45" customFormat="1" ht="8.5500000000000007" customHeight="1" x14ac:dyDescent="0.2">
      <c r="A54" s="98"/>
      <c r="B54" s="158"/>
      <c r="C54" s="158"/>
      <c r="D54" s="158"/>
      <c r="E54" s="158"/>
      <c r="F54" s="159"/>
      <c r="G54" s="252"/>
      <c r="H54" s="168"/>
      <c r="I54" s="161"/>
      <c r="J54" s="250"/>
      <c r="K54" s="235"/>
      <c r="L54" s="91"/>
      <c r="M54" s="92"/>
    </row>
    <row r="55" spans="1:13" s="45" customFormat="1" ht="8.5500000000000007" customHeight="1" x14ac:dyDescent="0.2">
      <c r="A55" s="98"/>
      <c r="B55" s="156" t="s">
        <v>1781</v>
      </c>
      <c r="C55" s="156"/>
      <c r="D55" s="156"/>
      <c r="E55" s="156"/>
      <c r="F55" s="157"/>
      <c r="G55" s="251">
        <v>1988</v>
      </c>
      <c r="H55" s="167">
        <v>90</v>
      </c>
      <c r="I55" s="160"/>
      <c r="J55" s="249">
        <v>19</v>
      </c>
      <c r="K55" s="234">
        <v>1</v>
      </c>
      <c r="L55" s="91"/>
      <c r="M55" s="92"/>
    </row>
    <row r="56" spans="1:13" s="45" customFormat="1" ht="8.5500000000000007" customHeight="1" x14ac:dyDescent="0.2">
      <c r="A56" s="98"/>
      <c r="B56" s="158"/>
      <c r="C56" s="158"/>
      <c r="D56" s="158"/>
      <c r="E56" s="158"/>
      <c r="F56" s="159"/>
      <c r="G56" s="252"/>
      <c r="H56" s="168"/>
      <c r="I56" s="161"/>
      <c r="J56" s="250"/>
      <c r="K56" s="235"/>
      <c r="L56" s="91"/>
      <c r="M56" s="92"/>
    </row>
    <row r="57" spans="1:13" s="45" customFormat="1" ht="8.5500000000000007" customHeight="1" x14ac:dyDescent="0.2">
      <c r="A57" s="98"/>
      <c r="B57" s="156" t="s">
        <v>1781</v>
      </c>
      <c r="C57" s="156"/>
      <c r="D57" s="156"/>
      <c r="E57" s="156"/>
      <c r="F57" s="157"/>
      <c r="G57" s="251">
        <v>1990</v>
      </c>
      <c r="H57" s="167">
        <v>95</v>
      </c>
      <c r="I57" s="160"/>
      <c r="J57" s="249">
        <v>19.5</v>
      </c>
      <c r="K57" s="234">
        <v>2</v>
      </c>
      <c r="L57" s="91"/>
      <c r="M57" s="92"/>
    </row>
    <row r="58" spans="1:13" s="45" customFormat="1" ht="8.5500000000000007" customHeight="1" x14ac:dyDescent="0.2">
      <c r="A58" s="98"/>
      <c r="B58" s="158"/>
      <c r="C58" s="158"/>
      <c r="D58" s="158"/>
      <c r="E58" s="158"/>
      <c r="F58" s="159"/>
      <c r="G58" s="252"/>
      <c r="H58" s="168"/>
      <c r="I58" s="161"/>
      <c r="J58" s="250"/>
      <c r="K58" s="235"/>
      <c r="L58" s="91"/>
      <c r="M58" s="92"/>
    </row>
    <row r="59" spans="1:13" s="45" customFormat="1" ht="8.5500000000000007" customHeight="1" x14ac:dyDescent="0.2">
      <c r="A59" s="98"/>
      <c r="B59" s="156" t="s">
        <v>1781</v>
      </c>
      <c r="C59" s="156"/>
      <c r="D59" s="156"/>
      <c r="E59" s="156"/>
      <c r="F59" s="157"/>
      <c r="G59" s="251">
        <v>1996</v>
      </c>
      <c r="H59" s="167">
        <v>94</v>
      </c>
      <c r="I59" s="160">
        <v>95</v>
      </c>
      <c r="J59" s="249">
        <v>17</v>
      </c>
      <c r="K59" s="234">
        <v>1</v>
      </c>
      <c r="L59" s="91"/>
      <c r="M59" s="92"/>
    </row>
    <row r="60" spans="1:13" s="45" customFormat="1" ht="8.5500000000000007" customHeight="1" x14ac:dyDescent="0.2">
      <c r="A60" s="98"/>
      <c r="B60" s="158"/>
      <c r="C60" s="158"/>
      <c r="D60" s="158"/>
      <c r="E60" s="158"/>
      <c r="F60" s="159"/>
      <c r="G60" s="252"/>
      <c r="H60" s="168"/>
      <c r="I60" s="161"/>
      <c r="J60" s="250"/>
      <c r="K60" s="235"/>
      <c r="L60" s="91"/>
      <c r="M60" s="92"/>
    </row>
    <row r="61" spans="1:13" s="45" customFormat="1" ht="8.5500000000000007" customHeight="1" x14ac:dyDescent="0.2">
      <c r="A61" s="98"/>
      <c r="B61" s="156" t="s">
        <v>1781</v>
      </c>
      <c r="C61" s="156"/>
      <c r="D61" s="156"/>
      <c r="E61" s="156"/>
      <c r="F61" s="157"/>
      <c r="G61" s="251">
        <v>2000</v>
      </c>
      <c r="H61" s="167"/>
      <c r="I61" s="160"/>
      <c r="J61" s="249">
        <v>17.5</v>
      </c>
      <c r="K61" s="234">
        <v>1</v>
      </c>
      <c r="L61" s="91"/>
      <c r="M61" s="92"/>
    </row>
    <row r="62" spans="1:13" s="45" customFormat="1" ht="8.5500000000000007" customHeight="1" x14ac:dyDescent="0.2">
      <c r="A62" s="98"/>
      <c r="B62" s="158"/>
      <c r="C62" s="158"/>
      <c r="D62" s="158"/>
      <c r="E62" s="158"/>
      <c r="F62" s="159"/>
      <c r="G62" s="252"/>
      <c r="H62" s="168"/>
      <c r="I62" s="161"/>
      <c r="J62" s="250"/>
      <c r="K62" s="235"/>
      <c r="L62" s="91"/>
      <c r="M62" s="92"/>
    </row>
    <row r="63" spans="1:13" s="45" customFormat="1" ht="8.5500000000000007" customHeight="1" x14ac:dyDescent="0.2">
      <c r="A63" s="98"/>
      <c r="B63" s="156" t="s">
        <v>1781</v>
      </c>
      <c r="C63" s="156"/>
      <c r="D63" s="156"/>
      <c r="E63" s="156"/>
      <c r="F63" s="157"/>
      <c r="G63" s="251">
        <v>2002</v>
      </c>
      <c r="H63" s="167">
        <v>95</v>
      </c>
      <c r="I63" s="160">
        <v>95</v>
      </c>
      <c r="J63" s="249">
        <v>19</v>
      </c>
      <c r="K63" s="234">
        <v>1</v>
      </c>
      <c r="L63" s="91"/>
      <c r="M63" s="92"/>
    </row>
    <row r="64" spans="1:13" s="45" customFormat="1" ht="8.5500000000000007" customHeight="1" x14ac:dyDescent="0.2">
      <c r="A64" s="98"/>
      <c r="B64" s="158"/>
      <c r="C64" s="158"/>
      <c r="D64" s="158"/>
      <c r="E64" s="158"/>
      <c r="F64" s="159"/>
      <c r="G64" s="252"/>
      <c r="H64" s="168"/>
      <c r="I64" s="161"/>
      <c r="J64" s="250"/>
      <c r="K64" s="235"/>
      <c r="L64" s="91"/>
      <c r="M64" s="92"/>
    </row>
    <row r="65" spans="1:13" s="45" customFormat="1" ht="8.5500000000000007" customHeight="1" x14ac:dyDescent="0.2">
      <c r="A65" s="98"/>
      <c r="B65" s="156" t="s">
        <v>1781</v>
      </c>
      <c r="C65" s="156"/>
      <c r="D65" s="156"/>
      <c r="E65" s="156"/>
      <c r="F65" s="157"/>
      <c r="G65" s="251">
        <v>2005</v>
      </c>
      <c r="H65" s="167" t="s">
        <v>183</v>
      </c>
      <c r="I65" s="160">
        <v>95</v>
      </c>
      <c r="J65" s="249"/>
      <c r="K65" s="234">
        <v>1</v>
      </c>
      <c r="L65" s="91"/>
      <c r="M65" s="92"/>
    </row>
    <row r="66" spans="1:13" s="45" customFormat="1" ht="8.5500000000000007" customHeight="1" x14ac:dyDescent="0.2">
      <c r="A66" s="98"/>
      <c r="B66" s="158"/>
      <c r="C66" s="158"/>
      <c r="D66" s="158"/>
      <c r="E66" s="158"/>
      <c r="F66" s="159"/>
      <c r="G66" s="252"/>
      <c r="H66" s="168"/>
      <c r="I66" s="161"/>
      <c r="J66" s="250"/>
      <c r="K66" s="235"/>
      <c r="L66" s="91"/>
      <c r="M66" s="92"/>
    </row>
    <row r="67" spans="1:13" s="45" customFormat="1" ht="8.5500000000000007" customHeight="1" x14ac:dyDescent="0.2">
      <c r="A67" s="98"/>
      <c r="B67" s="170" t="s">
        <v>272</v>
      </c>
      <c r="C67" s="170"/>
      <c r="D67" s="170"/>
      <c r="E67" s="170"/>
      <c r="F67" s="170"/>
      <c r="G67" s="62"/>
      <c r="H67" s="62"/>
      <c r="I67" s="62"/>
      <c r="J67" s="115"/>
      <c r="K67" s="164"/>
      <c r="L67" s="91"/>
      <c r="M67" s="92"/>
    </row>
    <row r="68" spans="1:13" s="45" customFormat="1" ht="8.5500000000000007" customHeight="1" x14ac:dyDescent="0.2">
      <c r="A68" s="98"/>
      <c r="B68" s="171"/>
      <c r="C68" s="171"/>
      <c r="D68" s="171"/>
      <c r="E68" s="171"/>
      <c r="F68" s="171"/>
      <c r="G68" s="63"/>
      <c r="H68" s="63"/>
      <c r="I68" s="63"/>
      <c r="J68" s="116"/>
      <c r="K68" s="165"/>
      <c r="L68" s="91"/>
      <c r="M68" s="92"/>
    </row>
    <row r="69" spans="1:13" s="45" customFormat="1" ht="8.5500000000000007" customHeight="1" x14ac:dyDescent="0.2">
      <c r="A69" s="98"/>
      <c r="B69" s="156" t="s">
        <v>1781</v>
      </c>
      <c r="C69" s="156"/>
      <c r="D69" s="156"/>
      <c r="E69" s="156"/>
      <c r="F69" s="157"/>
      <c r="G69" s="251">
        <v>2006</v>
      </c>
      <c r="H69" s="167">
        <v>95</v>
      </c>
      <c r="I69" s="160">
        <v>95</v>
      </c>
      <c r="J69" s="249">
        <v>17.5</v>
      </c>
      <c r="K69" s="234">
        <v>1</v>
      </c>
      <c r="L69" s="91"/>
      <c r="M69" s="92"/>
    </row>
    <row r="70" spans="1:13" s="45" customFormat="1" ht="8.5500000000000007" customHeight="1" x14ac:dyDescent="0.2">
      <c r="A70" s="98"/>
      <c r="B70" s="158"/>
      <c r="C70" s="158"/>
      <c r="D70" s="158"/>
      <c r="E70" s="158"/>
      <c r="F70" s="159"/>
      <c r="G70" s="252"/>
      <c r="H70" s="168"/>
      <c r="I70" s="161"/>
      <c r="J70" s="250"/>
      <c r="K70" s="235"/>
      <c r="L70" s="91"/>
      <c r="M70" s="92"/>
    </row>
    <row r="71" spans="1:13" s="45" customFormat="1" ht="8.5500000000000007" customHeight="1" x14ac:dyDescent="0.2">
      <c r="A71" s="98"/>
      <c r="B71" s="156" t="s">
        <v>1781</v>
      </c>
      <c r="C71" s="156"/>
      <c r="D71" s="156"/>
      <c r="E71" s="156"/>
      <c r="F71" s="157"/>
      <c r="G71" s="251">
        <v>2007</v>
      </c>
      <c r="H71" s="167">
        <v>93</v>
      </c>
      <c r="I71" s="160">
        <v>94</v>
      </c>
      <c r="J71" s="249">
        <v>18.5</v>
      </c>
      <c r="K71" s="234">
        <v>1</v>
      </c>
      <c r="L71" s="91"/>
      <c r="M71" s="92"/>
    </row>
    <row r="72" spans="1:13" s="45" customFormat="1" ht="8.5500000000000007" customHeight="1" x14ac:dyDescent="0.2">
      <c r="A72" s="98"/>
      <c r="B72" s="158"/>
      <c r="C72" s="158"/>
      <c r="D72" s="158"/>
      <c r="E72" s="158"/>
      <c r="F72" s="159"/>
      <c r="G72" s="252"/>
      <c r="H72" s="168"/>
      <c r="I72" s="161"/>
      <c r="J72" s="250"/>
      <c r="K72" s="235"/>
      <c r="L72" s="91"/>
      <c r="M72" s="92"/>
    </row>
    <row r="73" spans="1:13" s="45" customFormat="1" ht="8.5500000000000007" customHeight="1" x14ac:dyDescent="0.2">
      <c r="A73" s="98"/>
      <c r="B73" s="156" t="s">
        <v>1781</v>
      </c>
      <c r="C73" s="156"/>
      <c r="D73" s="156"/>
      <c r="E73" s="156"/>
      <c r="F73" s="157"/>
      <c r="G73" s="251">
        <v>2008</v>
      </c>
      <c r="H73" s="167">
        <v>94</v>
      </c>
      <c r="I73" s="160">
        <v>94</v>
      </c>
      <c r="J73" s="249">
        <v>18.5</v>
      </c>
      <c r="K73" s="234">
        <v>2</v>
      </c>
      <c r="L73" s="91"/>
      <c r="M73" s="92"/>
    </row>
    <row r="74" spans="1:13" s="45" customFormat="1" ht="8.5500000000000007" customHeight="1" x14ac:dyDescent="0.2">
      <c r="A74" s="98"/>
      <c r="B74" s="158"/>
      <c r="C74" s="158"/>
      <c r="D74" s="158"/>
      <c r="E74" s="158"/>
      <c r="F74" s="159"/>
      <c r="G74" s="252"/>
      <c r="H74" s="168"/>
      <c r="I74" s="161"/>
      <c r="J74" s="250"/>
      <c r="K74" s="235"/>
      <c r="L74" s="91"/>
      <c r="M74" s="92"/>
    </row>
    <row r="75" spans="1:13" s="45" customFormat="1" ht="8.5500000000000007" customHeight="1" x14ac:dyDescent="0.2">
      <c r="A75" s="98"/>
      <c r="B75" s="156" t="s">
        <v>1166</v>
      </c>
      <c r="C75" s="156"/>
      <c r="D75" s="156"/>
      <c r="E75" s="156"/>
      <c r="F75" s="157"/>
      <c r="G75" s="251">
        <v>1993</v>
      </c>
      <c r="H75" s="167">
        <v>90</v>
      </c>
      <c r="I75" s="160"/>
      <c r="J75" s="249">
        <v>17</v>
      </c>
      <c r="K75" s="234">
        <v>1</v>
      </c>
      <c r="L75" s="91"/>
      <c r="M75" s="92"/>
    </row>
    <row r="76" spans="1:13" s="45" customFormat="1" ht="8.5500000000000007" customHeight="1" x14ac:dyDescent="0.2">
      <c r="A76" s="98"/>
      <c r="B76" s="158"/>
      <c r="C76" s="158"/>
      <c r="D76" s="158"/>
      <c r="E76" s="158"/>
      <c r="F76" s="159"/>
      <c r="G76" s="252"/>
      <c r="H76" s="168"/>
      <c r="I76" s="161"/>
      <c r="J76" s="250"/>
      <c r="K76" s="235"/>
      <c r="L76" s="91"/>
      <c r="M76" s="92"/>
    </row>
    <row r="77" spans="1:13" s="45" customFormat="1" ht="8.5500000000000007" customHeight="1" x14ac:dyDescent="0.2">
      <c r="A77" s="98"/>
      <c r="B77" s="156" t="s">
        <v>1166</v>
      </c>
      <c r="C77" s="156"/>
      <c r="D77" s="156"/>
      <c r="E77" s="156"/>
      <c r="F77" s="157"/>
      <c r="G77" s="251">
        <v>1995</v>
      </c>
      <c r="H77" s="167">
        <v>92</v>
      </c>
      <c r="I77" s="160">
        <v>93</v>
      </c>
      <c r="J77" s="249"/>
      <c r="K77" s="234">
        <v>2</v>
      </c>
      <c r="L77" s="91"/>
      <c r="M77" s="92"/>
    </row>
    <row r="78" spans="1:13" s="45" customFormat="1" ht="8.5500000000000007" customHeight="1" x14ac:dyDescent="0.2">
      <c r="A78" s="98"/>
      <c r="B78" s="158"/>
      <c r="C78" s="158"/>
      <c r="D78" s="158"/>
      <c r="E78" s="158"/>
      <c r="F78" s="159"/>
      <c r="G78" s="252"/>
      <c r="H78" s="168"/>
      <c r="I78" s="161"/>
      <c r="J78" s="250"/>
      <c r="K78" s="235"/>
      <c r="L78" s="91"/>
      <c r="M78" s="92"/>
    </row>
    <row r="79" spans="1:13" s="45" customFormat="1" ht="8.5500000000000007" customHeight="1" x14ac:dyDescent="0.2">
      <c r="A79" s="98"/>
      <c r="B79" s="156" t="s">
        <v>1272</v>
      </c>
      <c r="C79" s="156"/>
      <c r="D79" s="156"/>
      <c r="E79" s="156"/>
      <c r="F79" s="157"/>
      <c r="G79" s="251">
        <v>2004</v>
      </c>
      <c r="H79" s="253"/>
      <c r="I79" s="160"/>
      <c r="J79" s="249"/>
      <c r="K79" s="234">
        <v>1</v>
      </c>
      <c r="L79" s="91"/>
      <c r="M79" s="92"/>
    </row>
    <row r="80" spans="1:13" s="45" customFormat="1" ht="8.5500000000000007" customHeight="1" x14ac:dyDescent="0.2">
      <c r="A80" s="98"/>
      <c r="B80" s="158"/>
      <c r="C80" s="158"/>
      <c r="D80" s="158"/>
      <c r="E80" s="158"/>
      <c r="F80" s="159"/>
      <c r="G80" s="252"/>
      <c r="H80" s="254"/>
      <c r="I80" s="161"/>
      <c r="J80" s="250"/>
      <c r="K80" s="235"/>
      <c r="L80" s="91"/>
      <c r="M80" s="92"/>
    </row>
    <row r="81" spans="1:13" s="45" customFormat="1" ht="8.5500000000000007" customHeight="1" x14ac:dyDescent="0.2">
      <c r="A81" s="98"/>
      <c r="B81" s="156" t="s">
        <v>1166</v>
      </c>
      <c r="C81" s="156"/>
      <c r="D81" s="156"/>
      <c r="E81" s="156"/>
      <c r="F81" s="157"/>
      <c r="G81" s="251">
        <v>2005</v>
      </c>
      <c r="H81" s="253" t="s">
        <v>557</v>
      </c>
      <c r="I81" s="160">
        <v>95</v>
      </c>
      <c r="J81" s="249"/>
      <c r="K81" s="234">
        <v>2</v>
      </c>
      <c r="L81" s="91"/>
      <c r="M81" s="92"/>
    </row>
    <row r="82" spans="1:13" s="45" customFormat="1" ht="8.5500000000000007" customHeight="1" x14ac:dyDescent="0.2">
      <c r="A82" s="98"/>
      <c r="B82" s="158"/>
      <c r="C82" s="158"/>
      <c r="D82" s="158"/>
      <c r="E82" s="158"/>
      <c r="F82" s="159"/>
      <c r="G82" s="252"/>
      <c r="H82" s="254"/>
      <c r="I82" s="161"/>
      <c r="J82" s="250"/>
      <c r="K82" s="235"/>
      <c r="L82" s="91"/>
      <c r="M82" s="92"/>
    </row>
    <row r="83" spans="1:13" s="45" customFormat="1" ht="8.5500000000000007" customHeight="1" x14ac:dyDescent="0.2">
      <c r="A83" s="98"/>
      <c r="B83" s="156" t="s">
        <v>1166</v>
      </c>
      <c r="C83" s="156"/>
      <c r="D83" s="156"/>
      <c r="E83" s="156"/>
      <c r="F83" s="157"/>
      <c r="G83" s="251">
        <v>2007</v>
      </c>
      <c r="H83" s="167">
        <v>92</v>
      </c>
      <c r="I83" s="160">
        <v>93</v>
      </c>
      <c r="J83" s="249">
        <v>17</v>
      </c>
      <c r="K83" s="234">
        <v>1</v>
      </c>
      <c r="L83" s="91"/>
      <c r="M83" s="92"/>
    </row>
    <row r="84" spans="1:13" s="45" customFormat="1" ht="8.5500000000000007" customHeight="1" x14ac:dyDescent="0.2">
      <c r="A84" s="98"/>
      <c r="B84" s="158"/>
      <c r="C84" s="158"/>
      <c r="D84" s="158"/>
      <c r="E84" s="158"/>
      <c r="F84" s="159"/>
      <c r="G84" s="252"/>
      <c r="H84" s="168"/>
      <c r="I84" s="161"/>
      <c r="J84" s="250"/>
      <c r="K84" s="235"/>
      <c r="L84" s="91"/>
      <c r="M84" s="92"/>
    </row>
    <row r="85" spans="1:13" s="45" customFormat="1" ht="8.5500000000000007" customHeight="1" x14ac:dyDescent="0.2">
      <c r="A85" s="98"/>
      <c r="B85" s="172" t="s">
        <v>1167</v>
      </c>
      <c r="C85" s="172"/>
      <c r="D85" s="172"/>
      <c r="E85" s="172"/>
      <c r="F85" s="173"/>
      <c r="G85" s="251">
        <v>1986</v>
      </c>
      <c r="H85" s="253">
        <v>90</v>
      </c>
      <c r="I85" s="160"/>
      <c r="J85" s="255"/>
      <c r="K85" s="234">
        <v>1</v>
      </c>
      <c r="L85" s="91"/>
      <c r="M85" s="92"/>
    </row>
    <row r="86" spans="1:13" s="45" customFormat="1" ht="8.5500000000000007" customHeight="1" x14ac:dyDescent="0.2">
      <c r="A86" s="98"/>
      <c r="B86" s="174"/>
      <c r="C86" s="174"/>
      <c r="D86" s="174"/>
      <c r="E86" s="174"/>
      <c r="F86" s="175"/>
      <c r="G86" s="252"/>
      <c r="H86" s="254"/>
      <c r="I86" s="161"/>
      <c r="J86" s="256"/>
      <c r="K86" s="235"/>
      <c r="L86" s="91"/>
      <c r="M86" s="92"/>
    </row>
    <row r="87" spans="1:13" s="45" customFormat="1" ht="8.5500000000000007" customHeight="1" x14ac:dyDescent="0.2">
      <c r="A87" s="98"/>
      <c r="B87" s="156" t="s">
        <v>1167</v>
      </c>
      <c r="C87" s="156"/>
      <c r="D87" s="156"/>
      <c r="E87" s="156"/>
      <c r="F87" s="157"/>
      <c r="G87" s="251">
        <v>1990</v>
      </c>
      <c r="H87" s="253">
        <v>92</v>
      </c>
      <c r="I87" s="160">
        <v>97</v>
      </c>
      <c r="J87" s="255">
        <v>18</v>
      </c>
      <c r="K87" s="234">
        <v>1</v>
      </c>
      <c r="L87" s="91"/>
      <c r="M87" s="92"/>
    </row>
    <row r="88" spans="1:13" s="45" customFormat="1" ht="8.5500000000000007" customHeight="1" x14ac:dyDescent="0.2">
      <c r="A88" s="98"/>
      <c r="B88" s="158"/>
      <c r="C88" s="158"/>
      <c r="D88" s="158"/>
      <c r="E88" s="158"/>
      <c r="F88" s="159"/>
      <c r="G88" s="252"/>
      <c r="H88" s="254"/>
      <c r="I88" s="161"/>
      <c r="J88" s="256"/>
      <c r="K88" s="235"/>
      <c r="L88" s="91"/>
      <c r="M88" s="92"/>
    </row>
    <row r="89" spans="1:13" s="45" customFormat="1" ht="8.5500000000000007" customHeight="1" x14ac:dyDescent="0.2">
      <c r="A89" s="98"/>
      <c r="B89" s="156" t="s">
        <v>1167</v>
      </c>
      <c r="C89" s="156"/>
      <c r="D89" s="156"/>
      <c r="E89" s="156"/>
      <c r="F89" s="157"/>
      <c r="G89" s="251">
        <v>1995</v>
      </c>
      <c r="H89" s="253">
        <v>91</v>
      </c>
      <c r="I89" s="160">
        <v>93</v>
      </c>
      <c r="J89" s="255">
        <v>17.5</v>
      </c>
      <c r="K89" s="234">
        <v>2</v>
      </c>
      <c r="L89" s="91"/>
      <c r="M89" s="92"/>
    </row>
    <row r="90" spans="1:13" s="45" customFormat="1" ht="8.5500000000000007" customHeight="1" x14ac:dyDescent="0.2">
      <c r="A90" s="98"/>
      <c r="B90" s="158"/>
      <c r="C90" s="158"/>
      <c r="D90" s="158"/>
      <c r="E90" s="158"/>
      <c r="F90" s="159"/>
      <c r="G90" s="252"/>
      <c r="H90" s="254"/>
      <c r="I90" s="161"/>
      <c r="J90" s="256"/>
      <c r="K90" s="235"/>
      <c r="L90" s="91"/>
      <c r="M90" s="92"/>
    </row>
    <row r="91" spans="1:13" s="45" customFormat="1" ht="8.5500000000000007" customHeight="1" x14ac:dyDescent="0.2">
      <c r="A91" s="98"/>
      <c r="B91" s="156" t="s">
        <v>1167</v>
      </c>
      <c r="C91" s="156"/>
      <c r="D91" s="156"/>
      <c r="E91" s="156"/>
      <c r="F91" s="157"/>
      <c r="G91" s="251">
        <v>1996</v>
      </c>
      <c r="H91" s="253" t="s">
        <v>688</v>
      </c>
      <c r="I91" s="160">
        <v>91</v>
      </c>
      <c r="J91" s="255"/>
      <c r="K91" s="234">
        <v>1</v>
      </c>
      <c r="L91" s="91"/>
      <c r="M91" s="92"/>
    </row>
    <row r="92" spans="1:13" s="45" customFormat="1" ht="8.5500000000000007" customHeight="1" x14ac:dyDescent="0.2">
      <c r="A92" s="98"/>
      <c r="B92" s="158"/>
      <c r="C92" s="158"/>
      <c r="D92" s="158"/>
      <c r="E92" s="158"/>
      <c r="F92" s="159"/>
      <c r="G92" s="252"/>
      <c r="H92" s="254"/>
      <c r="I92" s="161"/>
      <c r="J92" s="256"/>
      <c r="K92" s="235"/>
      <c r="L92" s="91"/>
      <c r="M92" s="92"/>
    </row>
    <row r="93" spans="1:13" s="45" customFormat="1" ht="8.5500000000000007" customHeight="1" x14ac:dyDescent="0.2">
      <c r="A93" s="98"/>
      <c r="B93" s="156" t="s">
        <v>1167</v>
      </c>
      <c r="C93" s="156"/>
      <c r="D93" s="156"/>
      <c r="E93" s="156"/>
      <c r="F93" s="157"/>
      <c r="G93" s="251">
        <v>2003</v>
      </c>
      <c r="H93" s="253">
        <v>95</v>
      </c>
      <c r="I93" s="160"/>
      <c r="J93" s="255"/>
      <c r="K93" s="234">
        <v>2</v>
      </c>
      <c r="L93" s="91"/>
      <c r="M93" s="92"/>
    </row>
    <row r="94" spans="1:13" s="45" customFormat="1" ht="8.5500000000000007" customHeight="1" x14ac:dyDescent="0.2">
      <c r="A94" s="98"/>
      <c r="B94" s="158"/>
      <c r="C94" s="158"/>
      <c r="D94" s="158"/>
      <c r="E94" s="158"/>
      <c r="F94" s="159"/>
      <c r="G94" s="252"/>
      <c r="H94" s="254"/>
      <c r="I94" s="161"/>
      <c r="J94" s="256"/>
      <c r="K94" s="235"/>
      <c r="L94" s="91"/>
      <c r="M94" s="92"/>
    </row>
    <row r="95" spans="1:13" s="45" customFormat="1" ht="8.5500000000000007" customHeight="1" x14ac:dyDescent="0.2">
      <c r="A95" s="98"/>
      <c r="B95" s="156" t="s">
        <v>1167</v>
      </c>
      <c r="C95" s="156"/>
      <c r="D95" s="156"/>
      <c r="E95" s="156"/>
      <c r="F95" s="157"/>
      <c r="G95" s="251">
        <v>2005</v>
      </c>
      <c r="H95" s="253" t="s">
        <v>2</v>
      </c>
      <c r="I95" s="160">
        <v>93</v>
      </c>
      <c r="J95" s="255"/>
      <c r="K95" s="234">
        <v>1</v>
      </c>
      <c r="L95" s="91"/>
      <c r="M95" s="92"/>
    </row>
    <row r="96" spans="1:13" s="45" customFormat="1" ht="8.5500000000000007" customHeight="1" x14ac:dyDescent="0.2">
      <c r="A96" s="98"/>
      <c r="B96" s="158"/>
      <c r="C96" s="158"/>
      <c r="D96" s="158"/>
      <c r="E96" s="158"/>
      <c r="F96" s="159"/>
      <c r="G96" s="252"/>
      <c r="H96" s="254"/>
      <c r="I96" s="161"/>
      <c r="J96" s="256"/>
      <c r="K96" s="235"/>
      <c r="L96" s="91"/>
      <c r="M96" s="92"/>
    </row>
    <row r="97" spans="1:13" s="45" customFormat="1" ht="8.5500000000000007" customHeight="1" x14ac:dyDescent="0.2">
      <c r="A97" s="98"/>
      <c r="B97" s="156" t="s">
        <v>1167</v>
      </c>
      <c r="C97" s="156"/>
      <c r="D97" s="156"/>
      <c r="E97" s="156"/>
      <c r="F97" s="157"/>
      <c r="G97" s="251">
        <v>2006</v>
      </c>
      <c r="H97" s="253">
        <v>94</v>
      </c>
      <c r="I97" s="160">
        <v>92</v>
      </c>
      <c r="J97" s="255">
        <v>16.5</v>
      </c>
      <c r="K97" s="234">
        <v>2</v>
      </c>
      <c r="L97" s="91"/>
      <c r="M97" s="92"/>
    </row>
    <row r="98" spans="1:13" s="45" customFormat="1" ht="8.5500000000000007" customHeight="1" x14ac:dyDescent="0.2">
      <c r="A98" s="98"/>
      <c r="B98" s="158"/>
      <c r="C98" s="158"/>
      <c r="D98" s="158"/>
      <c r="E98" s="158"/>
      <c r="F98" s="159"/>
      <c r="G98" s="252"/>
      <c r="H98" s="254"/>
      <c r="I98" s="161"/>
      <c r="J98" s="256"/>
      <c r="K98" s="235"/>
      <c r="L98" s="91"/>
      <c r="M98" s="92"/>
    </row>
    <row r="99" spans="1:13" s="45" customFormat="1" ht="8.5500000000000007" customHeight="1" x14ac:dyDescent="0.2">
      <c r="A99" s="98"/>
      <c r="B99" s="156" t="s">
        <v>1167</v>
      </c>
      <c r="C99" s="156"/>
      <c r="D99" s="156"/>
      <c r="E99" s="156"/>
      <c r="F99" s="157"/>
      <c r="G99" s="251">
        <v>2007</v>
      </c>
      <c r="H99" s="253">
        <v>90</v>
      </c>
      <c r="I99" s="160">
        <v>91</v>
      </c>
      <c r="J99" s="255">
        <v>17.5</v>
      </c>
      <c r="K99" s="234">
        <v>1</v>
      </c>
      <c r="L99" s="91"/>
      <c r="M99" s="92"/>
    </row>
    <row r="100" spans="1:13" s="45" customFormat="1" ht="8.5500000000000007" customHeight="1" x14ac:dyDescent="0.2">
      <c r="A100" s="98"/>
      <c r="B100" s="158"/>
      <c r="C100" s="158"/>
      <c r="D100" s="158"/>
      <c r="E100" s="158"/>
      <c r="F100" s="159"/>
      <c r="G100" s="252"/>
      <c r="H100" s="254"/>
      <c r="I100" s="161"/>
      <c r="J100" s="256"/>
      <c r="K100" s="235"/>
      <c r="L100" s="91"/>
      <c r="M100" s="92"/>
    </row>
    <row r="101" spans="1:13" s="45" customFormat="1" ht="8.5500000000000007" customHeight="1" x14ac:dyDescent="0.2">
      <c r="A101" s="98"/>
      <c r="B101" s="172" t="s">
        <v>1366</v>
      </c>
      <c r="C101" s="172"/>
      <c r="D101" s="172"/>
      <c r="E101" s="172"/>
      <c r="F101" s="172"/>
      <c r="G101" s="251">
        <v>1996</v>
      </c>
      <c r="H101" s="167">
        <v>97</v>
      </c>
      <c r="I101" s="160"/>
      <c r="J101" s="247">
        <v>17.5</v>
      </c>
      <c r="K101" s="232">
        <v>1</v>
      </c>
      <c r="L101" s="260"/>
      <c r="M101" s="92"/>
    </row>
    <row r="102" spans="1:13" s="45" customFormat="1" ht="8.5500000000000007" customHeight="1" x14ac:dyDescent="0.2">
      <c r="A102" s="98"/>
      <c r="B102" s="174"/>
      <c r="C102" s="174"/>
      <c r="D102" s="174"/>
      <c r="E102" s="174"/>
      <c r="F102" s="174"/>
      <c r="G102" s="252"/>
      <c r="H102" s="168"/>
      <c r="I102" s="161"/>
      <c r="J102" s="248"/>
      <c r="K102" s="233"/>
      <c r="L102" s="260"/>
      <c r="M102" s="92"/>
    </row>
    <row r="103" spans="1:13" s="45" customFormat="1" ht="8.5500000000000007" customHeight="1" x14ac:dyDescent="0.2">
      <c r="A103" s="98"/>
      <c r="B103" s="156" t="s">
        <v>1366</v>
      </c>
      <c r="C103" s="156"/>
      <c r="D103" s="156"/>
      <c r="E103" s="156"/>
      <c r="F103" s="156"/>
      <c r="G103" s="251">
        <v>1997</v>
      </c>
      <c r="H103" s="167">
        <v>98</v>
      </c>
      <c r="I103" s="160">
        <v>93</v>
      </c>
      <c r="J103" s="247">
        <v>17</v>
      </c>
      <c r="K103" s="232">
        <v>1</v>
      </c>
      <c r="L103" s="260"/>
      <c r="M103" s="92"/>
    </row>
    <row r="104" spans="1:13" s="45" customFormat="1" ht="8.5500000000000007" customHeight="1" x14ac:dyDescent="0.2">
      <c r="A104" s="98"/>
      <c r="B104" s="158"/>
      <c r="C104" s="158"/>
      <c r="D104" s="158"/>
      <c r="E104" s="158"/>
      <c r="F104" s="158"/>
      <c r="G104" s="252"/>
      <c r="H104" s="168"/>
      <c r="I104" s="161"/>
      <c r="J104" s="248"/>
      <c r="K104" s="233"/>
      <c r="L104" s="260"/>
      <c r="M104" s="92"/>
    </row>
    <row r="105" spans="1:13" s="45" customFormat="1" ht="8.5500000000000007" customHeight="1" x14ac:dyDescent="0.2">
      <c r="A105" s="98"/>
      <c r="B105" s="156" t="s">
        <v>1366</v>
      </c>
      <c r="C105" s="156"/>
      <c r="D105" s="156"/>
      <c r="E105" s="156"/>
      <c r="F105" s="156"/>
      <c r="G105" s="251">
        <v>2000</v>
      </c>
      <c r="H105" s="167">
        <v>94</v>
      </c>
      <c r="I105" s="160">
        <v>90</v>
      </c>
      <c r="J105" s="247"/>
      <c r="K105" s="232">
        <v>1</v>
      </c>
      <c r="L105" s="260"/>
      <c r="M105" s="92"/>
    </row>
    <row r="106" spans="1:13" s="45" customFormat="1" ht="8.5500000000000007" customHeight="1" x14ac:dyDescent="0.2">
      <c r="A106" s="98"/>
      <c r="B106" s="158"/>
      <c r="C106" s="158"/>
      <c r="D106" s="158"/>
      <c r="E106" s="158"/>
      <c r="F106" s="158"/>
      <c r="G106" s="252"/>
      <c r="H106" s="168"/>
      <c r="I106" s="161"/>
      <c r="J106" s="248"/>
      <c r="K106" s="233"/>
      <c r="L106" s="260"/>
      <c r="M106" s="92"/>
    </row>
    <row r="107" spans="1:13" s="45" customFormat="1" ht="8.5500000000000007" customHeight="1" x14ac:dyDescent="0.2">
      <c r="A107" s="98"/>
      <c r="B107" s="156" t="s">
        <v>1168</v>
      </c>
      <c r="C107" s="156"/>
      <c r="D107" s="156"/>
      <c r="E107" s="156"/>
      <c r="F107" s="156"/>
      <c r="G107" s="251">
        <v>2007</v>
      </c>
      <c r="H107" s="167">
        <v>95</v>
      </c>
      <c r="I107" s="160"/>
      <c r="J107" s="247">
        <v>19</v>
      </c>
      <c r="K107" s="232">
        <v>1</v>
      </c>
      <c r="L107" s="260"/>
      <c r="M107" s="92"/>
    </row>
    <row r="108" spans="1:13" s="45" customFormat="1" ht="8.5500000000000007" customHeight="1" x14ac:dyDescent="0.2">
      <c r="A108" s="98"/>
      <c r="B108" s="158"/>
      <c r="C108" s="158"/>
      <c r="D108" s="158"/>
      <c r="E108" s="158"/>
      <c r="F108" s="158"/>
      <c r="G108" s="252"/>
      <c r="H108" s="168"/>
      <c r="I108" s="161"/>
      <c r="J108" s="248"/>
      <c r="K108" s="233"/>
      <c r="L108" s="260"/>
      <c r="M108" s="92"/>
    </row>
    <row r="109" spans="1:13" s="45" customFormat="1" ht="8.5500000000000007" customHeight="1" x14ac:dyDescent="0.2">
      <c r="A109" s="98"/>
      <c r="B109" s="156" t="s">
        <v>918</v>
      </c>
      <c r="C109" s="156"/>
      <c r="D109" s="156"/>
      <c r="E109" s="156"/>
      <c r="F109" s="157"/>
      <c r="G109" s="251">
        <v>1990</v>
      </c>
      <c r="H109" s="167">
        <v>92</v>
      </c>
      <c r="I109" s="160"/>
      <c r="J109" s="249">
        <v>17.5</v>
      </c>
      <c r="K109" s="232">
        <v>1</v>
      </c>
      <c r="L109" s="260"/>
      <c r="M109" s="92"/>
    </row>
    <row r="110" spans="1:13" s="45" customFormat="1" ht="8.5500000000000007" customHeight="1" x14ac:dyDescent="0.2">
      <c r="A110" s="98"/>
      <c r="B110" s="158"/>
      <c r="C110" s="158"/>
      <c r="D110" s="158"/>
      <c r="E110" s="158"/>
      <c r="F110" s="159"/>
      <c r="G110" s="252"/>
      <c r="H110" s="168"/>
      <c r="I110" s="161"/>
      <c r="J110" s="250"/>
      <c r="K110" s="233"/>
      <c r="L110" s="260"/>
      <c r="M110" s="92"/>
    </row>
    <row r="111" spans="1:13" s="45" customFormat="1" ht="8.5500000000000007" customHeight="1" x14ac:dyDescent="0.2">
      <c r="A111" s="98"/>
      <c r="B111" s="156" t="s">
        <v>1054</v>
      </c>
      <c r="C111" s="156"/>
      <c r="D111" s="156"/>
      <c r="E111" s="156"/>
      <c r="F111" s="157"/>
      <c r="G111" s="251">
        <v>2011</v>
      </c>
      <c r="H111" s="167">
        <v>89</v>
      </c>
      <c r="I111" s="160"/>
      <c r="J111" s="249"/>
      <c r="K111" s="232">
        <v>1</v>
      </c>
      <c r="L111" s="260"/>
      <c r="M111" s="92"/>
    </row>
    <row r="112" spans="1:13" s="45" customFormat="1" ht="8.5500000000000007" customHeight="1" x14ac:dyDescent="0.2">
      <c r="A112" s="98"/>
      <c r="B112" s="158"/>
      <c r="C112" s="158"/>
      <c r="D112" s="158"/>
      <c r="E112" s="158"/>
      <c r="F112" s="159"/>
      <c r="G112" s="252"/>
      <c r="H112" s="168"/>
      <c r="I112" s="161"/>
      <c r="J112" s="250"/>
      <c r="K112" s="233"/>
      <c r="L112" s="260"/>
      <c r="M112" s="92"/>
    </row>
    <row r="113" spans="1:13" s="45" customFormat="1" ht="8.5500000000000007" customHeight="1" x14ac:dyDescent="0.2">
      <c r="A113" s="98"/>
      <c r="B113" s="156" t="s">
        <v>1054</v>
      </c>
      <c r="C113" s="156"/>
      <c r="D113" s="156"/>
      <c r="E113" s="156"/>
      <c r="F113" s="157"/>
      <c r="G113" s="251">
        <v>2013</v>
      </c>
      <c r="H113" s="253" t="s">
        <v>61</v>
      </c>
      <c r="I113" s="160"/>
      <c r="J113" s="249"/>
      <c r="K113" s="232">
        <v>1</v>
      </c>
      <c r="L113" s="260"/>
      <c r="M113" s="92"/>
    </row>
    <row r="114" spans="1:13" s="45" customFormat="1" ht="8.5500000000000007" customHeight="1" x14ac:dyDescent="0.2">
      <c r="A114" s="98"/>
      <c r="B114" s="158"/>
      <c r="C114" s="158"/>
      <c r="D114" s="158"/>
      <c r="E114" s="158"/>
      <c r="F114" s="159"/>
      <c r="G114" s="252"/>
      <c r="H114" s="254"/>
      <c r="I114" s="161"/>
      <c r="J114" s="250"/>
      <c r="K114" s="233"/>
      <c r="L114" s="260"/>
      <c r="M114" s="92"/>
    </row>
    <row r="115" spans="1:13" s="45" customFormat="1" ht="8.5500000000000007" customHeight="1" x14ac:dyDescent="0.2">
      <c r="A115" s="98"/>
      <c r="B115" s="261" t="s">
        <v>1507</v>
      </c>
      <c r="C115" s="261"/>
      <c r="D115" s="261"/>
      <c r="E115" s="261"/>
      <c r="F115" s="262"/>
      <c r="G115" s="251">
        <v>1995</v>
      </c>
      <c r="H115" s="253" t="s">
        <v>373</v>
      </c>
      <c r="I115" s="160"/>
      <c r="J115" s="249"/>
      <c r="K115" s="234">
        <v>1</v>
      </c>
      <c r="L115" s="260"/>
      <c r="M115" s="92"/>
    </row>
    <row r="116" spans="1:13" s="45" customFormat="1" ht="8.5500000000000007" customHeight="1" x14ac:dyDescent="0.2">
      <c r="A116" s="98"/>
      <c r="B116" s="263"/>
      <c r="C116" s="263"/>
      <c r="D116" s="263"/>
      <c r="E116" s="263"/>
      <c r="F116" s="264"/>
      <c r="G116" s="252"/>
      <c r="H116" s="254"/>
      <c r="I116" s="161"/>
      <c r="J116" s="250"/>
      <c r="K116" s="235"/>
      <c r="L116" s="260"/>
      <c r="M116" s="92"/>
    </row>
    <row r="117" spans="1:13" s="45" customFormat="1" ht="8.5500000000000007" customHeight="1" x14ac:dyDescent="0.2">
      <c r="A117" s="98"/>
      <c r="B117" s="156" t="s">
        <v>689</v>
      </c>
      <c r="C117" s="156"/>
      <c r="D117" s="156"/>
      <c r="E117" s="156"/>
      <c r="F117" s="156"/>
      <c r="G117" s="251">
        <v>2002</v>
      </c>
      <c r="H117" s="167">
        <v>91</v>
      </c>
      <c r="I117" s="160"/>
      <c r="J117" s="247"/>
      <c r="K117" s="232">
        <v>1</v>
      </c>
      <c r="L117" s="260"/>
      <c r="M117" s="92"/>
    </row>
    <row r="118" spans="1:13" s="45" customFormat="1" ht="8.5500000000000007" customHeight="1" x14ac:dyDescent="0.2">
      <c r="A118" s="98"/>
      <c r="B118" s="158"/>
      <c r="C118" s="158"/>
      <c r="D118" s="158"/>
      <c r="E118" s="158"/>
      <c r="F118" s="158"/>
      <c r="G118" s="252"/>
      <c r="H118" s="168"/>
      <c r="I118" s="161"/>
      <c r="J118" s="248"/>
      <c r="K118" s="233"/>
      <c r="L118" s="260"/>
      <c r="M118" s="92"/>
    </row>
    <row r="119" spans="1:13" s="45" customFormat="1" ht="8.5500000000000007" customHeight="1" x14ac:dyDescent="0.2">
      <c r="A119" s="98"/>
      <c r="B119" s="156" t="s">
        <v>607</v>
      </c>
      <c r="C119" s="156"/>
      <c r="D119" s="156"/>
      <c r="E119" s="156"/>
      <c r="F119" s="157"/>
      <c r="G119" s="251">
        <v>2004</v>
      </c>
      <c r="H119" s="167"/>
      <c r="I119" s="160"/>
      <c r="J119" s="249"/>
      <c r="K119" s="234">
        <v>1</v>
      </c>
      <c r="L119" s="260"/>
      <c r="M119" s="92"/>
    </row>
    <row r="120" spans="1:13" s="45" customFormat="1" ht="8.5500000000000007" customHeight="1" x14ac:dyDescent="0.2">
      <c r="A120" s="98"/>
      <c r="B120" s="158"/>
      <c r="C120" s="158"/>
      <c r="D120" s="158"/>
      <c r="E120" s="158"/>
      <c r="F120" s="159"/>
      <c r="G120" s="252"/>
      <c r="H120" s="168"/>
      <c r="I120" s="161"/>
      <c r="J120" s="250"/>
      <c r="K120" s="235"/>
      <c r="L120" s="260"/>
      <c r="M120" s="92"/>
    </row>
    <row r="121" spans="1:13" s="45" customFormat="1" ht="8.5500000000000007" customHeight="1" x14ac:dyDescent="0.2">
      <c r="A121" s="98"/>
      <c r="B121" s="156" t="s">
        <v>1217</v>
      </c>
      <c r="C121" s="156"/>
      <c r="D121" s="156"/>
      <c r="E121" s="156"/>
      <c r="F121" s="156"/>
      <c r="G121" s="251">
        <v>1992</v>
      </c>
      <c r="H121" s="167">
        <v>89</v>
      </c>
      <c r="I121" s="160"/>
      <c r="J121" s="247">
        <v>16</v>
      </c>
      <c r="K121" s="232">
        <v>1</v>
      </c>
      <c r="L121" s="260"/>
      <c r="M121" s="92"/>
    </row>
    <row r="122" spans="1:13" s="45" customFormat="1" ht="8.5500000000000007" customHeight="1" x14ac:dyDescent="0.2">
      <c r="A122" s="98"/>
      <c r="B122" s="158"/>
      <c r="C122" s="158"/>
      <c r="D122" s="158"/>
      <c r="E122" s="158"/>
      <c r="F122" s="158"/>
      <c r="G122" s="252"/>
      <c r="H122" s="168"/>
      <c r="I122" s="161"/>
      <c r="J122" s="248"/>
      <c r="K122" s="233"/>
      <c r="L122" s="260"/>
      <c r="M122" s="92"/>
    </row>
    <row r="123" spans="1:13" s="45" customFormat="1" ht="8.5500000000000007" customHeight="1" x14ac:dyDescent="0.2">
      <c r="A123" s="98"/>
      <c r="B123" s="170" t="s">
        <v>272</v>
      </c>
      <c r="C123" s="170"/>
      <c r="D123" s="170"/>
      <c r="E123" s="170"/>
      <c r="F123" s="170"/>
      <c r="G123" s="69"/>
      <c r="H123" s="69"/>
      <c r="I123" s="62"/>
      <c r="J123" s="115"/>
      <c r="K123" s="164"/>
      <c r="L123" s="91"/>
      <c r="M123" s="92"/>
    </row>
    <row r="124" spans="1:13" s="45" customFormat="1" ht="8.5500000000000007" customHeight="1" x14ac:dyDescent="0.2">
      <c r="A124" s="98"/>
      <c r="B124" s="171"/>
      <c r="C124" s="171"/>
      <c r="D124" s="171"/>
      <c r="E124" s="171"/>
      <c r="F124" s="171"/>
      <c r="G124" s="70"/>
      <c r="H124" s="70"/>
      <c r="I124" s="63"/>
      <c r="J124" s="116"/>
      <c r="K124" s="165"/>
      <c r="L124" s="91"/>
      <c r="M124" s="92"/>
    </row>
    <row r="125" spans="1:13" s="45" customFormat="1" ht="8.5500000000000007" customHeight="1" x14ac:dyDescent="0.2">
      <c r="A125" s="98"/>
      <c r="B125" s="156" t="s">
        <v>1217</v>
      </c>
      <c r="C125" s="156"/>
      <c r="D125" s="156"/>
      <c r="E125" s="156"/>
      <c r="F125" s="156"/>
      <c r="G125" s="251">
        <v>1999</v>
      </c>
      <c r="H125" s="167">
        <v>93</v>
      </c>
      <c r="I125" s="160">
        <v>93</v>
      </c>
      <c r="J125" s="247">
        <v>18.5</v>
      </c>
      <c r="K125" s="232">
        <v>1</v>
      </c>
      <c r="L125" s="260"/>
      <c r="M125" s="92"/>
    </row>
    <row r="126" spans="1:13" s="45" customFormat="1" ht="8.5500000000000007" customHeight="1" x14ac:dyDescent="0.2">
      <c r="A126" s="98"/>
      <c r="B126" s="158"/>
      <c r="C126" s="158"/>
      <c r="D126" s="158"/>
      <c r="E126" s="158"/>
      <c r="F126" s="158"/>
      <c r="G126" s="252"/>
      <c r="H126" s="168"/>
      <c r="I126" s="161"/>
      <c r="J126" s="248"/>
      <c r="K126" s="233"/>
      <c r="L126" s="260"/>
      <c r="M126" s="92"/>
    </row>
    <row r="127" spans="1:13" s="45" customFormat="1" ht="8.5500000000000007" customHeight="1" x14ac:dyDescent="0.2">
      <c r="A127" s="98"/>
      <c r="B127" s="156" t="s">
        <v>1217</v>
      </c>
      <c r="C127" s="156"/>
      <c r="D127" s="156"/>
      <c r="E127" s="156"/>
      <c r="F127" s="156"/>
      <c r="G127" s="251">
        <v>2003</v>
      </c>
      <c r="H127" s="167">
        <v>97</v>
      </c>
      <c r="I127" s="160">
        <v>95</v>
      </c>
      <c r="J127" s="247">
        <v>12</v>
      </c>
      <c r="K127" s="232">
        <v>1</v>
      </c>
      <c r="L127" s="260"/>
      <c r="M127" s="92"/>
    </row>
    <row r="128" spans="1:13" s="45" customFormat="1" ht="8.5500000000000007" customHeight="1" x14ac:dyDescent="0.2">
      <c r="A128" s="98"/>
      <c r="B128" s="158"/>
      <c r="C128" s="158"/>
      <c r="D128" s="158"/>
      <c r="E128" s="158"/>
      <c r="F128" s="158"/>
      <c r="G128" s="252"/>
      <c r="H128" s="168"/>
      <c r="I128" s="161"/>
      <c r="J128" s="248"/>
      <c r="K128" s="233"/>
      <c r="L128" s="260"/>
      <c r="M128" s="92"/>
    </row>
    <row r="129" spans="1:13" s="45" customFormat="1" ht="8.5500000000000007" customHeight="1" x14ac:dyDescent="0.2">
      <c r="A129" s="98"/>
      <c r="B129" s="156" t="s">
        <v>1218</v>
      </c>
      <c r="C129" s="156"/>
      <c r="D129" s="156"/>
      <c r="E129" s="156"/>
      <c r="F129" s="156"/>
      <c r="G129" s="251">
        <v>1996</v>
      </c>
      <c r="H129" s="167">
        <v>99</v>
      </c>
      <c r="I129" s="160"/>
      <c r="J129" s="247">
        <v>19</v>
      </c>
      <c r="K129" s="232">
        <v>1</v>
      </c>
      <c r="L129" s="260"/>
      <c r="M129" s="92"/>
    </row>
    <row r="130" spans="1:13" s="45" customFormat="1" ht="8.5500000000000007" customHeight="1" x14ac:dyDescent="0.2">
      <c r="A130" s="98"/>
      <c r="B130" s="158"/>
      <c r="C130" s="158"/>
      <c r="D130" s="158"/>
      <c r="E130" s="158"/>
      <c r="F130" s="158"/>
      <c r="G130" s="252"/>
      <c r="H130" s="168"/>
      <c r="I130" s="161"/>
      <c r="J130" s="248"/>
      <c r="K130" s="233"/>
      <c r="L130" s="260"/>
      <c r="M130" s="92"/>
    </row>
    <row r="131" spans="1:13" s="45" customFormat="1" ht="8.5500000000000007" customHeight="1" x14ac:dyDescent="0.2">
      <c r="A131" s="98"/>
      <c r="B131" s="172" t="s">
        <v>1219</v>
      </c>
      <c r="C131" s="172"/>
      <c r="D131" s="172"/>
      <c r="E131" s="172"/>
      <c r="F131" s="172"/>
      <c r="G131" s="251">
        <v>1995</v>
      </c>
      <c r="H131" s="167">
        <v>93</v>
      </c>
      <c r="I131" s="160"/>
      <c r="J131" s="247">
        <v>17</v>
      </c>
      <c r="K131" s="232">
        <v>2</v>
      </c>
      <c r="L131" s="260"/>
      <c r="M131" s="92"/>
    </row>
    <row r="132" spans="1:13" s="45" customFormat="1" ht="8.5500000000000007" customHeight="1" x14ac:dyDescent="0.2">
      <c r="A132" s="98"/>
      <c r="B132" s="174"/>
      <c r="C132" s="174"/>
      <c r="D132" s="174"/>
      <c r="E132" s="174"/>
      <c r="F132" s="174"/>
      <c r="G132" s="252"/>
      <c r="H132" s="168"/>
      <c r="I132" s="161"/>
      <c r="J132" s="248"/>
      <c r="K132" s="233"/>
      <c r="L132" s="260"/>
      <c r="M132" s="92"/>
    </row>
    <row r="133" spans="1:13" s="45" customFormat="1" ht="8.5500000000000007" customHeight="1" x14ac:dyDescent="0.2">
      <c r="A133" s="98"/>
      <c r="B133" s="156" t="s">
        <v>1219</v>
      </c>
      <c r="C133" s="156"/>
      <c r="D133" s="156"/>
      <c r="E133" s="156"/>
      <c r="F133" s="156"/>
      <c r="G133" s="251">
        <v>2002</v>
      </c>
      <c r="H133" s="167">
        <v>95</v>
      </c>
      <c r="I133" s="160"/>
      <c r="J133" s="247"/>
      <c r="K133" s="232">
        <v>1</v>
      </c>
      <c r="L133" s="127"/>
      <c r="M133" s="92"/>
    </row>
    <row r="134" spans="1:13" s="45" customFormat="1" ht="8.5500000000000007" customHeight="1" x14ac:dyDescent="0.2">
      <c r="A134" s="98"/>
      <c r="B134" s="158"/>
      <c r="C134" s="158"/>
      <c r="D134" s="158"/>
      <c r="E134" s="158"/>
      <c r="F134" s="158"/>
      <c r="G134" s="252"/>
      <c r="H134" s="168"/>
      <c r="I134" s="161"/>
      <c r="J134" s="248"/>
      <c r="K134" s="233"/>
      <c r="L134" s="127"/>
      <c r="M134" s="92"/>
    </row>
    <row r="135" spans="1:13" s="45" customFormat="1" ht="8.5500000000000007" customHeight="1" x14ac:dyDescent="0.2">
      <c r="A135" s="98"/>
      <c r="B135" s="156" t="s">
        <v>1367</v>
      </c>
      <c r="C135" s="156"/>
      <c r="D135" s="156"/>
      <c r="E135" s="156"/>
      <c r="F135" s="156"/>
      <c r="G135" s="251">
        <v>2002</v>
      </c>
      <c r="H135" s="167">
        <v>94</v>
      </c>
      <c r="I135" s="160"/>
      <c r="J135" s="247"/>
      <c r="K135" s="232">
        <v>1</v>
      </c>
      <c r="L135" s="260"/>
      <c r="M135" s="92"/>
    </row>
    <row r="136" spans="1:13" s="45" customFormat="1" ht="8.5500000000000007" customHeight="1" x14ac:dyDescent="0.2">
      <c r="A136" s="98"/>
      <c r="B136" s="158"/>
      <c r="C136" s="158"/>
      <c r="D136" s="158"/>
      <c r="E136" s="158"/>
      <c r="F136" s="158"/>
      <c r="G136" s="252"/>
      <c r="H136" s="168"/>
      <c r="I136" s="161"/>
      <c r="J136" s="248"/>
      <c r="K136" s="233"/>
      <c r="L136" s="260"/>
      <c r="M136" s="92"/>
    </row>
    <row r="137" spans="1:13" s="45" customFormat="1" ht="8.5500000000000007" customHeight="1" x14ac:dyDescent="0.2">
      <c r="A137" s="98"/>
      <c r="B137" s="156" t="s">
        <v>1367</v>
      </c>
      <c r="C137" s="156"/>
      <c r="D137" s="156"/>
      <c r="E137" s="156"/>
      <c r="F137" s="156"/>
      <c r="G137" s="251">
        <v>2007</v>
      </c>
      <c r="H137" s="167">
        <v>94</v>
      </c>
      <c r="I137" s="160"/>
      <c r="J137" s="247">
        <v>13.5</v>
      </c>
      <c r="K137" s="232">
        <v>1</v>
      </c>
      <c r="L137" s="260"/>
      <c r="M137" s="92"/>
    </row>
    <row r="138" spans="1:13" s="45" customFormat="1" ht="8.5500000000000007" customHeight="1" x14ac:dyDescent="0.2">
      <c r="A138" s="98"/>
      <c r="B138" s="158"/>
      <c r="C138" s="158"/>
      <c r="D138" s="158"/>
      <c r="E138" s="158"/>
      <c r="F138" s="158"/>
      <c r="G138" s="252"/>
      <c r="H138" s="168"/>
      <c r="I138" s="161"/>
      <c r="J138" s="248"/>
      <c r="K138" s="233"/>
      <c r="L138" s="260"/>
      <c r="M138" s="92"/>
    </row>
    <row r="139" spans="1:13" s="45" customFormat="1" ht="8.5500000000000007" customHeight="1" x14ac:dyDescent="0.2">
      <c r="A139" s="98"/>
      <c r="B139" s="156" t="s">
        <v>606</v>
      </c>
      <c r="C139" s="156"/>
      <c r="D139" s="156"/>
      <c r="E139" s="156"/>
      <c r="F139" s="157"/>
      <c r="G139" s="166">
        <v>2004</v>
      </c>
      <c r="H139" s="167"/>
      <c r="I139" s="160"/>
      <c r="J139" s="249"/>
      <c r="K139" s="232">
        <v>1</v>
      </c>
      <c r="L139" s="260"/>
      <c r="M139" s="92"/>
    </row>
    <row r="140" spans="1:13" s="45" customFormat="1" ht="8.5500000000000007" customHeight="1" x14ac:dyDescent="0.2">
      <c r="A140" s="98"/>
      <c r="B140" s="158"/>
      <c r="C140" s="158"/>
      <c r="D140" s="158"/>
      <c r="E140" s="158"/>
      <c r="F140" s="159"/>
      <c r="G140" s="166"/>
      <c r="H140" s="168"/>
      <c r="I140" s="161"/>
      <c r="J140" s="250"/>
      <c r="K140" s="233"/>
      <c r="L140" s="260"/>
      <c r="M140" s="92"/>
    </row>
    <row r="141" spans="1:13" s="45" customFormat="1" ht="8.5500000000000007" customHeight="1" x14ac:dyDescent="0.2">
      <c r="A141" s="98"/>
      <c r="B141" s="156" t="s">
        <v>1154</v>
      </c>
      <c r="C141" s="156"/>
      <c r="D141" s="156"/>
      <c r="E141" s="156"/>
      <c r="F141" s="156"/>
      <c r="G141" s="251">
        <v>1990</v>
      </c>
      <c r="H141" s="167"/>
      <c r="I141" s="160"/>
      <c r="J141" s="247"/>
      <c r="K141" s="232">
        <v>1</v>
      </c>
      <c r="L141" s="127"/>
      <c r="M141" s="92"/>
    </row>
    <row r="142" spans="1:13" s="45" customFormat="1" ht="8.5500000000000007" customHeight="1" x14ac:dyDescent="0.2">
      <c r="A142" s="98"/>
      <c r="B142" s="158"/>
      <c r="C142" s="158"/>
      <c r="D142" s="158"/>
      <c r="E142" s="158"/>
      <c r="F142" s="158"/>
      <c r="G142" s="252"/>
      <c r="H142" s="168"/>
      <c r="I142" s="161"/>
      <c r="J142" s="248"/>
      <c r="K142" s="233"/>
      <c r="L142" s="127"/>
      <c r="M142" s="92"/>
    </row>
    <row r="143" spans="1:13" s="45" customFormat="1" ht="8.5500000000000007" customHeight="1" x14ac:dyDescent="0.2">
      <c r="A143" s="98"/>
      <c r="B143" s="156" t="s">
        <v>1154</v>
      </c>
      <c r="C143" s="156"/>
      <c r="D143" s="156"/>
      <c r="E143" s="156"/>
      <c r="F143" s="156"/>
      <c r="G143" s="251">
        <v>2018</v>
      </c>
      <c r="H143" s="167"/>
      <c r="I143" s="160"/>
      <c r="J143" s="247"/>
      <c r="K143" s="232">
        <v>3</v>
      </c>
      <c r="L143" s="260"/>
      <c r="M143" s="92"/>
    </row>
    <row r="144" spans="1:13" s="45" customFormat="1" ht="8.5500000000000007" customHeight="1" x14ac:dyDescent="0.2">
      <c r="A144" s="98"/>
      <c r="B144" s="158"/>
      <c r="C144" s="158"/>
      <c r="D144" s="158"/>
      <c r="E144" s="158"/>
      <c r="F144" s="158"/>
      <c r="G144" s="252"/>
      <c r="H144" s="168"/>
      <c r="I144" s="161"/>
      <c r="J144" s="248"/>
      <c r="K144" s="233"/>
      <c r="L144" s="260"/>
      <c r="M144" s="92"/>
    </row>
    <row r="145" spans="1:13" s="45" customFormat="1" ht="8.5500000000000007" customHeight="1" x14ac:dyDescent="0.2">
      <c r="A145" s="98"/>
      <c r="B145" s="156" t="s">
        <v>1511</v>
      </c>
      <c r="C145" s="156"/>
      <c r="D145" s="156"/>
      <c r="E145" s="156"/>
      <c r="F145" s="156"/>
      <c r="G145" s="251">
        <v>1969</v>
      </c>
      <c r="H145" s="167"/>
      <c r="I145" s="160"/>
      <c r="J145" s="247"/>
      <c r="K145" s="232">
        <v>1</v>
      </c>
      <c r="L145" s="127"/>
      <c r="M145" s="92"/>
    </row>
    <row r="146" spans="1:13" s="45" customFormat="1" ht="8.5500000000000007" customHeight="1" x14ac:dyDescent="0.2">
      <c r="A146" s="98"/>
      <c r="B146" s="158"/>
      <c r="C146" s="158"/>
      <c r="D146" s="158"/>
      <c r="E146" s="158"/>
      <c r="F146" s="158"/>
      <c r="G146" s="252"/>
      <c r="H146" s="168"/>
      <c r="I146" s="161"/>
      <c r="J146" s="248"/>
      <c r="K146" s="233"/>
      <c r="L146" s="127"/>
      <c r="M146" s="92"/>
    </row>
    <row r="147" spans="1:13" s="45" customFormat="1" ht="8.5500000000000007" customHeight="1" x14ac:dyDescent="0.2">
      <c r="A147" s="98"/>
      <c r="B147" s="156" t="s">
        <v>1526</v>
      </c>
      <c r="C147" s="156"/>
      <c r="D147" s="156"/>
      <c r="E147" s="156"/>
      <c r="F147" s="156"/>
      <c r="G147" s="251">
        <v>1985</v>
      </c>
      <c r="H147" s="167"/>
      <c r="I147" s="160"/>
      <c r="J147" s="247"/>
      <c r="K147" s="232">
        <v>2</v>
      </c>
      <c r="L147" s="127"/>
      <c r="M147" s="92"/>
    </row>
    <row r="148" spans="1:13" s="45" customFormat="1" ht="8.5500000000000007" customHeight="1" x14ac:dyDescent="0.2">
      <c r="A148" s="98"/>
      <c r="B148" s="158"/>
      <c r="C148" s="158"/>
      <c r="D148" s="158"/>
      <c r="E148" s="158"/>
      <c r="F148" s="158"/>
      <c r="G148" s="252"/>
      <c r="H148" s="168"/>
      <c r="I148" s="161"/>
      <c r="J148" s="248"/>
      <c r="K148" s="233"/>
      <c r="L148" s="127"/>
      <c r="M148" s="92"/>
    </row>
    <row r="149" spans="1:13" s="45" customFormat="1" ht="8.5500000000000007" customHeight="1" x14ac:dyDescent="0.2">
      <c r="A149" s="98"/>
      <c r="B149" s="172" t="s">
        <v>1220</v>
      </c>
      <c r="C149" s="172"/>
      <c r="D149" s="172"/>
      <c r="E149" s="172"/>
      <c r="F149" s="173"/>
      <c r="G149" s="251">
        <v>1984</v>
      </c>
      <c r="H149" s="167"/>
      <c r="I149" s="160"/>
      <c r="J149" s="249"/>
      <c r="K149" s="234">
        <v>1</v>
      </c>
      <c r="L149" s="91"/>
      <c r="M149" s="92"/>
    </row>
    <row r="150" spans="1:13" s="45" customFormat="1" ht="8.5500000000000007" customHeight="1" x14ac:dyDescent="0.2">
      <c r="A150" s="98"/>
      <c r="B150" s="174"/>
      <c r="C150" s="174"/>
      <c r="D150" s="174"/>
      <c r="E150" s="174"/>
      <c r="F150" s="175"/>
      <c r="G150" s="252"/>
      <c r="H150" s="168"/>
      <c r="I150" s="161"/>
      <c r="J150" s="250"/>
      <c r="K150" s="235"/>
      <c r="L150" s="91"/>
      <c r="M150" s="92"/>
    </row>
    <row r="151" spans="1:13" s="45" customFormat="1" ht="8.5500000000000007" customHeight="1" x14ac:dyDescent="0.2">
      <c r="A151" s="98"/>
      <c r="B151" s="156" t="s">
        <v>1220</v>
      </c>
      <c r="C151" s="156"/>
      <c r="D151" s="156"/>
      <c r="E151" s="156"/>
      <c r="F151" s="157"/>
      <c r="G151" s="251">
        <v>1986</v>
      </c>
      <c r="H151" s="167">
        <v>90</v>
      </c>
      <c r="I151" s="160"/>
      <c r="J151" s="249"/>
      <c r="K151" s="234">
        <v>1</v>
      </c>
      <c r="L151" s="91"/>
      <c r="M151" s="92"/>
    </row>
    <row r="152" spans="1:13" s="45" customFormat="1" ht="8.5500000000000007" customHeight="1" x14ac:dyDescent="0.2">
      <c r="A152" s="98"/>
      <c r="B152" s="158"/>
      <c r="C152" s="158"/>
      <c r="D152" s="158"/>
      <c r="E152" s="158"/>
      <c r="F152" s="159"/>
      <c r="G152" s="252"/>
      <c r="H152" s="168"/>
      <c r="I152" s="161"/>
      <c r="J152" s="250"/>
      <c r="K152" s="235"/>
      <c r="L152" s="91"/>
      <c r="M152" s="92"/>
    </row>
    <row r="153" spans="1:13" s="45" customFormat="1" ht="8.5500000000000007" customHeight="1" x14ac:dyDescent="0.2">
      <c r="A153" s="98"/>
      <c r="B153" s="156" t="s">
        <v>1220</v>
      </c>
      <c r="C153" s="156"/>
      <c r="D153" s="156"/>
      <c r="E153" s="156"/>
      <c r="F153" s="157"/>
      <c r="G153" s="251">
        <v>1995</v>
      </c>
      <c r="H153" s="167">
        <v>94</v>
      </c>
      <c r="I153" s="160">
        <v>96</v>
      </c>
      <c r="J153" s="249">
        <v>20</v>
      </c>
      <c r="K153" s="234">
        <v>1</v>
      </c>
      <c r="L153" s="91"/>
      <c r="M153" s="92"/>
    </row>
    <row r="154" spans="1:13" s="45" customFormat="1" ht="8.5500000000000007" customHeight="1" x14ac:dyDescent="0.2">
      <c r="A154" s="98"/>
      <c r="B154" s="158"/>
      <c r="C154" s="158"/>
      <c r="D154" s="158"/>
      <c r="E154" s="158"/>
      <c r="F154" s="159"/>
      <c r="G154" s="252"/>
      <c r="H154" s="168"/>
      <c r="I154" s="161"/>
      <c r="J154" s="250"/>
      <c r="K154" s="235"/>
      <c r="L154" s="91"/>
      <c r="M154" s="92"/>
    </row>
    <row r="155" spans="1:13" s="45" customFormat="1" ht="8.5500000000000007" customHeight="1" x14ac:dyDescent="0.2">
      <c r="A155" s="98"/>
      <c r="B155" s="156" t="s">
        <v>1220</v>
      </c>
      <c r="C155" s="156"/>
      <c r="D155" s="156"/>
      <c r="E155" s="156"/>
      <c r="F155" s="157"/>
      <c r="G155" s="251">
        <v>1997</v>
      </c>
      <c r="H155" s="167" t="s">
        <v>556</v>
      </c>
      <c r="I155" s="160"/>
      <c r="J155" s="249"/>
      <c r="K155" s="234">
        <v>1</v>
      </c>
      <c r="L155" s="91"/>
      <c r="M155" s="92"/>
    </row>
    <row r="156" spans="1:13" s="45" customFormat="1" ht="8.5500000000000007" customHeight="1" x14ac:dyDescent="0.2">
      <c r="A156" s="98"/>
      <c r="B156" s="158"/>
      <c r="C156" s="158"/>
      <c r="D156" s="158"/>
      <c r="E156" s="158"/>
      <c r="F156" s="159"/>
      <c r="G156" s="252"/>
      <c r="H156" s="168"/>
      <c r="I156" s="161"/>
      <c r="J156" s="250"/>
      <c r="K156" s="235"/>
      <c r="L156" s="91"/>
      <c r="M156" s="92"/>
    </row>
    <row r="157" spans="1:13" s="45" customFormat="1" ht="8.5500000000000007" customHeight="1" x14ac:dyDescent="0.2">
      <c r="A157" s="98"/>
      <c r="B157" s="156" t="s">
        <v>1220</v>
      </c>
      <c r="C157" s="156"/>
      <c r="D157" s="156"/>
      <c r="E157" s="156"/>
      <c r="F157" s="157"/>
      <c r="G157" s="251">
        <v>2000</v>
      </c>
      <c r="H157" s="167">
        <v>90</v>
      </c>
      <c r="I157" s="160"/>
      <c r="J157" s="249">
        <v>19.5</v>
      </c>
      <c r="K157" s="234">
        <v>2</v>
      </c>
      <c r="L157" s="91"/>
      <c r="M157" s="92"/>
    </row>
    <row r="158" spans="1:13" s="45" customFormat="1" ht="8.5500000000000007" customHeight="1" x14ac:dyDescent="0.2">
      <c r="A158" s="98"/>
      <c r="B158" s="158"/>
      <c r="C158" s="158"/>
      <c r="D158" s="158"/>
      <c r="E158" s="158"/>
      <c r="F158" s="159"/>
      <c r="G158" s="252"/>
      <c r="H158" s="168"/>
      <c r="I158" s="161"/>
      <c r="J158" s="250"/>
      <c r="K158" s="235"/>
      <c r="L158" s="91"/>
      <c r="M158" s="92"/>
    </row>
    <row r="159" spans="1:13" s="45" customFormat="1" ht="8.5500000000000007" customHeight="1" x14ac:dyDescent="0.2">
      <c r="A159" s="98"/>
      <c r="B159" s="156" t="s">
        <v>1220</v>
      </c>
      <c r="C159" s="156"/>
      <c r="D159" s="156"/>
      <c r="E159" s="156"/>
      <c r="F159" s="157"/>
      <c r="G159" s="251">
        <v>2001</v>
      </c>
      <c r="H159" s="167">
        <v>95</v>
      </c>
      <c r="I159" s="160"/>
      <c r="J159" s="249">
        <v>19.5</v>
      </c>
      <c r="K159" s="234">
        <v>2</v>
      </c>
      <c r="L159" s="91"/>
      <c r="M159" s="92"/>
    </row>
    <row r="160" spans="1:13" s="45" customFormat="1" ht="8.5500000000000007" customHeight="1" x14ac:dyDescent="0.2">
      <c r="A160" s="98"/>
      <c r="B160" s="158"/>
      <c r="C160" s="158"/>
      <c r="D160" s="158"/>
      <c r="E160" s="158"/>
      <c r="F160" s="159"/>
      <c r="G160" s="252"/>
      <c r="H160" s="168"/>
      <c r="I160" s="161"/>
      <c r="J160" s="250"/>
      <c r="K160" s="235"/>
      <c r="L160" s="91"/>
      <c r="M160" s="92"/>
    </row>
    <row r="161" spans="1:13" s="45" customFormat="1" ht="8.5500000000000007" customHeight="1" x14ac:dyDescent="0.2">
      <c r="A161" s="98"/>
      <c r="B161" s="156" t="s">
        <v>1220</v>
      </c>
      <c r="C161" s="156"/>
      <c r="D161" s="156"/>
      <c r="E161" s="156"/>
      <c r="F161" s="157"/>
      <c r="G161" s="251">
        <v>2002</v>
      </c>
      <c r="H161" s="167" t="s">
        <v>68</v>
      </c>
      <c r="I161" s="160"/>
      <c r="J161" s="249">
        <v>20</v>
      </c>
      <c r="K161" s="234">
        <v>2</v>
      </c>
      <c r="L161" s="91"/>
      <c r="M161" s="92"/>
    </row>
    <row r="162" spans="1:13" s="45" customFormat="1" ht="8.5500000000000007" customHeight="1" x14ac:dyDescent="0.2">
      <c r="A162" s="98"/>
      <c r="B162" s="158"/>
      <c r="C162" s="158"/>
      <c r="D162" s="158"/>
      <c r="E162" s="158"/>
      <c r="F162" s="159"/>
      <c r="G162" s="252"/>
      <c r="H162" s="168"/>
      <c r="I162" s="161"/>
      <c r="J162" s="250"/>
      <c r="K162" s="235"/>
      <c r="L162" s="91"/>
      <c r="M162" s="92"/>
    </row>
    <row r="163" spans="1:13" s="45" customFormat="1" ht="8.5500000000000007" customHeight="1" x14ac:dyDescent="0.2">
      <c r="A163" s="98"/>
      <c r="B163" s="156" t="s">
        <v>1220</v>
      </c>
      <c r="C163" s="156"/>
      <c r="D163" s="156"/>
      <c r="E163" s="156"/>
      <c r="F163" s="157"/>
      <c r="G163" s="251">
        <v>2003</v>
      </c>
      <c r="H163" s="167">
        <v>92</v>
      </c>
      <c r="I163" s="160">
        <v>96</v>
      </c>
      <c r="J163" s="249">
        <v>20</v>
      </c>
      <c r="K163" s="234">
        <v>2</v>
      </c>
      <c r="L163" s="91"/>
      <c r="M163" s="92"/>
    </row>
    <row r="164" spans="1:13" s="45" customFormat="1" ht="8.5500000000000007" customHeight="1" x14ac:dyDescent="0.2">
      <c r="A164" s="98"/>
      <c r="B164" s="158"/>
      <c r="C164" s="158"/>
      <c r="D164" s="158"/>
      <c r="E164" s="158"/>
      <c r="F164" s="159"/>
      <c r="G164" s="252"/>
      <c r="H164" s="168"/>
      <c r="I164" s="161"/>
      <c r="J164" s="250"/>
      <c r="K164" s="235"/>
      <c r="L164" s="91"/>
      <c r="M164" s="92"/>
    </row>
    <row r="165" spans="1:13" s="45" customFormat="1" ht="8.5500000000000007" customHeight="1" x14ac:dyDescent="0.2">
      <c r="A165" s="98"/>
      <c r="B165" s="156" t="s">
        <v>1220</v>
      </c>
      <c r="C165" s="156"/>
      <c r="D165" s="156"/>
      <c r="E165" s="156"/>
      <c r="F165" s="157"/>
      <c r="G165" s="251">
        <v>2006</v>
      </c>
      <c r="H165" s="167" t="s">
        <v>662</v>
      </c>
      <c r="I165" s="160"/>
      <c r="J165" s="249">
        <v>19.5</v>
      </c>
      <c r="K165" s="234">
        <v>2</v>
      </c>
      <c r="L165" s="91"/>
      <c r="M165" s="92"/>
    </row>
    <row r="166" spans="1:13" s="45" customFormat="1" ht="8.5500000000000007" customHeight="1" x14ac:dyDescent="0.2">
      <c r="A166" s="98"/>
      <c r="B166" s="158"/>
      <c r="C166" s="158"/>
      <c r="D166" s="158"/>
      <c r="E166" s="158"/>
      <c r="F166" s="159"/>
      <c r="G166" s="252"/>
      <c r="H166" s="168"/>
      <c r="I166" s="161"/>
      <c r="J166" s="250"/>
      <c r="K166" s="235"/>
      <c r="L166" s="91"/>
      <c r="M166" s="92"/>
    </row>
    <row r="167" spans="1:13" s="45" customFormat="1" ht="8.5500000000000007" customHeight="1" x14ac:dyDescent="0.2">
      <c r="A167" s="98"/>
      <c r="B167" s="156" t="s">
        <v>1220</v>
      </c>
      <c r="C167" s="156"/>
      <c r="D167" s="156"/>
      <c r="E167" s="156"/>
      <c r="F167" s="157"/>
      <c r="G167" s="251">
        <v>2009</v>
      </c>
      <c r="H167" s="167" t="s">
        <v>1565</v>
      </c>
      <c r="I167" s="160"/>
      <c r="J167" s="249"/>
      <c r="K167" s="234">
        <v>1</v>
      </c>
      <c r="L167" s="91"/>
      <c r="M167" s="92"/>
    </row>
    <row r="168" spans="1:13" s="45" customFormat="1" ht="8.5500000000000007" customHeight="1" x14ac:dyDescent="0.2">
      <c r="A168" s="98"/>
      <c r="B168" s="158"/>
      <c r="C168" s="158"/>
      <c r="D168" s="158"/>
      <c r="E168" s="158"/>
      <c r="F168" s="159"/>
      <c r="G168" s="252"/>
      <c r="H168" s="168"/>
      <c r="I168" s="161"/>
      <c r="J168" s="250"/>
      <c r="K168" s="235"/>
      <c r="L168" s="91"/>
      <c r="M168" s="92"/>
    </row>
    <row r="169" spans="1:13" s="45" customFormat="1" ht="8.5500000000000007" customHeight="1" x14ac:dyDescent="0.2">
      <c r="A169" s="98"/>
      <c r="B169" s="156" t="s">
        <v>1221</v>
      </c>
      <c r="C169" s="156"/>
      <c r="D169" s="156"/>
      <c r="E169" s="156"/>
      <c r="F169" s="157"/>
      <c r="G169" s="251">
        <v>1988</v>
      </c>
      <c r="H169" s="167">
        <v>85</v>
      </c>
      <c r="I169" s="160"/>
      <c r="J169" s="249">
        <v>19.5</v>
      </c>
      <c r="K169" s="234">
        <v>2</v>
      </c>
      <c r="L169" s="91"/>
      <c r="M169" s="92"/>
    </row>
    <row r="170" spans="1:13" s="45" customFormat="1" ht="8.5500000000000007" customHeight="1" x14ac:dyDescent="0.2">
      <c r="A170" s="98"/>
      <c r="B170" s="158"/>
      <c r="C170" s="158"/>
      <c r="D170" s="158"/>
      <c r="E170" s="158"/>
      <c r="F170" s="159"/>
      <c r="G170" s="252"/>
      <c r="H170" s="168"/>
      <c r="I170" s="161"/>
      <c r="J170" s="250"/>
      <c r="K170" s="235"/>
      <c r="L170" s="91"/>
      <c r="M170" s="92"/>
    </row>
    <row r="171" spans="1:13" s="45" customFormat="1" ht="8.5500000000000007" customHeight="1" x14ac:dyDescent="0.2">
      <c r="A171" s="98"/>
      <c r="B171" s="156" t="s">
        <v>1221</v>
      </c>
      <c r="C171" s="156"/>
      <c r="D171" s="156"/>
      <c r="E171" s="156"/>
      <c r="F171" s="157"/>
      <c r="G171" s="251">
        <v>1990</v>
      </c>
      <c r="H171" s="167">
        <v>90</v>
      </c>
      <c r="I171" s="160"/>
      <c r="J171" s="249">
        <v>18</v>
      </c>
      <c r="K171" s="234">
        <v>1</v>
      </c>
      <c r="L171" s="91"/>
      <c r="M171" s="92"/>
    </row>
    <row r="172" spans="1:13" s="45" customFormat="1" ht="8.5500000000000007" customHeight="1" x14ac:dyDescent="0.2">
      <c r="A172" s="98"/>
      <c r="B172" s="158"/>
      <c r="C172" s="158"/>
      <c r="D172" s="158"/>
      <c r="E172" s="158"/>
      <c r="F172" s="159"/>
      <c r="G172" s="252"/>
      <c r="H172" s="168"/>
      <c r="I172" s="161"/>
      <c r="J172" s="250"/>
      <c r="K172" s="235"/>
      <c r="L172" s="91"/>
      <c r="M172" s="92"/>
    </row>
    <row r="173" spans="1:13" s="45" customFormat="1" ht="8.5500000000000007" customHeight="1" x14ac:dyDescent="0.2">
      <c r="A173" s="98"/>
      <c r="B173" s="156" t="s">
        <v>1221</v>
      </c>
      <c r="C173" s="156"/>
      <c r="D173" s="156"/>
      <c r="E173" s="156"/>
      <c r="F173" s="157"/>
      <c r="G173" s="251">
        <v>1995</v>
      </c>
      <c r="H173" s="167" t="s">
        <v>373</v>
      </c>
      <c r="I173" s="160"/>
      <c r="J173" s="249">
        <v>19.5</v>
      </c>
      <c r="K173" s="234">
        <v>1</v>
      </c>
      <c r="L173" s="91"/>
      <c r="M173" s="92"/>
    </row>
    <row r="174" spans="1:13" s="45" customFormat="1" ht="8.5500000000000007" customHeight="1" x14ac:dyDescent="0.2">
      <c r="A174" s="98"/>
      <c r="B174" s="158"/>
      <c r="C174" s="158"/>
      <c r="D174" s="158"/>
      <c r="E174" s="158"/>
      <c r="F174" s="159"/>
      <c r="G174" s="252"/>
      <c r="H174" s="168"/>
      <c r="I174" s="161"/>
      <c r="J174" s="250"/>
      <c r="K174" s="235"/>
      <c r="L174" s="91"/>
      <c r="M174" s="92"/>
    </row>
    <row r="175" spans="1:13" s="45" customFormat="1" ht="8.5500000000000007" customHeight="1" x14ac:dyDescent="0.2">
      <c r="A175" s="98"/>
      <c r="B175" s="156" t="s">
        <v>1221</v>
      </c>
      <c r="C175" s="156"/>
      <c r="D175" s="156"/>
      <c r="E175" s="156"/>
      <c r="F175" s="157"/>
      <c r="G175" s="251">
        <v>1996</v>
      </c>
      <c r="H175" s="167">
        <v>93</v>
      </c>
      <c r="I175" s="160"/>
      <c r="J175" s="249">
        <v>19.5</v>
      </c>
      <c r="K175" s="234">
        <v>1</v>
      </c>
      <c r="L175" s="91"/>
      <c r="M175" s="92"/>
    </row>
    <row r="176" spans="1:13" s="45" customFormat="1" ht="8.5500000000000007" customHeight="1" x14ac:dyDescent="0.2">
      <c r="A176" s="98"/>
      <c r="B176" s="158"/>
      <c r="C176" s="158"/>
      <c r="D176" s="158"/>
      <c r="E176" s="158"/>
      <c r="F176" s="159"/>
      <c r="G176" s="252"/>
      <c r="H176" s="168"/>
      <c r="I176" s="161"/>
      <c r="J176" s="250"/>
      <c r="K176" s="235"/>
      <c r="L176" s="91"/>
      <c r="M176" s="92"/>
    </row>
    <row r="177" spans="1:13" s="45" customFormat="1" ht="8.5500000000000007" customHeight="1" x14ac:dyDescent="0.2">
      <c r="A177" s="98"/>
      <c r="B177" s="156" t="s">
        <v>1221</v>
      </c>
      <c r="C177" s="156"/>
      <c r="D177" s="156"/>
      <c r="E177" s="156"/>
      <c r="F177" s="157"/>
      <c r="G177" s="251">
        <v>1997</v>
      </c>
      <c r="H177" s="167" t="s">
        <v>373</v>
      </c>
      <c r="I177" s="160"/>
      <c r="J177" s="249"/>
      <c r="K177" s="234">
        <v>1</v>
      </c>
      <c r="L177" s="91"/>
      <c r="M177" s="92"/>
    </row>
    <row r="178" spans="1:13" s="45" customFormat="1" ht="8.5500000000000007" customHeight="1" x14ac:dyDescent="0.2">
      <c r="A178" s="98"/>
      <c r="B178" s="158"/>
      <c r="C178" s="158"/>
      <c r="D178" s="158"/>
      <c r="E178" s="158"/>
      <c r="F178" s="159"/>
      <c r="G178" s="252"/>
      <c r="H178" s="168"/>
      <c r="I178" s="161"/>
      <c r="J178" s="250"/>
      <c r="K178" s="235"/>
      <c r="L178" s="91"/>
      <c r="M178" s="92"/>
    </row>
    <row r="179" spans="1:13" s="45" customFormat="1" ht="8.5500000000000007" customHeight="1" x14ac:dyDescent="0.2">
      <c r="A179" s="98"/>
      <c r="B179" s="170" t="s">
        <v>272</v>
      </c>
      <c r="C179" s="170"/>
      <c r="D179" s="170"/>
      <c r="E179" s="170"/>
      <c r="F179" s="170"/>
      <c r="G179" s="69"/>
      <c r="H179" s="69"/>
      <c r="I179" s="62"/>
      <c r="J179" s="115"/>
      <c r="K179" s="164"/>
      <c r="L179" s="91"/>
      <c r="M179" s="92"/>
    </row>
    <row r="180" spans="1:13" s="45" customFormat="1" ht="8.5500000000000007" customHeight="1" x14ac:dyDescent="0.2">
      <c r="A180" s="98"/>
      <c r="B180" s="171"/>
      <c r="C180" s="171"/>
      <c r="D180" s="171"/>
      <c r="E180" s="171"/>
      <c r="F180" s="171"/>
      <c r="G180" s="70"/>
      <c r="H180" s="70"/>
      <c r="I180" s="63"/>
      <c r="J180" s="116"/>
      <c r="K180" s="165"/>
      <c r="L180" s="91"/>
      <c r="M180" s="92"/>
    </row>
    <row r="181" spans="1:13" s="45" customFormat="1" ht="8.5500000000000007" customHeight="1" x14ac:dyDescent="0.2">
      <c r="A181" s="98"/>
      <c r="B181" s="156" t="s">
        <v>1221</v>
      </c>
      <c r="C181" s="156"/>
      <c r="D181" s="156"/>
      <c r="E181" s="156"/>
      <c r="F181" s="157"/>
      <c r="G181" s="251">
        <v>2002</v>
      </c>
      <c r="H181" s="167" t="s">
        <v>68</v>
      </c>
      <c r="I181" s="160"/>
      <c r="J181" s="249">
        <v>19.5</v>
      </c>
      <c r="K181" s="234">
        <v>2</v>
      </c>
      <c r="L181" s="91"/>
      <c r="M181" s="92"/>
    </row>
    <row r="182" spans="1:13" s="45" customFormat="1" ht="8.5500000000000007" customHeight="1" x14ac:dyDescent="0.2">
      <c r="A182" s="98"/>
      <c r="B182" s="158"/>
      <c r="C182" s="158"/>
      <c r="D182" s="158"/>
      <c r="E182" s="158"/>
      <c r="F182" s="159"/>
      <c r="G182" s="252"/>
      <c r="H182" s="168"/>
      <c r="I182" s="161"/>
      <c r="J182" s="250"/>
      <c r="K182" s="235"/>
      <c r="L182" s="91"/>
      <c r="M182" s="92"/>
    </row>
    <row r="183" spans="1:13" s="45" customFormat="1" ht="8.5500000000000007" customHeight="1" x14ac:dyDescent="0.2">
      <c r="A183" s="98"/>
      <c r="B183" s="156" t="s">
        <v>1221</v>
      </c>
      <c r="C183" s="156"/>
      <c r="D183" s="156"/>
      <c r="E183" s="156"/>
      <c r="F183" s="157"/>
      <c r="G183" s="251">
        <v>2006</v>
      </c>
      <c r="H183" s="167" t="s">
        <v>2</v>
      </c>
      <c r="I183" s="160">
        <v>96</v>
      </c>
      <c r="J183" s="249" t="s">
        <v>1513</v>
      </c>
      <c r="K183" s="234">
        <v>3</v>
      </c>
      <c r="L183" s="91"/>
      <c r="M183" s="92"/>
    </row>
    <row r="184" spans="1:13" s="45" customFormat="1" ht="8.5500000000000007" customHeight="1" x14ac:dyDescent="0.2">
      <c r="A184" s="98"/>
      <c r="B184" s="158"/>
      <c r="C184" s="158"/>
      <c r="D184" s="158"/>
      <c r="E184" s="158"/>
      <c r="F184" s="159"/>
      <c r="G184" s="252"/>
      <c r="H184" s="168"/>
      <c r="I184" s="161"/>
      <c r="J184" s="250"/>
      <c r="K184" s="235"/>
      <c r="L184" s="91"/>
      <c r="M184" s="92"/>
    </row>
    <row r="185" spans="1:13" s="45" customFormat="1" ht="8.5500000000000007" customHeight="1" x14ac:dyDescent="0.2">
      <c r="A185" s="98"/>
      <c r="B185" s="156" t="s">
        <v>1221</v>
      </c>
      <c r="C185" s="156"/>
      <c r="D185" s="156"/>
      <c r="E185" s="156"/>
      <c r="F185" s="157"/>
      <c r="G185" s="251">
        <v>2007</v>
      </c>
      <c r="H185" s="167">
        <v>93</v>
      </c>
      <c r="I185" s="160"/>
      <c r="J185" s="249">
        <v>18</v>
      </c>
      <c r="K185" s="234">
        <v>1</v>
      </c>
      <c r="L185" s="91"/>
      <c r="M185" s="92"/>
    </row>
    <row r="186" spans="1:13" s="45" customFormat="1" ht="8.5500000000000007" customHeight="1" x14ac:dyDescent="0.2">
      <c r="A186" s="98"/>
      <c r="B186" s="158"/>
      <c r="C186" s="158"/>
      <c r="D186" s="158"/>
      <c r="E186" s="158"/>
      <c r="F186" s="159"/>
      <c r="G186" s="252"/>
      <c r="H186" s="168"/>
      <c r="I186" s="161"/>
      <c r="J186" s="250"/>
      <c r="K186" s="235"/>
      <c r="L186" s="91"/>
      <c r="M186" s="92"/>
    </row>
    <row r="187" spans="1:13" s="45" customFormat="1" ht="8.5500000000000007" customHeight="1" x14ac:dyDescent="0.2">
      <c r="A187" s="98"/>
      <c r="B187" s="156" t="s">
        <v>1221</v>
      </c>
      <c r="C187" s="156"/>
      <c r="D187" s="156"/>
      <c r="E187" s="156"/>
      <c r="F187" s="157"/>
      <c r="G187" s="251">
        <v>2008</v>
      </c>
      <c r="H187" s="167" t="s">
        <v>626</v>
      </c>
      <c r="I187" s="160"/>
      <c r="J187" s="249">
        <v>19</v>
      </c>
      <c r="K187" s="234">
        <v>2</v>
      </c>
      <c r="L187" s="91"/>
      <c r="M187" s="92"/>
    </row>
    <row r="188" spans="1:13" s="45" customFormat="1" ht="8.5500000000000007" customHeight="1" x14ac:dyDescent="0.2">
      <c r="A188" s="98"/>
      <c r="B188" s="158"/>
      <c r="C188" s="158"/>
      <c r="D188" s="158"/>
      <c r="E188" s="158"/>
      <c r="F188" s="159"/>
      <c r="G188" s="252"/>
      <c r="H188" s="168"/>
      <c r="I188" s="161"/>
      <c r="J188" s="250"/>
      <c r="K188" s="235"/>
      <c r="L188" s="91"/>
      <c r="M188" s="92"/>
    </row>
    <row r="189" spans="1:13" s="45" customFormat="1" ht="8.5500000000000007" customHeight="1" x14ac:dyDescent="0.2">
      <c r="A189" s="98"/>
      <c r="B189" s="156" t="s">
        <v>1221</v>
      </c>
      <c r="C189" s="156"/>
      <c r="D189" s="156"/>
      <c r="E189" s="156"/>
      <c r="F189" s="157"/>
      <c r="G189" s="251">
        <v>2010</v>
      </c>
      <c r="H189" s="167" t="s">
        <v>68</v>
      </c>
      <c r="I189" s="160"/>
      <c r="J189" s="249"/>
      <c r="K189" s="234">
        <v>1</v>
      </c>
      <c r="L189" s="91"/>
      <c r="M189" s="92"/>
    </row>
    <row r="190" spans="1:13" s="45" customFormat="1" ht="8.5500000000000007" customHeight="1" x14ac:dyDescent="0.2">
      <c r="A190" s="98"/>
      <c r="B190" s="158"/>
      <c r="C190" s="158"/>
      <c r="D190" s="158"/>
      <c r="E190" s="158"/>
      <c r="F190" s="159"/>
      <c r="G190" s="252"/>
      <c r="H190" s="168"/>
      <c r="I190" s="161"/>
      <c r="J190" s="250"/>
      <c r="K190" s="235"/>
      <c r="L190" s="91"/>
      <c r="M190" s="92"/>
    </row>
    <row r="191" spans="1:13" s="45" customFormat="1" ht="8.5500000000000007" customHeight="1" x14ac:dyDescent="0.2">
      <c r="A191" s="98"/>
      <c r="B191" s="156" t="s">
        <v>1222</v>
      </c>
      <c r="C191" s="156"/>
      <c r="D191" s="156"/>
      <c r="E191" s="156"/>
      <c r="F191" s="157"/>
      <c r="G191" s="251">
        <v>2001</v>
      </c>
      <c r="H191" s="167"/>
      <c r="I191" s="160"/>
      <c r="J191" s="249"/>
      <c r="K191" s="234">
        <v>1</v>
      </c>
      <c r="L191" s="91"/>
      <c r="M191" s="92"/>
    </row>
    <row r="192" spans="1:13" s="45" customFormat="1" ht="8.5500000000000007" customHeight="1" x14ac:dyDescent="0.2">
      <c r="A192" s="98"/>
      <c r="B192" s="158"/>
      <c r="C192" s="158"/>
      <c r="D192" s="158"/>
      <c r="E192" s="158"/>
      <c r="F192" s="159"/>
      <c r="G192" s="252"/>
      <c r="H192" s="168"/>
      <c r="I192" s="161"/>
      <c r="J192" s="250"/>
      <c r="K192" s="235"/>
      <c r="L192" s="91"/>
      <c r="M192" s="92"/>
    </row>
    <row r="193" spans="1:13" s="45" customFormat="1" ht="8.5500000000000007" customHeight="1" x14ac:dyDescent="0.2">
      <c r="A193" s="98"/>
      <c r="B193" s="156" t="s">
        <v>1222</v>
      </c>
      <c r="C193" s="156"/>
      <c r="D193" s="156"/>
      <c r="E193" s="156"/>
      <c r="F193" s="157"/>
      <c r="G193" s="251">
        <v>2002</v>
      </c>
      <c r="H193" s="167" t="s">
        <v>984</v>
      </c>
      <c r="I193" s="160"/>
      <c r="J193" s="249"/>
      <c r="K193" s="234">
        <v>1</v>
      </c>
      <c r="L193" s="91"/>
      <c r="M193" s="92"/>
    </row>
    <row r="194" spans="1:13" s="45" customFormat="1" ht="8.5500000000000007" customHeight="1" x14ac:dyDescent="0.2">
      <c r="A194" s="98"/>
      <c r="B194" s="158"/>
      <c r="C194" s="158"/>
      <c r="D194" s="158"/>
      <c r="E194" s="158"/>
      <c r="F194" s="159"/>
      <c r="G194" s="252"/>
      <c r="H194" s="168"/>
      <c r="I194" s="161"/>
      <c r="J194" s="250"/>
      <c r="K194" s="235"/>
      <c r="L194" s="91"/>
      <c r="M194" s="92"/>
    </row>
    <row r="195" spans="1:13" s="45" customFormat="1" ht="8.5500000000000007" customHeight="1" x14ac:dyDescent="0.2">
      <c r="A195" s="98"/>
      <c r="B195" s="156" t="s">
        <v>1222</v>
      </c>
      <c r="C195" s="156"/>
      <c r="D195" s="156"/>
      <c r="E195" s="156"/>
      <c r="F195" s="157"/>
      <c r="G195" s="251">
        <v>2005</v>
      </c>
      <c r="H195" s="167" t="s">
        <v>61</v>
      </c>
      <c r="I195" s="160"/>
      <c r="J195" s="249"/>
      <c r="K195" s="234">
        <v>1</v>
      </c>
      <c r="L195" s="91"/>
      <c r="M195" s="92"/>
    </row>
    <row r="196" spans="1:13" s="45" customFormat="1" ht="8.5500000000000007" customHeight="1" x14ac:dyDescent="0.2">
      <c r="A196" s="98"/>
      <c r="B196" s="158"/>
      <c r="C196" s="158"/>
      <c r="D196" s="158"/>
      <c r="E196" s="158"/>
      <c r="F196" s="159"/>
      <c r="G196" s="252"/>
      <c r="H196" s="168"/>
      <c r="I196" s="161"/>
      <c r="J196" s="250"/>
      <c r="K196" s="235"/>
      <c r="L196" s="91"/>
      <c r="M196" s="92"/>
    </row>
    <row r="197" spans="1:13" s="45" customFormat="1" ht="8.5500000000000007" customHeight="1" x14ac:dyDescent="0.2">
      <c r="A197" s="98"/>
      <c r="B197" s="156" t="s">
        <v>1222</v>
      </c>
      <c r="C197" s="156"/>
      <c r="D197" s="156"/>
      <c r="E197" s="156"/>
      <c r="F197" s="157"/>
      <c r="G197" s="251">
        <v>2006</v>
      </c>
      <c r="H197" s="167">
        <v>88</v>
      </c>
      <c r="I197" s="160">
        <v>95</v>
      </c>
      <c r="J197" s="249"/>
      <c r="K197" s="234">
        <v>2</v>
      </c>
      <c r="L197" s="91"/>
      <c r="M197" s="92"/>
    </row>
    <row r="198" spans="1:13" s="45" customFormat="1" ht="8.5500000000000007" customHeight="1" x14ac:dyDescent="0.2">
      <c r="A198" s="98"/>
      <c r="B198" s="158"/>
      <c r="C198" s="158"/>
      <c r="D198" s="158"/>
      <c r="E198" s="158"/>
      <c r="F198" s="159"/>
      <c r="G198" s="252"/>
      <c r="H198" s="168"/>
      <c r="I198" s="161"/>
      <c r="J198" s="250"/>
      <c r="K198" s="235"/>
      <c r="L198" s="91"/>
      <c r="M198" s="92"/>
    </row>
    <row r="199" spans="1:13" s="45" customFormat="1" ht="8.5500000000000007" customHeight="1" x14ac:dyDescent="0.2">
      <c r="A199" s="98"/>
      <c r="B199" s="156" t="s">
        <v>1222</v>
      </c>
      <c r="C199" s="156"/>
      <c r="D199" s="156"/>
      <c r="E199" s="156"/>
      <c r="F199" s="157"/>
      <c r="G199" s="251">
        <v>2014</v>
      </c>
      <c r="H199" s="167" t="s">
        <v>299</v>
      </c>
      <c r="I199" s="160"/>
      <c r="J199" s="249"/>
      <c r="K199" s="234">
        <v>1</v>
      </c>
      <c r="L199" s="91"/>
      <c r="M199" s="92"/>
    </row>
    <row r="200" spans="1:13" s="45" customFormat="1" ht="8.5500000000000007" customHeight="1" x14ac:dyDescent="0.2">
      <c r="A200" s="98"/>
      <c r="B200" s="158"/>
      <c r="C200" s="158"/>
      <c r="D200" s="158"/>
      <c r="E200" s="158"/>
      <c r="F200" s="159"/>
      <c r="G200" s="252"/>
      <c r="H200" s="168"/>
      <c r="I200" s="161"/>
      <c r="J200" s="250"/>
      <c r="K200" s="235"/>
      <c r="L200" s="91"/>
      <c r="M200" s="92"/>
    </row>
    <row r="201" spans="1:13" s="45" customFormat="1" ht="8.5500000000000007" customHeight="1" x14ac:dyDescent="0.2">
      <c r="A201" s="98"/>
      <c r="B201" s="183" t="s">
        <v>1223</v>
      </c>
      <c r="C201" s="183"/>
      <c r="D201" s="183"/>
      <c r="E201" s="183"/>
      <c r="F201" s="184"/>
      <c r="G201" s="251">
        <v>1990</v>
      </c>
      <c r="H201" s="167">
        <v>94</v>
      </c>
      <c r="I201" s="160"/>
      <c r="J201" s="249">
        <v>18.5</v>
      </c>
      <c r="K201" s="234">
        <v>1</v>
      </c>
      <c r="L201" s="91"/>
      <c r="M201" s="92"/>
    </row>
    <row r="202" spans="1:13" s="45" customFormat="1" ht="8.5500000000000007" customHeight="1" x14ac:dyDescent="0.2">
      <c r="A202" s="98"/>
      <c r="B202" s="185"/>
      <c r="C202" s="185"/>
      <c r="D202" s="185"/>
      <c r="E202" s="185"/>
      <c r="F202" s="186"/>
      <c r="G202" s="252"/>
      <c r="H202" s="168"/>
      <c r="I202" s="161"/>
      <c r="J202" s="250"/>
      <c r="K202" s="235"/>
      <c r="L202" s="91"/>
      <c r="M202" s="92"/>
    </row>
    <row r="203" spans="1:13" s="45" customFormat="1" ht="8.5500000000000007" customHeight="1" x14ac:dyDescent="0.2">
      <c r="A203" s="98"/>
      <c r="B203" s="183" t="s">
        <v>1223</v>
      </c>
      <c r="C203" s="183"/>
      <c r="D203" s="183"/>
      <c r="E203" s="183"/>
      <c r="F203" s="184"/>
      <c r="G203" s="251">
        <v>1996</v>
      </c>
      <c r="H203" s="167">
        <v>96</v>
      </c>
      <c r="I203" s="160"/>
      <c r="J203" s="249">
        <v>18</v>
      </c>
      <c r="K203" s="234">
        <v>1</v>
      </c>
      <c r="L203" s="91"/>
      <c r="M203" s="92"/>
    </row>
    <row r="204" spans="1:13" s="45" customFormat="1" ht="8.5500000000000007" customHeight="1" x14ac:dyDescent="0.2">
      <c r="A204" s="98"/>
      <c r="B204" s="185"/>
      <c r="C204" s="185"/>
      <c r="D204" s="185"/>
      <c r="E204" s="185"/>
      <c r="F204" s="186"/>
      <c r="G204" s="252"/>
      <c r="H204" s="168"/>
      <c r="I204" s="161"/>
      <c r="J204" s="250"/>
      <c r="K204" s="235"/>
      <c r="L204" s="91"/>
      <c r="M204" s="92"/>
    </row>
    <row r="205" spans="1:13" s="45" customFormat="1" ht="8.5500000000000007" customHeight="1" x14ac:dyDescent="0.2">
      <c r="A205" s="98"/>
      <c r="B205" s="183" t="s">
        <v>1223</v>
      </c>
      <c r="C205" s="183"/>
      <c r="D205" s="183"/>
      <c r="E205" s="183"/>
      <c r="F205" s="184"/>
      <c r="G205" s="251">
        <v>1999</v>
      </c>
      <c r="H205" s="167" t="s">
        <v>633</v>
      </c>
      <c r="I205" s="160"/>
      <c r="J205" s="249">
        <v>18</v>
      </c>
      <c r="K205" s="234">
        <v>1</v>
      </c>
      <c r="L205" s="91"/>
      <c r="M205" s="92"/>
    </row>
    <row r="206" spans="1:13" s="45" customFormat="1" ht="8.5500000000000007" customHeight="1" x14ac:dyDescent="0.2">
      <c r="A206" s="98"/>
      <c r="B206" s="185"/>
      <c r="C206" s="185"/>
      <c r="D206" s="185"/>
      <c r="E206" s="185"/>
      <c r="F206" s="186"/>
      <c r="G206" s="252"/>
      <c r="H206" s="168"/>
      <c r="I206" s="161"/>
      <c r="J206" s="250"/>
      <c r="K206" s="235"/>
      <c r="L206" s="91"/>
      <c r="M206" s="92"/>
    </row>
    <row r="207" spans="1:13" s="45" customFormat="1" ht="8.5500000000000007" customHeight="1" x14ac:dyDescent="0.2">
      <c r="A207" s="98"/>
      <c r="B207" s="183" t="s">
        <v>1223</v>
      </c>
      <c r="C207" s="183"/>
      <c r="D207" s="183"/>
      <c r="E207" s="183"/>
      <c r="F207" s="184"/>
      <c r="G207" s="251">
        <v>2002</v>
      </c>
      <c r="H207" s="167">
        <v>95</v>
      </c>
      <c r="I207" s="160"/>
      <c r="J207" s="249">
        <v>18</v>
      </c>
      <c r="K207" s="234">
        <v>1</v>
      </c>
      <c r="L207" s="91"/>
      <c r="M207" s="92"/>
    </row>
    <row r="208" spans="1:13" s="45" customFormat="1" ht="8.5500000000000007" customHeight="1" x14ac:dyDescent="0.2">
      <c r="A208" s="98"/>
      <c r="B208" s="185"/>
      <c r="C208" s="185"/>
      <c r="D208" s="185"/>
      <c r="E208" s="185"/>
      <c r="F208" s="186"/>
      <c r="G208" s="252"/>
      <c r="H208" s="168"/>
      <c r="I208" s="161"/>
      <c r="J208" s="250"/>
      <c r="K208" s="235"/>
      <c r="L208" s="91"/>
      <c r="M208" s="92"/>
    </row>
    <row r="209" spans="1:13" s="45" customFormat="1" ht="8.5500000000000007" customHeight="1" x14ac:dyDescent="0.2">
      <c r="A209" s="98"/>
      <c r="B209" s="183" t="s">
        <v>1223</v>
      </c>
      <c r="C209" s="183"/>
      <c r="D209" s="183"/>
      <c r="E209" s="183"/>
      <c r="F209" s="184"/>
      <c r="G209" s="251">
        <v>2005</v>
      </c>
      <c r="H209" s="167">
        <v>96</v>
      </c>
      <c r="I209" s="160"/>
      <c r="J209" s="249">
        <v>18</v>
      </c>
      <c r="K209" s="234">
        <v>1</v>
      </c>
      <c r="L209" s="91"/>
      <c r="M209" s="92"/>
    </row>
    <row r="210" spans="1:13" s="45" customFormat="1" ht="8.5500000000000007" customHeight="1" x14ac:dyDescent="0.2">
      <c r="A210" s="98"/>
      <c r="B210" s="185"/>
      <c r="C210" s="185"/>
      <c r="D210" s="185"/>
      <c r="E210" s="185"/>
      <c r="F210" s="186"/>
      <c r="G210" s="252"/>
      <c r="H210" s="168"/>
      <c r="I210" s="161"/>
      <c r="J210" s="250"/>
      <c r="K210" s="235"/>
      <c r="L210" s="91"/>
      <c r="M210" s="92"/>
    </row>
    <row r="211" spans="1:13" s="45" customFormat="1" ht="8.5500000000000007" customHeight="1" x14ac:dyDescent="0.2">
      <c r="A211" s="98"/>
      <c r="B211" s="201" t="s">
        <v>1224</v>
      </c>
      <c r="C211" s="201"/>
      <c r="D211" s="201"/>
      <c r="E211" s="201"/>
      <c r="F211" s="157"/>
      <c r="G211" s="251">
        <v>2013</v>
      </c>
      <c r="H211" s="167" t="s">
        <v>299</v>
      </c>
      <c r="I211" s="160"/>
      <c r="J211" s="249"/>
      <c r="K211" s="234">
        <v>1</v>
      </c>
      <c r="L211" s="91"/>
      <c r="M211" s="92"/>
    </row>
    <row r="212" spans="1:13" s="45" customFormat="1" ht="8.5500000000000007" customHeight="1" x14ac:dyDescent="0.2">
      <c r="A212" s="98"/>
      <c r="B212" s="158"/>
      <c r="C212" s="158"/>
      <c r="D212" s="158"/>
      <c r="E212" s="158"/>
      <c r="F212" s="159"/>
      <c r="G212" s="252"/>
      <c r="H212" s="168"/>
      <c r="I212" s="161"/>
      <c r="J212" s="250"/>
      <c r="K212" s="235"/>
      <c r="L212" s="91"/>
      <c r="M212" s="92"/>
    </row>
    <row r="213" spans="1:13" s="45" customFormat="1" ht="8.5500000000000007" customHeight="1" x14ac:dyDescent="0.2">
      <c r="A213" s="98"/>
      <c r="B213" s="156" t="s">
        <v>1225</v>
      </c>
      <c r="C213" s="156"/>
      <c r="D213" s="156"/>
      <c r="E213" s="156"/>
      <c r="F213" s="157"/>
      <c r="G213" s="251">
        <v>2006</v>
      </c>
      <c r="H213" s="167">
        <v>89</v>
      </c>
      <c r="I213" s="160">
        <v>95</v>
      </c>
      <c r="J213" s="249">
        <v>15.5</v>
      </c>
      <c r="K213" s="234">
        <v>1</v>
      </c>
      <c r="L213" s="91"/>
      <c r="M213" s="92"/>
    </row>
    <row r="214" spans="1:13" s="45" customFormat="1" ht="8.5500000000000007" customHeight="1" x14ac:dyDescent="0.2">
      <c r="A214" s="98"/>
      <c r="B214" s="158"/>
      <c r="C214" s="158"/>
      <c r="D214" s="158"/>
      <c r="E214" s="158"/>
      <c r="F214" s="159"/>
      <c r="G214" s="252"/>
      <c r="H214" s="168"/>
      <c r="I214" s="161"/>
      <c r="J214" s="250"/>
      <c r="K214" s="235"/>
      <c r="L214" s="91"/>
      <c r="M214" s="92"/>
    </row>
    <row r="215" spans="1:13" s="45" customFormat="1" ht="8.5500000000000007" customHeight="1" x14ac:dyDescent="0.2">
      <c r="A215" s="98"/>
      <c r="B215" s="156" t="s">
        <v>1225</v>
      </c>
      <c r="C215" s="156"/>
      <c r="D215" s="156"/>
      <c r="E215" s="156"/>
      <c r="F215" s="157"/>
      <c r="G215" s="251">
        <v>2009</v>
      </c>
      <c r="H215" s="167" t="s">
        <v>556</v>
      </c>
      <c r="I215" s="160"/>
      <c r="J215" s="249">
        <v>15</v>
      </c>
      <c r="K215" s="234">
        <v>2</v>
      </c>
      <c r="L215" s="91"/>
      <c r="M215" s="92"/>
    </row>
    <row r="216" spans="1:13" s="45" customFormat="1" ht="8.5500000000000007" customHeight="1" x14ac:dyDescent="0.2">
      <c r="A216" s="98"/>
      <c r="B216" s="158"/>
      <c r="C216" s="158"/>
      <c r="D216" s="158"/>
      <c r="E216" s="158"/>
      <c r="F216" s="159"/>
      <c r="G216" s="252"/>
      <c r="H216" s="168"/>
      <c r="I216" s="161"/>
      <c r="J216" s="250"/>
      <c r="K216" s="235"/>
      <c r="L216" s="91"/>
      <c r="M216" s="92"/>
    </row>
    <row r="217" spans="1:13" s="45" customFormat="1" ht="8.5500000000000007" customHeight="1" x14ac:dyDescent="0.2">
      <c r="A217" s="98"/>
      <c r="B217" s="156" t="s">
        <v>1225</v>
      </c>
      <c r="C217" s="156"/>
      <c r="D217" s="156"/>
      <c r="E217" s="156"/>
      <c r="F217" s="157"/>
      <c r="G217" s="251">
        <v>2014</v>
      </c>
      <c r="H217" s="167" t="s">
        <v>1956</v>
      </c>
      <c r="I217" s="160"/>
      <c r="J217" s="249"/>
      <c r="K217" s="234">
        <v>1</v>
      </c>
      <c r="L217" s="91"/>
      <c r="M217" s="92"/>
    </row>
    <row r="218" spans="1:13" s="45" customFormat="1" ht="8.5500000000000007" customHeight="1" x14ac:dyDescent="0.2">
      <c r="A218" s="98"/>
      <c r="B218" s="158"/>
      <c r="C218" s="158"/>
      <c r="D218" s="158"/>
      <c r="E218" s="158"/>
      <c r="F218" s="159"/>
      <c r="G218" s="252"/>
      <c r="H218" s="168"/>
      <c r="I218" s="161"/>
      <c r="J218" s="250"/>
      <c r="K218" s="235"/>
      <c r="L218" s="91"/>
      <c r="M218" s="92"/>
    </row>
    <row r="219" spans="1:13" s="45" customFormat="1" ht="8.5500000000000007" customHeight="1" x14ac:dyDescent="0.2">
      <c r="A219" s="98"/>
      <c r="B219" s="172" t="s">
        <v>1253</v>
      </c>
      <c r="C219" s="172"/>
      <c r="D219" s="172"/>
      <c r="E219" s="172"/>
      <c r="F219" s="173"/>
      <c r="G219" s="251">
        <v>1995</v>
      </c>
      <c r="H219" s="167" t="s">
        <v>373</v>
      </c>
      <c r="I219" s="160"/>
      <c r="J219" s="249">
        <v>18.5</v>
      </c>
      <c r="K219" s="234">
        <v>1</v>
      </c>
      <c r="L219" s="91"/>
      <c r="M219" s="92"/>
    </row>
    <row r="220" spans="1:13" s="45" customFormat="1" ht="8.5500000000000007" customHeight="1" x14ac:dyDescent="0.2">
      <c r="A220" s="98"/>
      <c r="B220" s="174"/>
      <c r="C220" s="174"/>
      <c r="D220" s="174"/>
      <c r="E220" s="174"/>
      <c r="F220" s="175"/>
      <c r="G220" s="252"/>
      <c r="H220" s="168"/>
      <c r="I220" s="161"/>
      <c r="J220" s="250"/>
      <c r="K220" s="235"/>
      <c r="L220" s="91"/>
      <c r="M220" s="92"/>
    </row>
    <row r="221" spans="1:13" s="45" customFormat="1" ht="8.5500000000000007" customHeight="1" x14ac:dyDescent="0.2">
      <c r="A221" s="98"/>
      <c r="B221" s="156" t="s">
        <v>1253</v>
      </c>
      <c r="C221" s="156"/>
      <c r="D221" s="156"/>
      <c r="E221" s="156"/>
      <c r="F221" s="157"/>
      <c r="G221" s="251">
        <v>1997</v>
      </c>
      <c r="H221" s="167" t="s">
        <v>304</v>
      </c>
      <c r="I221" s="160"/>
      <c r="J221" s="249">
        <v>17</v>
      </c>
      <c r="K221" s="234">
        <v>1</v>
      </c>
      <c r="L221" s="91"/>
      <c r="M221" s="92"/>
    </row>
    <row r="222" spans="1:13" s="45" customFormat="1" ht="8.5500000000000007" customHeight="1" x14ac:dyDescent="0.2">
      <c r="A222" s="98"/>
      <c r="B222" s="158"/>
      <c r="C222" s="158"/>
      <c r="D222" s="158"/>
      <c r="E222" s="158"/>
      <c r="F222" s="159"/>
      <c r="G222" s="252"/>
      <c r="H222" s="168"/>
      <c r="I222" s="161"/>
      <c r="J222" s="250"/>
      <c r="K222" s="235"/>
      <c r="L222" s="91"/>
      <c r="M222" s="92"/>
    </row>
    <row r="223" spans="1:13" s="45" customFormat="1" ht="8.5500000000000007" customHeight="1" x14ac:dyDescent="0.2">
      <c r="A223" s="98"/>
      <c r="B223" s="156" t="s">
        <v>1253</v>
      </c>
      <c r="C223" s="156"/>
      <c r="D223" s="156"/>
      <c r="E223" s="156"/>
      <c r="F223" s="157"/>
      <c r="G223" s="251">
        <v>2001</v>
      </c>
      <c r="H223" s="167">
        <v>92</v>
      </c>
      <c r="I223" s="160"/>
      <c r="J223" s="249">
        <v>19</v>
      </c>
      <c r="K223" s="234">
        <v>1</v>
      </c>
      <c r="L223" s="91"/>
      <c r="M223" s="92"/>
    </row>
    <row r="224" spans="1:13" s="45" customFormat="1" ht="8.5500000000000007" customHeight="1" x14ac:dyDescent="0.2">
      <c r="A224" s="98"/>
      <c r="B224" s="158"/>
      <c r="C224" s="158"/>
      <c r="D224" s="158"/>
      <c r="E224" s="158"/>
      <c r="F224" s="159"/>
      <c r="G224" s="252"/>
      <c r="H224" s="168"/>
      <c r="I224" s="161"/>
      <c r="J224" s="250"/>
      <c r="K224" s="235"/>
      <c r="L224" s="91"/>
      <c r="M224" s="92"/>
    </row>
    <row r="225" spans="1:13" s="45" customFormat="1" ht="8.5500000000000007" customHeight="1" x14ac:dyDescent="0.2">
      <c r="A225" s="98"/>
      <c r="B225" s="156" t="s">
        <v>1253</v>
      </c>
      <c r="C225" s="156"/>
      <c r="D225" s="156"/>
      <c r="E225" s="156"/>
      <c r="F225" s="157"/>
      <c r="G225" s="251">
        <v>2002</v>
      </c>
      <c r="H225" s="167">
        <v>96</v>
      </c>
      <c r="I225" s="160"/>
      <c r="J225" s="249">
        <v>18.5</v>
      </c>
      <c r="K225" s="234">
        <v>1</v>
      </c>
      <c r="L225" s="91"/>
      <c r="M225" s="92"/>
    </row>
    <row r="226" spans="1:13" s="45" customFormat="1" ht="8.5500000000000007" customHeight="1" x14ac:dyDescent="0.2">
      <c r="A226" s="98"/>
      <c r="B226" s="158"/>
      <c r="C226" s="158"/>
      <c r="D226" s="158"/>
      <c r="E226" s="158"/>
      <c r="F226" s="159"/>
      <c r="G226" s="252"/>
      <c r="H226" s="168"/>
      <c r="I226" s="161"/>
      <c r="J226" s="250"/>
      <c r="K226" s="235"/>
      <c r="L226" s="91"/>
      <c r="M226" s="92"/>
    </row>
    <row r="227" spans="1:13" s="45" customFormat="1" ht="8.5500000000000007" customHeight="1" x14ac:dyDescent="0.2">
      <c r="A227" s="98"/>
      <c r="B227" s="156" t="s">
        <v>1253</v>
      </c>
      <c r="C227" s="156"/>
      <c r="D227" s="156"/>
      <c r="E227" s="156"/>
      <c r="F227" s="157"/>
      <c r="G227" s="251">
        <v>2003</v>
      </c>
      <c r="H227" s="167">
        <v>91</v>
      </c>
      <c r="I227" s="160"/>
      <c r="J227" s="249">
        <v>17</v>
      </c>
      <c r="K227" s="234">
        <v>1</v>
      </c>
      <c r="L227" s="91"/>
      <c r="M227" s="92"/>
    </row>
    <row r="228" spans="1:13" s="45" customFormat="1" ht="8.5500000000000007" customHeight="1" x14ac:dyDescent="0.2">
      <c r="A228" s="98"/>
      <c r="B228" s="158"/>
      <c r="C228" s="158"/>
      <c r="D228" s="158"/>
      <c r="E228" s="158"/>
      <c r="F228" s="159"/>
      <c r="G228" s="252"/>
      <c r="H228" s="168"/>
      <c r="I228" s="161"/>
      <c r="J228" s="250"/>
      <c r="K228" s="235"/>
      <c r="L228" s="91"/>
      <c r="M228" s="92"/>
    </row>
    <row r="229" spans="1:13" s="45" customFormat="1" ht="8.5500000000000007" customHeight="1" x14ac:dyDescent="0.2">
      <c r="A229" s="98"/>
      <c r="B229" s="156" t="s">
        <v>1253</v>
      </c>
      <c r="C229" s="156"/>
      <c r="D229" s="156"/>
      <c r="E229" s="156"/>
      <c r="F229" s="157"/>
      <c r="G229" s="251">
        <v>2005</v>
      </c>
      <c r="H229" s="167">
        <v>97</v>
      </c>
      <c r="I229" s="160"/>
      <c r="J229" s="249">
        <v>18.5</v>
      </c>
      <c r="K229" s="234">
        <v>2</v>
      </c>
      <c r="L229" s="91"/>
      <c r="M229" s="92"/>
    </row>
    <row r="230" spans="1:13" s="45" customFormat="1" ht="8.5500000000000007" customHeight="1" x14ac:dyDescent="0.2">
      <c r="A230" s="98"/>
      <c r="B230" s="158"/>
      <c r="C230" s="158"/>
      <c r="D230" s="158"/>
      <c r="E230" s="158"/>
      <c r="F230" s="159"/>
      <c r="G230" s="252"/>
      <c r="H230" s="168"/>
      <c r="I230" s="161"/>
      <c r="J230" s="250"/>
      <c r="K230" s="235"/>
      <c r="L230" s="91"/>
      <c r="M230" s="92"/>
    </row>
    <row r="231" spans="1:13" s="45" customFormat="1" ht="8.5500000000000007" customHeight="1" x14ac:dyDescent="0.2">
      <c r="A231" s="98"/>
      <c r="B231" s="156" t="s">
        <v>1734</v>
      </c>
      <c r="C231" s="156"/>
      <c r="D231" s="156"/>
      <c r="E231" s="156"/>
      <c r="F231" s="157"/>
      <c r="G231" s="251">
        <v>1999</v>
      </c>
      <c r="H231" s="167" t="s">
        <v>1735</v>
      </c>
      <c r="I231" s="160"/>
      <c r="J231" s="249"/>
      <c r="K231" s="234">
        <v>1</v>
      </c>
      <c r="L231" s="91"/>
      <c r="M231" s="92"/>
    </row>
    <row r="232" spans="1:13" s="45" customFormat="1" ht="8.5500000000000007" customHeight="1" x14ac:dyDescent="0.2">
      <c r="A232" s="98"/>
      <c r="B232" s="158"/>
      <c r="C232" s="158"/>
      <c r="D232" s="158"/>
      <c r="E232" s="158"/>
      <c r="F232" s="159"/>
      <c r="G232" s="252"/>
      <c r="H232" s="168"/>
      <c r="I232" s="161"/>
      <c r="J232" s="250"/>
      <c r="K232" s="235"/>
      <c r="L232" s="91"/>
      <c r="M232" s="92"/>
    </row>
    <row r="233" spans="1:13" s="45" customFormat="1" ht="8.5500000000000007" customHeight="1" x14ac:dyDescent="0.2">
      <c r="A233" s="98"/>
      <c r="B233" s="156" t="s">
        <v>1226</v>
      </c>
      <c r="C233" s="156"/>
      <c r="D233" s="156"/>
      <c r="E233" s="156"/>
      <c r="F233" s="157"/>
      <c r="G233" s="251">
        <v>2002</v>
      </c>
      <c r="H233" s="167" t="s">
        <v>688</v>
      </c>
      <c r="I233" s="160"/>
      <c r="J233" s="249"/>
      <c r="K233" s="234">
        <v>3</v>
      </c>
      <c r="L233" s="91"/>
      <c r="M233" s="92"/>
    </row>
    <row r="234" spans="1:13" s="45" customFormat="1" ht="8.5500000000000007" customHeight="1" x14ac:dyDescent="0.2">
      <c r="A234" s="98"/>
      <c r="B234" s="158"/>
      <c r="C234" s="158"/>
      <c r="D234" s="158"/>
      <c r="E234" s="158"/>
      <c r="F234" s="159"/>
      <c r="G234" s="252"/>
      <c r="H234" s="168"/>
      <c r="I234" s="161"/>
      <c r="J234" s="250"/>
      <c r="K234" s="235"/>
      <c r="L234" s="91"/>
      <c r="M234" s="92"/>
    </row>
    <row r="235" spans="1:13" s="45" customFormat="1" ht="8.5500000000000007" customHeight="1" x14ac:dyDescent="0.2">
      <c r="A235" s="98"/>
      <c r="B235" s="170" t="s">
        <v>272</v>
      </c>
      <c r="C235" s="170"/>
      <c r="D235" s="170"/>
      <c r="E235" s="170"/>
      <c r="F235" s="170"/>
      <c r="G235" s="62"/>
      <c r="H235" s="62"/>
      <c r="I235" s="62"/>
      <c r="J235" s="115"/>
      <c r="K235" s="164"/>
      <c r="L235" s="91"/>
      <c r="M235" s="92"/>
    </row>
    <row r="236" spans="1:13" s="45" customFormat="1" ht="8.5500000000000007" customHeight="1" x14ac:dyDescent="0.2">
      <c r="A236" s="98"/>
      <c r="B236" s="171"/>
      <c r="C236" s="171"/>
      <c r="D236" s="171"/>
      <c r="E236" s="171"/>
      <c r="F236" s="171"/>
      <c r="G236" s="63"/>
      <c r="H236" s="63"/>
      <c r="I236" s="63"/>
      <c r="J236" s="116"/>
      <c r="K236" s="165"/>
      <c r="L236" s="91"/>
      <c r="M236" s="92"/>
    </row>
    <row r="237" spans="1:13" s="45" customFormat="1" ht="8.5500000000000007" customHeight="1" x14ac:dyDescent="0.2">
      <c r="A237" s="98"/>
      <c r="B237" s="156" t="s">
        <v>1226</v>
      </c>
      <c r="C237" s="156"/>
      <c r="D237" s="156"/>
      <c r="E237" s="156"/>
      <c r="F237" s="157"/>
      <c r="G237" s="251">
        <v>2005</v>
      </c>
      <c r="H237" s="167" t="s">
        <v>299</v>
      </c>
      <c r="I237" s="160"/>
      <c r="J237" s="249"/>
      <c r="K237" s="234">
        <v>2</v>
      </c>
      <c r="L237" s="91"/>
      <c r="M237" s="92"/>
    </row>
    <row r="238" spans="1:13" s="45" customFormat="1" ht="8.5500000000000007" customHeight="1" x14ac:dyDescent="0.2">
      <c r="A238" s="98"/>
      <c r="B238" s="158"/>
      <c r="C238" s="158"/>
      <c r="D238" s="158"/>
      <c r="E238" s="158"/>
      <c r="F238" s="159"/>
      <c r="G238" s="252"/>
      <c r="H238" s="168"/>
      <c r="I238" s="161"/>
      <c r="J238" s="250"/>
      <c r="K238" s="235"/>
      <c r="L238" s="91"/>
      <c r="M238" s="92"/>
    </row>
    <row r="239" spans="1:13" s="45" customFormat="1" ht="8.5500000000000007" customHeight="1" x14ac:dyDescent="0.2">
      <c r="A239" s="98"/>
      <c r="B239" s="156" t="s">
        <v>1226</v>
      </c>
      <c r="C239" s="156"/>
      <c r="D239" s="156"/>
      <c r="E239" s="156"/>
      <c r="F239" s="157"/>
      <c r="G239" s="251">
        <v>2007</v>
      </c>
      <c r="H239" s="167"/>
      <c r="I239" s="160"/>
      <c r="J239" s="249"/>
      <c r="K239" s="234">
        <v>3</v>
      </c>
      <c r="L239" s="91"/>
      <c r="M239" s="92"/>
    </row>
    <row r="240" spans="1:13" s="45" customFormat="1" ht="8.5500000000000007" customHeight="1" x14ac:dyDescent="0.2">
      <c r="A240" s="98"/>
      <c r="B240" s="158"/>
      <c r="C240" s="158"/>
      <c r="D240" s="158"/>
      <c r="E240" s="158"/>
      <c r="F240" s="159"/>
      <c r="G240" s="252"/>
      <c r="H240" s="168"/>
      <c r="I240" s="161"/>
      <c r="J240" s="250"/>
      <c r="K240" s="235"/>
      <c r="L240" s="91"/>
      <c r="M240" s="92"/>
    </row>
    <row r="241" spans="1:13" s="45" customFormat="1" ht="8.5500000000000007" customHeight="1" x14ac:dyDescent="0.2">
      <c r="A241" s="98"/>
      <c r="B241" s="156" t="s">
        <v>1226</v>
      </c>
      <c r="C241" s="156"/>
      <c r="D241" s="156"/>
      <c r="E241" s="156"/>
      <c r="F241" s="157"/>
      <c r="G241" s="251">
        <v>2010</v>
      </c>
      <c r="H241" s="167" t="s">
        <v>1566</v>
      </c>
      <c r="I241" s="160"/>
      <c r="J241" s="249"/>
      <c r="K241" s="234">
        <v>2</v>
      </c>
      <c r="L241" s="91"/>
      <c r="M241" s="92"/>
    </row>
    <row r="242" spans="1:13" s="45" customFormat="1" ht="8.5500000000000007" customHeight="1" x14ac:dyDescent="0.2">
      <c r="A242" s="98"/>
      <c r="B242" s="158"/>
      <c r="C242" s="158"/>
      <c r="D242" s="158"/>
      <c r="E242" s="158"/>
      <c r="F242" s="159"/>
      <c r="G242" s="252"/>
      <c r="H242" s="168"/>
      <c r="I242" s="161"/>
      <c r="J242" s="250"/>
      <c r="K242" s="235"/>
      <c r="L242" s="91"/>
      <c r="M242" s="92"/>
    </row>
    <row r="243" spans="1:13" s="45" customFormat="1" ht="8.5500000000000007" customHeight="1" x14ac:dyDescent="0.2">
      <c r="A243" s="98"/>
      <c r="B243" s="172" t="s">
        <v>1270</v>
      </c>
      <c r="C243" s="172"/>
      <c r="D243" s="172"/>
      <c r="E243" s="172"/>
      <c r="F243" s="173"/>
      <c r="G243" s="251">
        <v>2003</v>
      </c>
      <c r="H243" s="167">
        <v>95</v>
      </c>
      <c r="I243" s="160"/>
      <c r="J243" s="249"/>
      <c r="K243" s="234">
        <v>1</v>
      </c>
      <c r="L243" s="91"/>
      <c r="M243" s="92"/>
    </row>
    <row r="244" spans="1:13" s="45" customFormat="1" ht="8.5500000000000007" customHeight="1" x14ac:dyDescent="0.2">
      <c r="A244" s="98"/>
      <c r="B244" s="174"/>
      <c r="C244" s="174"/>
      <c r="D244" s="174"/>
      <c r="E244" s="174"/>
      <c r="F244" s="175"/>
      <c r="G244" s="252"/>
      <c r="H244" s="168"/>
      <c r="I244" s="161"/>
      <c r="J244" s="250"/>
      <c r="K244" s="235"/>
      <c r="L244" s="91"/>
      <c r="M244" s="92"/>
    </row>
    <row r="245" spans="1:13" s="45" customFormat="1" ht="8.5500000000000007" customHeight="1" x14ac:dyDescent="0.2">
      <c r="A245" s="98"/>
      <c r="B245" s="156" t="s">
        <v>1270</v>
      </c>
      <c r="C245" s="156"/>
      <c r="D245" s="156"/>
      <c r="E245" s="156"/>
      <c r="F245" s="157"/>
      <c r="G245" s="251">
        <v>2006</v>
      </c>
      <c r="H245" s="167">
        <v>94</v>
      </c>
      <c r="I245" s="160"/>
      <c r="J245" s="249"/>
      <c r="K245" s="234">
        <v>1</v>
      </c>
      <c r="L245" s="91"/>
      <c r="M245" s="92"/>
    </row>
    <row r="246" spans="1:13" s="45" customFormat="1" ht="8.5500000000000007" customHeight="1" x14ac:dyDescent="0.2">
      <c r="A246" s="98"/>
      <c r="B246" s="158"/>
      <c r="C246" s="158"/>
      <c r="D246" s="158"/>
      <c r="E246" s="158"/>
      <c r="F246" s="159"/>
      <c r="G246" s="252"/>
      <c r="H246" s="168"/>
      <c r="I246" s="161"/>
      <c r="J246" s="250"/>
      <c r="K246" s="235"/>
      <c r="L246" s="91"/>
      <c r="M246" s="92"/>
    </row>
    <row r="247" spans="1:13" s="45" customFormat="1" ht="8.5500000000000007" customHeight="1" x14ac:dyDescent="0.2">
      <c r="A247" s="98"/>
      <c r="B247" s="156" t="s">
        <v>1169</v>
      </c>
      <c r="C247" s="156"/>
      <c r="D247" s="156"/>
      <c r="E247" s="156"/>
      <c r="F247" s="157"/>
      <c r="G247" s="251">
        <v>1995</v>
      </c>
      <c r="H247" s="167">
        <v>97</v>
      </c>
      <c r="I247" s="160"/>
      <c r="J247" s="249">
        <v>20</v>
      </c>
      <c r="K247" s="234">
        <v>1</v>
      </c>
      <c r="L247" s="91"/>
      <c r="M247" s="92"/>
    </row>
    <row r="248" spans="1:13" s="45" customFormat="1" ht="8.5500000000000007" customHeight="1" x14ac:dyDescent="0.2">
      <c r="A248" s="98"/>
      <c r="B248" s="158"/>
      <c r="C248" s="158"/>
      <c r="D248" s="158"/>
      <c r="E248" s="158"/>
      <c r="F248" s="159"/>
      <c r="G248" s="252"/>
      <c r="H248" s="168"/>
      <c r="I248" s="161"/>
      <c r="J248" s="250"/>
      <c r="K248" s="235"/>
      <c r="L248" s="91"/>
      <c r="M248" s="92"/>
    </row>
    <row r="249" spans="1:13" s="45" customFormat="1" ht="8.5500000000000007" customHeight="1" x14ac:dyDescent="0.2">
      <c r="A249" s="98"/>
      <c r="B249" s="156" t="s">
        <v>1169</v>
      </c>
      <c r="C249" s="156"/>
      <c r="D249" s="156"/>
      <c r="E249" s="156"/>
      <c r="F249" s="157"/>
      <c r="G249" s="251">
        <v>1997</v>
      </c>
      <c r="H249" s="167">
        <v>93</v>
      </c>
      <c r="I249" s="160"/>
      <c r="J249" s="249"/>
      <c r="K249" s="234">
        <v>2</v>
      </c>
      <c r="L249" s="91"/>
      <c r="M249" s="92"/>
    </row>
    <row r="250" spans="1:13" s="45" customFormat="1" ht="8.5500000000000007" customHeight="1" x14ac:dyDescent="0.2">
      <c r="A250" s="98"/>
      <c r="B250" s="158"/>
      <c r="C250" s="158"/>
      <c r="D250" s="158"/>
      <c r="E250" s="158"/>
      <c r="F250" s="159"/>
      <c r="G250" s="252"/>
      <c r="H250" s="168"/>
      <c r="I250" s="161"/>
      <c r="J250" s="250"/>
      <c r="K250" s="235"/>
      <c r="L250" s="91"/>
      <c r="M250" s="92"/>
    </row>
    <row r="251" spans="1:13" s="45" customFormat="1" ht="8.5500000000000007" customHeight="1" x14ac:dyDescent="0.2">
      <c r="A251" s="98"/>
      <c r="B251" s="156" t="s">
        <v>1169</v>
      </c>
      <c r="C251" s="156"/>
      <c r="D251" s="156"/>
      <c r="E251" s="156"/>
      <c r="F251" s="157"/>
      <c r="G251" s="251">
        <v>2002</v>
      </c>
      <c r="H251" s="167">
        <v>93</v>
      </c>
      <c r="I251" s="160"/>
      <c r="J251" s="249">
        <v>19.5</v>
      </c>
      <c r="K251" s="234">
        <v>1</v>
      </c>
      <c r="L251" s="91"/>
      <c r="M251" s="92"/>
    </row>
    <row r="252" spans="1:13" s="45" customFormat="1" ht="8.5500000000000007" customHeight="1" x14ac:dyDescent="0.2">
      <c r="A252" s="98"/>
      <c r="B252" s="158"/>
      <c r="C252" s="158"/>
      <c r="D252" s="158"/>
      <c r="E252" s="158"/>
      <c r="F252" s="159"/>
      <c r="G252" s="252"/>
      <c r="H252" s="168"/>
      <c r="I252" s="161"/>
      <c r="J252" s="250"/>
      <c r="K252" s="235"/>
      <c r="L252" s="91"/>
      <c r="M252" s="92"/>
    </row>
    <row r="253" spans="1:13" s="45" customFormat="1" ht="8.5500000000000007" customHeight="1" x14ac:dyDescent="0.2">
      <c r="A253" s="98"/>
      <c r="B253" s="156" t="s">
        <v>1169</v>
      </c>
      <c r="C253" s="156"/>
      <c r="D253" s="156"/>
      <c r="E253" s="156"/>
      <c r="F253" s="157"/>
      <c r="G253" s="251">
        <v>2005</v>
      </c>
      <c r="H253" s="167" t="s">
        <v>183</v>
      </c>
      <c r="I253" s="160"/>
      <c r="J253" s="249">
        <v>19.5</v>
      </c>
      <c r="K253" s="234">
        <v>2</v>
      </c>
      <c r="L253" s="91"/>
      <c r="M253" s="92"/>
    </row>
    <row r="254" spans="1:13" s="45" customFormat="1" ht="8.5500000000000007" customHeight="1" x14ac:dyDescent="0.2">
      <c r="A254" s="98"/>
      <c r="B254" s="158"/>
      <c r="C254" s="158"/>
      <c r="D254" s="158"/>
      <c r="E254" s="158"/>
      <c r="F254" s="159"/>
      <c r="G254" s="252"/>
      <c r="H254" s="168"/>
      <c r="I254" s="161"/>
      <c r="J254" s="250"/>
      <c r="K254" s="235"/>
      <c r="L254" s="91"/>
      <c r="M254" s="92"/>
    </row>
    <row r="255" spans="1:13" s="45" customFormat="1" ht="8.5500000000000007" customHeight="1" x14ac:dyDescent="0.2">
      <c r="A255" s="98"/>
      <c r="B255" s="156" t="s">
        <v>1169</v>
      </c>
      <c r="C255" s="156"/>
      <c r="D255" s="156"/>
      <c r="E255" s="156"/>
      <c r="F255" s="157"/>
      <c r="G255" s="251">
        <v>2009</v>
      </c>
      <c r="H255" s="167" t="s">
        <v>629</v>
      </c>
      <c r="I255" s="160"/>
      <c r="J255" s="249">
        <v>17.5</v>
      </c>
      <c r="K255" s="234">
        <v>2</v>
      </c>
      <c r="L255" s="91"/>
      <c r="M255" s="92"/>
    </row>
    <row r="256" spans="1:13" s="45" customFormat="1" ht="8.5500000000000007" customHeight="1" x14ac:dyDescent="0.2">
      <c r="A256" s="98"/>
      <c r="B256" s="158"/>
      <c r="C256" s="158"/>
      <c r="D256" s="158"/>
      <c r="E256" s="158"/>
      <c r="F256" s="159"/>
      <c r="G256" s="252"/>
      <c r="H256" s="168"/>
      <c r="I256" s="161"/>
      <c r="J256" s="250"/>
      <c r="K256" s="235"/>
      <c r="L256" s="91"/>
      <c r="M256" s="92"/>
    </row>
    <row r="257" spans="1:13" s="45" customFormat="1" ht="8.5500000000000007" customHeight="1" x14ac:dyDescent="0.2">
      <c r="A257" s="98"/>
      <c r="B257" s="156" t="s">
        <v>1170</v>
      </c>
      <c r="C257" s="156"/>
      <c r="D257" s="156"/>
      <c r="E257" s="156"/>
      <c r="F257" s="157"/>
      <c r="G257" s="251">
        <v>2005</v>
      </c>
      <c r="H257" s="167" t="s">
        <v>2</v>
      </c>
      <c r="I257" s="160"/>
      <c r="J257" s="249">
        <v>17</v>
      </c>
      <c r="K257" s="234">
        <v>2</v>
      </c>
      <c r="L257" s="91"/>
      <c r="M257" s="92"/>
    </row>
    <row r="258" spans="1:13" s="45" customFormat="1" ht="8.5500000000000007" customHeight="1" x14ac:dyDescent="0.2">
      <c r="A258" s="98"/>
      <c r="B258" s="158"/>
      <c r="C258" s="158"/>
      <c r="D258" s="158"/>
      <c r="E258" s="158"/>
      <c r="F258" s="159"/>
      <c r="G258" s="252"/>
      <c r="H258" s="168"/>
      <c r="I258" s="161"/>
      <c r="J258" s="250"/>
      <c r="K258" s="235"/>
      <c r="L258" s="91"/>
      <c r="M258" s="92"/>
    </row>
    <row r="259" spans="1:13" s="45" customFormat="1" ht="8.5500000000000007" customHeight="1" x14ac:dyDescent="0.2">
      <c r="A259" s="98"/>
      <c r="B259" s="156" t="s">
        <v>1531</v>
      </c>
      <c r="C259" s="156"/>
      <c r="D259" s="156"/>
      <c r="E259" s="156"/>
      <c r="F259" s="157"/>
      <c r="G259" s="251">
        <v>2008</v>
      </c>
      <c r="H259" s="167">
        <v>93</v>
      </c>
      <c r="I259" s="160"/>
      <c r="J259" s="249"/>
      <c r="K259" s="234">
        <v>3</v>
      </c>
      <c r="L259" s="91"/>
      <c r="M259" s="92"/>
    </row>
    <row r="260" spans="1:13" s="45" customFormat="1" ht="8.5500000000000007" customHeight="1" x14ac:dyDescent="0.2">
      <c r="A260" s="98"/>
      <c r="B260" s="158"/>
      <c r="C260" s="158"/>
      <c r="D260" s="158"/>
      <c r="E260" s="158"/>
      <c r="F260" s="159"/>
      <c r="G260" s="252"/>
      <c r="H260" s="168"/>
      <c r="I260" s="161"/>
      <c r="J260" s="250"/>
      <c r="K260" s="235"/>
      <c r="L260" s="91"/>
      <c r="M260" s="92"/>
    </row>
    <row r="261" spans="1:13" s="45" customFormat="1" ht="8.5500000000000007" customHeight="1" x14ac:dyDescent="0.2">
      <c r="A261" s="98"/>
      <c r="B261" s="156" t="s">
        <v>1171</v>
      </c>
      <c r="C261" s="156"/>
      <c r="D261" s="156"/>
      <c r="E261" s="156"/>
      <c r="F261" s="157"/>
      <c r="G261" s="166">
        <v>1993</v>
      </c>
      <c r="H261" s="167">
        <v>96</v>
      </c>
      <c r="I261" s="160"/>
      <c r="J261" s="247"/>
      <c r="K261" s="232">
        <v>1</v>
      </c>
      <c r="L261" s="91"/>
      <c r="M261" s="92"/>
    </row>
    <row r="262" spans="1:13" s="45" customFormat="1" ht="8.5500000000000007" customHeight="1" x14ac:dyDescent="0.2">
      <c r="A262" s="98"/>
      <c r="B262" s="158"/>
      <c r="C262" s="158"/>
      <c r="D262" s="158"/>
      <c r="E262" s="158"/>
      <c r="F262" s="159"/>
      <c r="G262" s="166"/>
      <c r="H262" s="168"/>
      <c r="I262" s="161"/>
      <c r="J262" s="248"/>
      <c r="K262" s="233"/>
      <c r="L262" s="91"/>
      <c r="M262" s="92"/>
    </row>
    <row r="263" spans="1:13" s="45" customFormat="1" ht="8.5500000000000007" customHeight="1" x14ac:dyDescent="0.2">
      <c r="A263" s="98"/>
      <c r="B263" s="156" t="s">
        <v>1172</v>
      </c>
      <c r="C263" s="156"/>
      <c r="D263" s="156"/>
      <c r="E263" s="156"/>
      <c r="F263" s="157"/>
      <c r="G263" s="166">
        <v>1999</v>
      </c>
      <c r="H263" s="167">
        <v>94</v>
      </c>
      <c r="I263" s="160"/>
      <c r="J263" s="247">
        <v>17.5</v>
      </c>
      <c r="K263" s="232">
        <v>1</v>
      </c>
      <c r="L263" s="91"/>
      <c r="M263" s="92"/>
    </row>
    <row r="264" spans="1:13" s="45" customFormat="1" ht="8.5500000000000007" customHeight="1" x14ac:dyDescent="0.2">
      <c r="A264" s="98"/>
      <c r="B264" s="158"/>
      <c r="C264" s="158"/>
      <c r="D264" s="158"/>
      <c r="E264" s="158"/>
      <c r="F264" s="159"/>
      <c r="G264" s="166"/>
      <c r="H264" s="168"/>
      <c r="I264" s="161"/>
      <c r="J264" s="248"/>
      <c r="K264" s="233"/>
      <c r="L264" s="91"/>
      <c r="M264" s="92"/>
    </row>
    <row r="265" spans="1:13" s="45" customFormat="1" ht="8.5500000000000007" customHeight="1" x14ac:dyDescent="0.2">
      <c r="A265" s="98"/>
      <c r="B265" s="156" t="s">
        <v>1172</v>
      </c>
      <c r="C265" s="156"/>
      <c r="D265" s="156"/>
      <c r="E265" s="156"/>
      <c r="F265" s="157"/>
      <c r="G265" s="166">
        <v>2008</v>
      </c>
      <c r="H265" s="167">
        <v>78</v>
      </c>
      <c r="I265" s="160"/>
      <c r="J265" s="247"/>
      <c r="K265" s="232">
        <v>1</v>
      </c>
      <c r="L265" s="91"/>
      <c r="M265" s="92"/>
    </row>
    <row r="266" spans="1:13" s="45" customFormat="1" ht="8.5500000000000007" customHeight="1" x14ac:dyDescent="0.2">
      <c r="A266" s="98"/>
      <c r="B266" s="158"/>
      <c r="C266" s="158"/>
      <c r="D266" s="158"/>
      <c r="E266" s="158"/>
      <c r="F266" s="159"/>
      <c r="G266" s="166"/>
      <c r="H266" s="168"/>
      <c r="I266" s="161"/>
      <c r="J266" s="248"/>
      <c r="K266" s="233"/>
      <c r="L266" s="91"/>
      <c r="M266" s="92"/>
    </row>
    <row r="267" spans="1:13" s="45" customFormat="1" ht="8.5500000000000007" customHeight="1" x14ac:dyDescent="0.2">
      <c r="A267" s="98"/>
      <c r="B267" s="156" t="s">
        <v>1254</v>
      </c>
      <c r="C267" s="156"/>
      <c r="D267" s="156"/>
      <c r="E267" s="156"/>
      <c r="F267" s="157"/>
      <c r="G267" s="166">
        <v>1991</v>
      </c>
      <c r="H267" s="167">
        <v>97</v>
      </c>
      <c r="I267" s="160"/>
      <c r="J267" s="247">
        <v>18.5</v>
      </c>
      <c r="K267" s="232">
        <v>1</v>
      </c>
      <c r="L267" s="91"/>
      <c r="M267" s="92"/>
    </row>
    <row r="268" spans="1:13" s="45" customFormat="1" ht="8.5500000000000007" customHeight="1" x14ac:dyDescent="0.2">
      <c r="A268" s="98"/>
      <c r="B268" s="158"/>
      <c r="C268" s="158"/>
      <c r="D268" s="158"/>
      <c r="E268" s="158"/>
      <c r="F268" s="159"/>
      <c r="G268" s="166"/>
      <c r="H268" s="168"/>
      <c r="I268" s="161"/>
      <c r="J268" s="248"/>
      <c r="K268" s="233"/>
      <c r="L268" s="91"/>
      <c r="M268" s="92"/>
    </row>
    <row r="269" spans="1:13" s="45" customFormat="1" ht="8.5500000000000007" customHeight="1" x14ac:dyDescent="0.2">
      <c r="A269" s="98"/>
      <c r="B269" s="156" t="s">
        <v>1254</v>
      </c>
      <c r="C269" s="156"/>
      <c r="D269" s="156"/>
      <c r="E269" s="156"/>
      <c r="F269" s="157"/>
      <c r="G269" s="166">
        <v>1993</v>
      </c>
      <c r="H269" s="167">
        <v>96</v>
      </c>
      <c r="I269" s="160"/>
      <c r="J269" s="247">
        <v>18.5</v>
      </c>
      <c r="K269" s="232">
        <v>1</v>
      </c>
      <c r="L269" s="91"/>
      <c r="M269" s="92"/>
    </row>
    <row r="270" spans="1:13" s="45" customFormat="1" ht="8.5500000000000007" customHeight="1" x14ac:dyDescent="0.2">
      <c r="A270" s="98"/>
      <c r="B270" s="158"/>
      <c r="C270" s="158"/>
      <c r="D270" s="158"/>
      <c r="E270" s="158"/>
      <c r="F270" s="159"/>
      <c r="G270" s="166"/>
      <c r="H270" s="168"/>
      <c r="I270" s="161"/>
      <c r="J270" s="248"/>
      <c r="K270" s="233"/>
      <c r="L270" s="91"/>
      <c r="M270" s="92"/>
    </row>
    <row r="271" spans="1:13" s="45" customFormat="1" ht="8.5500000000000007" customHeight="1" x14ac:dyDescent="0.2">
      <c r="A271" s="98"/>
      <c r="B271" s="156" t="s">
        <v>1254</v>
      </c>
      <c r="C271" s="156"/>
      <c r="D271" s="156"/>
      <c r="E271" s="156"/>
      <c r="F271" s="157"/>
      <c r="G271" s="166">
        <v>1999</v>
      </c>
      <c r="H271" s="167">
        <v>95</v>
      </c>
      <c r="I271" s="160"/>
      <c r="J271" s="247">
        <v>18.5</v>
      </c>
      <c r="K271" s="232">
        <v>1</v>
      </c>
      <c r="L271" s="91"/>
      <c r="M271" s="92"/>
    </row>
    <row r="272" spans="1:13" s="45" customFormat="1" ht="8.5500000000000007" customHeight="1" x14ac:dyDescent="0.2">
      <c r="A272" s="98"/>
      <c r="B272" s="158"/>
      <c r="C272" s="158"/>
      <c r="D272" s="158"/>
      <c r="E272" s="158"/>
      <c r="F272" s="159"/>
      <c r="G272" s="166"/>
      <c r="H272" s="168"/>
      <c r="I272" s="161"/>
      <c r="J272" s="248"/>
      <c r="K272" s="233"/>
      <c r="L272" s="91"/>
      <c r="M272" s="92"/>
    </row>
    <row r="273" spans="1:13" s="45" customFormat="1" ht="8.5500000000000007" customHeight="1" x14ac:dyDescent="0.2">
      <c r="A273" s="98"/>
      <c r="B273" s="156" t="s">
        <v>1254</v>
      </c>
      <c r="C273" s="156"/>
      <c r="D273" s="156"/>
      <c r="E273" s="156"/>
      <c r="F273" s="157"/>
      <c r="G273" s="166">
        <v>2002</v>
      </c>
      <c r="H273" s="167"/>
      <c r="I273" s="160"/>
      <c r="J273" s="247">
        <v>19</v>
      </c>
      <c r="K273" s="232">
        <v>1</v>
      </c>
      <c r="L273" s="91"/>
      <c r="M273" s="92"/>
    </row>
    <row r="274" spans="1:13" s="45" customFormat="1" ht="8.5500000000000007" customHeight="1" x14ac:dyDescent="0.2">
      <c r="A274" s="98"/>
      <c r="B274" s="158"/>
      <c r="C274" s="158"/>
      <c r="D274" s="158"/>
      <c r="E274" s="158"/>
      <c r="F274" s="159"/>
      <c r="G274" s="166"/>
      <c r="H274" s="168"/>
      <c r="I274" s="161"/>
      <c r="J274" s="248"/>
      <c r="K274" s="233"/>
      <c r="L274" s="91"/>
      <c r="M274" s="92"/>
    </row>
    <row r="275" spans="1:13" s="45" customFormat="1" ht="8.5500000000000007" customHeight="1" x14ac:dyDescent="0.2">
      <c r="A275" s="98"/>
      <c r="B275" s="156" t="s">
        <v>1271</v>
      </c>
      <c r="C275" s="156"/>
      <c r="D275" s="156"/>
      <c r="E275" s="156"/>
      <c r="F275" s="157"/>
      <c r="G275" s="166">
        <v>2004</v>
      </c>
      <c r="H275" s="167"/>
      <c r="I275" s="160"/>
      <c r="J275" s="247"/>
      <c r="K275" s="232">
        <v>1</v>
      </c>
      <c r="L275" s="91"/>
      <c r="M275" s="92"/>
    </row>
    <row r="276" spans="1:13" s="45" customFormat="1" ht="8.5500000000000007" customHeight="1" x14ac:dyDescent="0.2">
      <c r="A276" s="98"/>
      <c r="B276" s="158"/>
      <c r="C276" s="158"/>
      <c r="D276" s="158"/>
      <c r="E276" s="158"/>
      <c r="F276" s="159"/>
      <c r="G276" s="166"/>
      <c r="H276" s="168"/>
      <c r="I276" s="161"/>
      <c r="J276" s="248"/>
      <c r="K276" s="233"/>
      <c r="L276" s="91"/>
      <c r="M276" s="92"/>
    </row>
    <row r="277" spans="1:13" s="45" customFormat="1" ht="8.5500000000000007" customHeight="1" x14ac:dyDescent="0.2">
      <c r="A277" s="98"/>
      <c r="B277" s="156" t="s">
        <v>1254</v>
      </c>
      <c r="C277" s="156"/>
      <c r="D277" s="156"/>
      <c r="E277" s="156"/>
      <c r="F277" s="157"/>
      <c r="G277" s="166">
        <v>2005</v>
      </c>
      <c r="H277" s="167" t="s">
        <v>1965</v>
      </c>
      <c r="I277" s="160"/>
      <c r="J277" s="247"/>
      <c r="K277" s="232">
        <v>1</v>
      </c>
      <c r="L277" s="91"/>
      <c r="M277" s="92"/>
    </row>
    <row r="278" spans="1:13" s="45" customFormat="1" ht="8.5500000000000007" customHeight="1" x14ac:dyDescent="0.2">
      <c r="A278" s="98"/>
      <c r="B278" s="158"/>
      <c r="C278" s="158"/>
      <c r="D278" s="158"/>
      <c r="E278" s="158"/>
      <c r="F278" s="159"/>
      <c r="G278" s="166"/>
      <c r="H278" s="168"/>
      <c r="I278" s="161"/>
      <c r="J278" s="248"/>
      <c r="K278" s="233"/>
      <c r="L278" s="91"/>
      <c r="M278" s="92"/>
    </row>
    <row r="279" spans="1:13" s="45" customFormat="1" ht="8.5500000000000007" customHeight="1" x14ac:dyDescent="0.2">
      <c r="A279" s="98"/>
      <c r="B279" s="156" t="s">
        <v>1271</v>
      </c>
      <c r="C279" s="156"/>
      <c r="D279" s="156"/>
      <c r="E279" s="156"/>
      <c r="F279" s="157"/>
      <c r="G279" s="166">
        <v>2014</v>
      </c>
      <c r="H279" s="167">
        <v>95</v>
      </c>
      <c r="I279" s="160"/>
      <c r="J279" s="247"/>
      <c r="K279" s="232">
        <v>1</v>
      </c>
      <c r="L279" s="91"/>
      <c r="M279" s="92"/>
    </row>
    <row r="280" spans="1:13" s="45" customFormat="1" ht="8.5500000000000007" customHeight="1" x14ac:dyDescent="0.2">
      <c r="A280" s="98"/>
      <c r="B280" s="158"/>
      <c r="C280" s="158"/>
      <c r="D280" s="158"/>
      <c r="E280" s="158"/>
      <c r="F280" s="159"/>
      <c r="G280" s="166"/>
      <c r="H280" s="168"/>
      <c r="I280" s="161"/>
      <c r="J280" s="248"/>
      <c r="K280" s="233"/>
      <c r="L280" s="91"/>
      <c r="M280" s="92"/>
    </row>
    <row r="281" spans="1:13" s="45" customFormat="1" ht="8.5500000000000007" customHeight="1" x14ac:dyDescent="0.2">
      <c r="A281" s="98"/>
      <c r="B281" s="156" t="s">
        <v>1254</v>
      </c>
      <c r="C281" s="156"/>
      <c r="D281" s="156"/>
      <c r="E281" s="156"/>
      <c r="F281" s="157"/>
      <c r="G281" s="166">
        <v>2015</v>
      </c>
      <c r="H281" s="167" t="s">
        <v>626</v>
      </c>
      <c r="I281" s="160"/>
      <c r="J281" s="247"/>
      <c r="K281" s="232">
        <v>1</v>
      </c>
      <c r="L281" s="91"/>
      <c r="M281" s="92"/>
    </row>
    <row r="282" spans="1:13" s="45" customFormat="1" ht="8.5500000000000007" customHeight="1" x14ac:dyDescent="0.2">
      <c r="A282" s="98"/>
      <c r="B282" s="158"/>
      <c r="C282" s="158"/>
      <c r="D282" s="158"/>
      <c r="E282" s="158"/>
      <c r="F282" s="159"/>
      <c r="G282" s="166"/>
      <c r="H282" s="168"/>
      <c r="I282" s="161"/>
      <c r="J282" s="248"/>
      <c r="K282" s="233"/>
      <c r="L282" s="91"/>
      <c r="M282" s="92"/>
    </row>
    <row r="283" spans="1:13" s="45" customFormat="1" ht="8.5500000000000007" customHeight="1" x14ac:dyDescent="0.2">
      <c r="A283" s="98"/>
      <c r="B283" s="156" t="s">
        <v>1173</v>
      </c>
      <c r="C283" s="156"/>
      <c r="D283" s="156"/>
      <c r="E283" s="156"/>
      <c r="F283" s="157"/>
      <c r="G283" s="166">
        <v>2005</v>
      </c>
      <c r="H283" s="167" t="s">
        <v>299</v>
      </c>
      <c r="I283" s="160"/>
      <c r="J283" s="247"/>
      <c r="K283" s="232">
        <v>2</v>
      </c>
      <c r="L283" s="91"/>
      <c r="M283" s="92"/>
    </row>
    <row r="284" spans="1:13" s="45" customFormat="1" ht="8.5500000000000007" customHeight="1" x14ac:dyDescent="0.2">
      <c r="A284" s="98"/>
      <c r="B284" s="158"/>
      <c r="C284" s="158"/>
      <c r="D284" s="158"/>
      <c r="E284" s="158"/>
      <c r="F284" s="159"/>
      <c r="G284" s="166"/>
      <c r="H284" s="168"/>
      <c r="I284" s="161"/>
      <c r="J284" s="248"/>
      <c r="K284" s="233"/>
      <c r="L284" s="91"/>
      <c r="M284" s="92"/>
    </row>
    <row r="285" spans="1:13" s="45" customFormat="1" ht="8.5500000000000007" customHeight="1" x14ac:dyDescent="0.2">
      <c r="A285" s="98"/>
      <c r="B285" s="156" t="s">
        <v>1173</v>
      </c>
      <c r="C285" s="156"/>
      <c r="D285" s="156"/>
      <c r="E285" s="156"/>
      <c r="F285" s="157"/>
      <c r="G285" s="166">
        <v>2007</v>
      </c>
      <c r="H285" s="167">
        <v>94</v>
      </c>
      <c r="I285" s="160"/>
      <c r="J285" s="247">
        <v>18</v>
      </c>
      <c r="K285" s="232">
        <v>2</v>
      </c>
      <c r="L285" s="91"/>
      <c r="M285" s="92"/>
    </row>
    <row r="286" spans="1:13" s="45" customFormat="1" ht="8.5500000000000007" customHeight="1" x14ac:dyDescent="0.2">
      <c r="A286" s="98"/>
      <c r="B286" s="158"/>
      <c r="C286" s="158"/>
      <c r="D286" s="158"/>
      <c r="E286" s="158"/>
      <c r="F286" s="159"/>
      <c r="G286" s="166"/>
      <c r="H286" s="168"/>
      <c r="I286" s="161"/>
      <c r="J286" s="248"/>
      <c r="K286" s="233"/>
      <c r="L286" s="91"/>
      <c r="M286" s="92"/>
    </row>
    <row r="287" spans="1:13" s="45" customFormat="1" ht="8.5500000000000007" customHeight="1" x14ac:dyDescent="0.2">
      <c r="A287" s="98"/>
      <c r="B287" s="156" t="s">
        <v>1173</v>
      </c>
      <c r="C287" s="156"/>
      <c r="D287" s="156"/>
      <c r="E287" s="156"/>
      <c r="F287" s="157"/>
      <c r="G287" s="166">
        <v>2014</v>
      </c>
      <c r="H287" s="167" t="s">
        <v>74</v>
      </c>
      <c r="I287" s="160"/>
      <c r="J287" s="247"/>
      <c r="K287" s="232">
        <v>2</v>
      </c>
      <c r="L287" s="91"/>
      <c r="M287" s="92"/>
    </row>
    <row r="288" spans="1:13" s="45" customFormat="1" ht="8.5500000000000007" customHeight="1" x14ac:dyDescent="0.2">
      <c r="A288" s="98"/>
      <c r="B288" s="158"/>
      <c r="C288" s="158"/>
      <c r="D288" s="158"/>
      <c r="E288" s="158"/>
      <c r="F288" s="159"/>
      <c r="G288" s="166"/>
      <c r="H288" s="168"/>
      <c r="I288" s="161"/>
      <c r="J288" s="248"/>
      <c r="K288" s="233"/>
      <c r="L288" s="91"/>
      <c r="M288" s="92"/>
    </row>
    <row r="289" spans="1:13" s="45" customFormat="1" ht="8.5500000000000007" customHeight="1" x14ac:dyDescent="0.2">
      <c r="A289" s="98"/>
      <c r="B289" s="172" t="s">
        <v>1174</v>
      </c>
      <c r="C289" s="172"/>
      <c r="D289" s="172"/>
      <c r="E289" s="172"/>
      <c r="F289" s="173"/>
      <c r="G289" s="166">
        <v>1989</v>
      </c>
      <c r="H289" s="167"/>
      <c r="I289" s="160"/>
      <c r="J289" s="249">
        <v>18.5</v>
      </c>
      <c r="K289" s="234">
        <v>1</v>
      </c>
      <c r="L289" s="91"/>
      <c r="M289" s="92"/>
    </row>
    <row r="290" spans="1:13" s="45" customFormat="1" ht="8.5500000000000007" customHeight="1" x14ac:dyDescent="0.2">
      <c r="A290" s="98"/>
      <c r="B290" s="174"/>
      <c r="C290" s="174"/>
      <c r="D290" s="174"/>
      <c r="E290" s="174"/>
      <c r="F290" s="175"/>
      <c r="G290" s="166"/>
      <c r="H290" s="168"/>
      <c r="I290" s="161"/>
      <c r="J290" s="250"/>
      <c r="K290" s="235"/>
      <c r="L290" s="91"/>
      <c r="M290" s="92"/>
    </row>
    <row r="291" spans="1:13" s="45" customFormat="1" ht="8.5500000000000007" customHeight="1" x14ac:dyDescent="0.2">
      <c r="A291" s="98"/>
      <c r="B291" s="170" t="s">
        <v>272</v>
      </c>
      <c r="C291" s="170"/>
      <c r="D291" s="170"/>
      <c r="E291" s="170"/>
      <c r="F291" s="170"/>
      <c r="G291" s="62"/>
      <c r="H291" s="62"/>
      <c r="I291" s="62"/>
      <c r="J291" s="115"/>
      <c r="K291" s="164"/>
      <c r="L291" s="91"/>
      <c r="M291" s="92"/>
    </row>
    <row r="292" spans="1:13" s="45" customFormat="1" ht="8.5500000000000007" customHeight="1" x14ac:dyDescent="0.2">
      <c r="A292" s="98"/>
      <c r="B292" s="171"/>
      <c r="C292" s="171"/>
      <c r="D292" s="171"/>
      <c r="E292" s="171"/>
      <c r="F292" s="171"/>
      <c r="G292" s="63"/>
      <c r="H292" s="63"/>
      <c r="I292" s="63"/>
      <c r="J292" s="116"/>
      <c r="K292" s="165"/>
      <c r="L292" s="91"/>
      <c r="M292" s="92"/>
    </row>
    <row r="293" spans="1:13" s="45" customFormat="1" ht="8.5500000000000007" customHeight="1" x14ac:dyDescent="0.2">
      <c r="A293" s="98"/>
      <c r="B293" s="156" t="s">
        <v>1174</v>
      </c>
      <c r="C293" s="156"/>
      <c r="D293" s="156"/>
      <c r="E293" s="156"/>
      <c r="F293" s="157"/>
      <c r="G293" s="166">
        <v>1995</v>
      </c>
      <c r="H293" s="167">
        <v>93</v>
      </c>
      <c r="I293" s="160"/>
      <c r="J293" s="249"/>
      <c r="K293" s="234">
        <v>1</v>
      </c>
      <c r="L293" s="91"/>
      <c r="M293" s="92"/>
    </row>
    <row r="294" spans="1:13" s="45" customFormat="1" ht="8.5500000000000007" customHeight="1" x14ac:dyDescent="0.2">
      <c r="A294" s="98"/>
      <c r="B294" s="158"/>
      <c r="C294" s="158"/>
      <c r="D294" s="158"/>
      <c r="E294" s="158"/>
      <c r="F294" s="159"/>
      <c r="G294" s="166"/>
      <c r="H294" s="168"/>
      <c r="I294" s="161"/>
      <c r="J294" s="250"/>
      <c r="K294" s="235"/>
      <c r="L294" s="91"/>
      <c r="M294" s="92"/>
    </row>
    <row r="295" spans="1:13" s="45" customFormat="1" ht="8.5500000000000007" customHeight="1" x14ac:dyDescent="0.2">
      <c r="A295" s="98"/>
      <c r="B295" s="156" t="s">
        <v>1174</v>
      </c>
      <c r="C295" s="156"/>
      <c r="D295" s="156"/>
      <c r="E295" s="156"/>
      <c r="F295" s="157"/>
      <c r="G295" s="166">
        <v>1999</v>
      </c>
      <c r="H295" s="167" t="s">
        <v>626</v>
      </c>
      <c r="I295" s="160"/>
      <c r="J295" s="249">
        <v>20</v>
      </c>
      <c r="K295" s="234">
        <v>1</v>
      </c>
      <c r="L295" s="91"/>
      <c r="M295" s="92"/>
    </row>
    <row r="296" spans="1:13" s="45" customFormat="1" ht="8.5500000000000007" customHeight="1" x14ac:dyDescent="0.2">
      <c r="A296" s="98"/>
      <c r="B296" s="158"/>
      <c r="C296" s="158"/>
      <c r="D296" s="158"/>
      <c r="E296" s="158"/>
      <c r="F296" s="159"/>
      <c r="G296" s="166"/>
      <c r="H296" s="168"/>
      <c r="I296" s="161"/>
      <c r="J296" s="250"/>
      <c r="K296" s="235"/>
      <c r="L296" s="91"/>
      <c r="M296" s="92"/>
    </row>
    <row r="297" spans="1:13" s="45" customFormat="1" ht="8.5500000000000007" customHeight="1" x14ac:dyDescent="0.2">
      <c r="A297" s="98"/>
      <c r="B297" s="156" t="s">
        <v>1174</v>
      </c>
      <c r="C297" s="156"/>
      <c r="D297" s="156"/>
      <c r="E297" s="156"/>
      <c r="F297" s="157"/>
      <c r="G297" s="166">
        <v>2002</v>
      </c>
      <c r="H297" s="167" t="s">
        <v>556</v>
      </c>
      <c r="I297" s="160"/>
      <c r="J297" s="249">
        <v>20</v>
      </c>
      <c r="K297" s="234">
        <v>1</v>
      </c>
      <c r="L297" s="91"/>
      <c r="M297" s="92"/>
    </row>
    <row r="298" spans="1:13" s="45" customFormat="1" ht="8.5500000000000007" customHeight="1" x14ac:dyDescent="0.2">
      <c r="A298" s="98"/>
      <c r="B298" s="158"/>
      <c r="C298" s="158"/>
      <c r="D298" s="158"/>
      <c r="E298" s="158"/>
      <c r="F298" s="159"/>
      <c r="G298" s="166"/>
      <c r="H298" s="168"/>
      <c r="I298" s="161"/>
      <c r="J298" s="250"/>
      <c r="K298" s="235"/>
      <c r="L298" s="91"/>
      <c r="M298" s="92"/>
    </row>
    <row r="299" spans="1:13" s="45" customFormat="1" ht="8.5500000000000007" customHeight="1" x14ac:dyDescent="0.2">
      <c r="A299" s="98"/>
      <c r="B299" s="156" t="s">
        <v>1174</v>
      </c>
      <c r="C299" s="156"/>
      <c r="D299" s="156"/>
      <c r="E299" s="156"/>
      <c r="F299" s="157"/>
      <c r="G299" s="166">
        <v>2003</v>
      </c>
      <c r="H299" s="167">
        <v>92</v>
      </c>
      <c r="I299" s="160"/>
      <c r="J299" s="249">
        <v>19.5</v>
      </c>
      <c r="K299" s="234">
        <v>1</v>
      </c>
      <c r="L299" s="91"/>
      <c r="M299" s="92"/>
    </row>
    <row r="300" spans="1:13" s="45" customFormat="1" ht="8.5500000000000007" customHeight="1" x14ac:dyDescent="0.2">
      <c r="A300" s="98"/>
      <c r="B300" s="158"/>
      <c r="C300" s="158"/>
      <c r="D300" s="158"/>
      <c r="E300" s="158"/>
      <c r="F300" s="159"/>
      <c r="G300" s="166"/>
      <c r="H300" s="168"/>
      <c r="I300" s="161"/>
      <c r="J300" s="250"/>
      <c r="K300" s="235"/>
      <c r="L300" s="91"/>
      <c r="M300" s="92"/>
    </row>
    <row r="301" spans="1:13" s="45" customFormat="1" ht="8.5500000000000007" customHeight="1" x14ac:dyDescent="0.2">
      <c r="A301" s="98"/>
      <c r="B301" s="156" t="s">
        <v>1174</v>
      </c>
      <c r="C301" s="156"/>
      <c r="D301" s="156"/>
      <c r="E301" s="156"/>
      <c r="F301" s="157"/>
      <c r="G301" s="166">
        <v>2004</v>
      </c>
      <c r="H301" s="167"/>
      <c r="I301" s="160"/>
      <c r="J301" s="249"/>
      <c r="K301" s="234">
        <v>1</v>
      </c>
      <c r="L301" s="91"/>
      <c r="M301" s="92"/>
    </row>
    <row r="302" spans="1:13" s="45" customFormat="1" ht="8.5500000000000007" customHeight="1" x14ac:dyDescent="0.2">
      <c r="A302" s="98"/>
      <c r="B302" s="158"/>
      <c r="C302" s="158"/>
      <c r="D302" s="158"/>
      <c r="E302" s="158"/>
      <c r="F302" s="159"/>
      <c r="G302" s="166"/>
      <c r="H302" s="168"/>
      <c r="I302" s="161"/>
      <c r="J302" s="250"/>
      <c r="K302" s="235"/>
      <c r="L302" s="91"/>
      <c r="M302" s="92"/>
    </row>
    <row r="303" spans="1:13" s="45" customFormat="1" ht="8.5500000000000007" customHeight="1" x14ac:dyDescent="0.2">
      <c r="A303" s="98"/>
      <c r="B303" s="156" t="s">
        <v>1174</v>
      </c>
      <c r="C303" s="156"/>
      <c r="D303" s="156"/>
      <c r="E303" s="156"/>
      <c r="F303" s="157"/>
      <c r="G303" s="166">
        <v>2005</v>
      </c>
      <c r="H303" s="167"/>
      <c r="I303" s="160"/>
      <c r="J303" s="249">
        <v>19</v>
      </c>
      <c r="K303" s="234">
        <v>1</v>
      </c>
      <c r="L303" s="91"/>
      <c r="M303" s="92"/>
    </row>
    <row r="304" spans="1:13" s="45" customFormat="1" ht="8.5500000000000007" customHeight="1" x14ac:dyDescent="0.2">
      <c r="A304" s="98"/>
      <c r="B304" s="158"/>
      <c r="C304" s="158"/>
      <c r="D304" s="158"/>
      <c r="E304" s="158"/>
      <c r="F304" s="159"/>
      <c r="G304" s="166"/>
      <c r="H304" s="168"/>
      <c r="I304" s="161"/>
      <c r="J304" s="250"/>
      <c r="K304" s="235"/>
      <c r="L304" s="91"/>
      <c r="M304" s="92"/>
    </row>
    <row r="305" spans="1:13" s="45" customFormat="1" ht="8.5500000000000007" customHeight="1" x14ac:dyDescent="0.2">
      <c r="A305" s="98"/>
      <c r="B305" s="156" t="s">
        <v>1174</v>
      </c>
      <c r="C305" s="156"/>
      <c r="D305" s="156"/>
      <c r="E305" s="156"/>
      <c r="F305" s="157"/>
      <c r="G305" s="166">
        <v>2006</v>
      </c>
      <c r="H305" s="167"/>
      <c r="I305" s="160"/>
      <c r="J305" s="249">
        <v>20</v>
      </c>
      <c r="K305" s="234">
        <v>2</v>
      </c>
      <c r="L305" s="91"/>
      <c r="M305" s="92"/>
    </row>
    <row r="306" spans="1:13" s="45" customFormat="1" ht="8.5500000000000007" customHeight="1" x14ac:dyDescent="0.2">
      <c r="A306" s="98"/>
      <c r="B306" s="158"/>
      <c r="C306" s="158"/>
      <c r="D306" s="158"/>
      <c r="E306" s="158"/>
      <c r="F306" s="159"/>
      <c r="G306" s="166"/>
      <c r="H306" s="168"/>
      <c r="I306" s="161"/>
      <c r="J306" s="250"/>
      <c r="K306" s="235"/>
      <c r="L306" s="91"/>
      <c r="M306" s="92"/>
    </row>
    <row r="307" spans="1:13" s="45" customFormat="1" ht="8.5500000000000007" customHeight="1" x14ac:dyDescent="0.2">
      <c r="A307" s="98"/>
      <c r="B307" s="156" t="s">
        <v>1174</v>
      </c>
      <c r="C307" s="156"/>
      <c r="D307" s="156"/>
      <c r="E307" s="156"/>
      <c r="F307" s="157"/>
      <c r="G307" s="166">
        <v>2007</v>
      </c>
      <c r="H307" s="167"/>
      <c r="I307" s="160"/>
      <c r="J307" s="249">
        <v>19.5</v>
      </c>
      <c r="K307" s="234">
        <v>2</v>
      </c>
      <c r="L307" s="91"/>
      <c r="M307" s="92"/>
    </row>
    <row r="308" spans="1:13" s="45" customFormat="1" ht="8.5500000000000007" customHeight="1" x14ac:dyDescent="0.2">
      <c r="A308" s="98"/>
      <c r="B308" s="158"/>
      <c r="C308" s="158"/>
      <c r="D308" s="158"/>
      <c r="E308" s="158"/>
      <c r="F308" s="159"/>
      <c r="G308" s="166"/>
      <c r="H308" s="168"/>
      <c r="I308" s="161"/>
      <c r="J308" s="250"/>
      <c r="K308" s="235"/>
      <c r="L308" s="91"/>
      <c r="M308" s="92"/>
    </row>
    <row r="309" spans="1:13" s="45" customFormat="1" ht="8.5500000000000007" customHeight="1" x14ac:dyDescent="0.2">
      <c r="A309" s="98"/>
      <c r="B309" s="156" t="s">
        <v>1257</v>
      </c>
      <c r="C309" s="156"/>
      <c r="D309" s="156"/>
      <c r="E309" s="156"/>
      <c r="F309" s="157"/>
      <c r="G309" s="166">
        <v>1999</v>
      </c>
      <c r="H309" s="167" t="s">
        <v>556</v>
      </c>
      <c r="I309" s="160"/>
      <c r="J309" s="249">
        <v>18.5</v>
      </c>
      <c r="K309" s="234">
        <v>1</v>
      </c>
      <c r="L309" s="91"/>
      <c r="M309" s="92"/>
    </row>
    <row r="310" spans="1:13" s="45" customFormat="1" ht="8.5500000000000007" customHeight="1" x14ac:dyDescent="0.2">
      <c r="A310" s="98"/>
      <c r="B310" s="158"/>
      <c r="C310" s="158"/>
      <c r="D310" s="158"/>
      <c r="E310" s="158"/>
      <c r="F310" s="159"/>
      <c r="G310" s="166"/>
      <c r="H310" s="168"/>
      <c r="I310" s="161"/>
      <c r="J310" s="250"/>
      <c r="K310" s="235"/>
      <c r="L310" s="91"/>
      <c r="M310" s="92"/>
    </row>
    <row r="311" spans="1:13" s="45" customFormat="1" ht="8.5500000000000007" customHeight="1" x14ac:dyDescent="0.2">
      <c r="A311" s="98"/>
      <c r="B311" s="156" t="s">
        <v>1257</v>
      </c>
      <c r="C311" s="156"/>
      <c r="D311" s="156"/>
      <c r="E311" s="156"/>
      <c r="F311" s="157"/>
      <c r="G311" s="166">
        <v>2003</v>
      </c>
      <c r="H311" s="167">
        <v>95</v>
      </c>
      <c r="I311" s="160"/>
      <c r="J311" s="249"/>
      <c r="K311" s="234">
        <v>1</v>
      </c>
      <c r="L311" s="91"/>
      <c r="M311" s="92"/>
    </row>
    <row r="312" spans="1:13" s="45" customFormat="1" ht="8.5500000000000007" customHeight="1" x14ac:dyDescent="0.2">
      <c r="A312" s="98"/>
      <c r="B312" s="158"/>
      <c r="C312" s="158"/>
      <c r="D312" s="158"/>
      <c r="E312" s="158"/>
      <c r="F312" s="159"/>
      <c r="G312" s="166"/>
      <c r="H312" s="168"/>
      <c r="I312" s="161"/>
      <c r="J312" s="250"/>
      <c r="K312" s="235"/>
      <c r="L312" s="91"/>
      <c r="M312" s="92"/>
    </row>
    <row r="313" spans="1:13" s="45" customFormat="1" ht="8.5500000000000007" customHeight="1" x14ac:dyDescent="0.2">
      <c r="A313" s="98"/>
      <c r="B313" s="156" t="s">
        <v>1257</v>
      </c>
      <c r="C313" s="156"/>
      <c r="D313" s="156"/>
      <c r="E313" s="156"/>
      <c r="F313" s="157"/>
      <c r="G313" s="166">
        <v>2005</v>
      </c>
      <c r="H313" s="167" t="s">
        <v>74</v>
      </c>
      <c r="I313" s="160"/>
      <c r="J313" s="249">
        <v>18.5</v>
      </c>
      <c r="K313" s="234">
        <v>1</v>
      </c>
      <c r="L313" s="91"/>
      <c r="M313" s="92"/>
    </row>
    <row r="314" spans="1:13" s="45" customFormat="1" ht="8.5500000000000007" customHeight="1" x14ac:dyDescent="0.2">
      <c r="A314" s="98"/>
      <c r="B314" s="158"/>
      <c r="C314" s="158"/>
      <c r="D314" s="158"/>
      <c r="E314" s="158"/>
      <c r="F314" s="159"/>
      <c r="G314" s="166"/>
      <c r="H314" s="168"/>
      <c r="I314" s="161"/>
      <c r="J314" s="250"/>
      <c r="K314" s="235"/>
      <c r="L314" s="91"/>
      <c r="M314" s="92"/>
    </row>
    <row r="315" spans="1:13" s="45" customFormat="1" ht="8.5500000000000007" customHeight="1" x14ac:dyDescent="0.2">
      <c r="A315" s="98"/>
      <c r="B315" s="156" t="s">
        <v>975</v>
      </c>
      <c r="C315" s="156"/>
      <c r="D315" s="156"/>
      <c r="E315" s="156"/>
      <c r="F315" s="157"/>
      <c r="G315" s="166">
        <v>2005</v>
      </c>
      <c r="H315" s="167"/>
      <c r="I315" s="160"/>
      <c r="J315" s="249"/>
      <c r="K315" s="234">
        <v>2</v>
      </c>
      <c r="L315" s="91"/>
      <c r="M315" s="92"/>
    </row>
    <row r="316" spans="1:13" s="45" customFormat="1" ht="8.5500000000000007" customHeight="1" x14ac:dyDescent="0.2">
      <c r="A316" s="98"/>
      <c r="B316" s="158"/>
      <c r="C316" s="158"/>
      <c r="D316" s="158"/>
      <c r="E316" s="158"/>
      <c r="F316" s="159"/>
      <c r="G316" s="166"/>
      <c r="H316" s="168"/>
      <c r="I316" s="161"/>
      <c r="J316" s="250"/>
      <c r="K316" s="235"/>
      <c r="L316" s="91"/>
      <c r="M316" s="92"/>
    </row>
    <row r="317" spans="1:13" s="45" customFormat="1" ht="8.5500000000000007" customHeight="1" x14ac:dyDescent="0.2">
      <c r="A317" s="98"/>
      <c r="B317" s="156" t="s">
        <v>1533</v>
      </c>
      <c r="C317" s="156"/>
      <c r="D317" s="156"/>
      <c r="E317" s="156"/>
      <c r="F317" s="157"/>
      <c r="G317" s="166">
        <v>2006</v>
      </c>
      <c r="H317" s="167">
        <v>92</v>
      </c>
      <c r="I317" s="160"/>
      <c r="J317" s="249"/>
      <c r="K317" s="234">
        <v>2</v>
      </c>
      <c r="L317" s="91"/>
      <c r="M317" s="92"/>
    </row>
    <row r="318" spans="1:13" s="45" customFormat="1" ht="8.5500000000000007" customHeight="1" x14ac:dyDescent="0.2">
      <c r="A318" s="98"/>
      <c r="B318" s="158"/>
      <c r="C318" s="158"/>
      <c r="D318" s="158"/>
      <c r="E318" s="158"/>
      <c r="F318" s="159"/>
      <c r="G318" s="166"/>
      <c r="H318" s="168"/>
      <c r="I318" s="161"/>
      <c r="J318" s="250"/>
      <c r="K318" s="235"/>
      <c r="L318" s="91"/>
      <c r="M318" s="92"/>
    </row>
    <row r="319" spans="1:13" s="45" customFormat="1" ht="8.5500000000000007" customHeight="1" x14ac:dyDescent="0.2">
      <c r="A319" s="98"/>
      <c r="B319" s="156" t="s">
        <v>1175</v>
      </c>
      <c r="C319" s="156"/>
      <c r="D319" s="156"/>
      <c r="E319" s="156"/>
      <c r="F319" s="157"/>
      <c r="G319" s="166">
        <v>2006</v>
      </c>
      <c r="H319" s="167" t="s">
        <v>662</v>
      </c>
      <c r="I319" s="160"/>
      <c r="J319" s="249"/>
      <c r="K319" s="234">
        <v>1</v>
      </c>
      <c r="L319" s="91"/>
      <c r="M319" s="92"/>
    </row>
    <row r="320" spans="1:13" s="45" customFormat="1" ht="8.5500000000000007" customHeight="1" x14ac:dyDescent="0.2">
      <c r="A320" s="98"/>
      <c r="B320" s="158"/>
      <c r="C320" s="158"/>
      <c r="D320" s="158"/>
      <c r="E320" s="158"/>
      <c r="F320" s="159"/>
      <c r="G320" s="166"/>
      <c r="H320" s="168"/>
      <c r="I320" s="161"/>
      <c r="J320" s="250"/>
      <c r="K320" s="235"/>
      <c r="L320" s="91"/>
      <c r="M320" s="92"/>
    </row>
    <row r="321" spans="1:13" s="45" customFormat="1" ht="8.5500000000000007" customHeight="1" x14ac:dyDescent="0.2">
      <c r="A321" s="98"/>
      <c r="B321" s="156" t="s">
        <v>1176</v>
      </c>
      <c r="C321" s="156"/>
      <c r="D321" s="156"/>
      <c r="E321" s="156"/>
      <c r="F321" s="157"/>
      <c r="G321" s="166">
        <v>1990</v>
      </c>
      <c r="H321" s="167"/>
      <c r="I321" s="160"/>
      <c r="J321" s="249">
        <v>15</v>
      </c>
      <c r="K321" s="234">
        <v>2</v>
      </c>
      <c r="L321" s="91"/>
      <c r="M321" s="92"/>
    </row>
    <row r="322" spans="1:13" s="45" customFormat="1" ht="8.5500000000000007" customHeight="1" x14ac:dyDescent="0.2">
      <c r="A322" s="98"/>
      <c r="B322" s="158"/>
      <c r="C322" s="158"/>
      <c r="D322" s="158"/>
      <c r="E322" s="158"/>
      <c r="F322" s="159"/>
      <c r="G322" s="166"/>
      <c r="H322" s="168"/>
      <c r="I322" s="161"/>
      <c r="J322" s="250"/>
      <c r="K322" s="235"/>
      <c r="L322" s="91"/>
      <c r="M322" s="92"/>
    </row>
    <row r="323" spans="1:13" s="45" customFormat="1" ht="8.5500000000000007" customHeight="1" x14ac:dyDescent="0.2">
      <c r="A323" s="98"/>
      <c r="B323" s="156" t="s">
        <v>1177</v>
      </c>
      <c r="C323" s="156"/>
      <c r="D323" s="156"/>
      <c r="E323" s="156"/>
      <c r="F323" s="157"/>
      <c r="G323" s="166">
        <v>1999</v>
      </c>
      <c r="H323" s="167"/>
      <c r="I323" s="160"/>
      <c r="J323" s="249">
        <v>19</v>
      </c>
      <c r="K323" s="234">
        <v>1</v>
      </c>
      <c r="L323" s="91"/>
      <c r="M323" s="92"/>
    </row>
    <row r="324" spans="1:13" s="45" customFormat="1" ht="8.5500000000000007" customHeight="1" x14ac:dyDescent="0.2">
      <c r="A324" s="98"/>
      <c r="B324" s="158"/>
      <c r="C324" s="158"/>
      <c r="D324" s="158"/>
      <c r="E324" s="158"/>
      <c r="F324" s="159"/>
      <c r="G324" s="166"/>
      <c r="H324" s="168"/>
      <c r="I324" s="161"/>
      <c r="J324" s="250"/>
      <c r="K324" s="235"/>
      <c r="L324" s="91"/>
      <c r="M324" s="92"/>
    </row>
    <row r="325" spans="1:13" s="45" customFormat="1" ht="8.5500000000000007" customHeight="1" x14ac:dyDescent="0.2">
      <c r="A325" s="98"/>
      <c r="B325" s="156" t="s">
        <v>1177</v>
      </c>
      <c r="C325" s="156"/>
      <c r="D325" s="156"/>
      <c r="E325" s="156"/>
      <c r="F325" s="157"/>
      <c r="G325" s="166">
        <v>2000</v>
      </c>
      <c r="H325" s="167"/>
      <c r="I325" s="160"/>
      <c r="J325" s="249">
        <v>15</v>
      </c>
      <c r="K325" s="234">
        <v>1</v>
      </c>
      <c r="L325" s="91"/>
      <c r="M325" s="92"/>
    </row>
    <row r="326" spans="1:13" s="45" customFormat="1" ht="8.5500000000000007" customHeight="1" x14ac:dyDescent="0.2">
      <c r="A326" s="98"/>
      <c r="B326" s="158"/>
      <c r="C326" s="158"/>
      <c r="D326" s="158"/>
      <c r="E326" s="158"/>
      <c r="F326" s="159"/>
      <c r="G326" s="166"/>
      <c r="H326" s="168"/>
      <c r="I326" s="161"/>
      <c r="J326" s="250"/>
      <c r="K326" s="235"/>
      <c r="L326" s="91"/>
      <c r="M326" s="92"/>
    </row>
    <row r="327" spans="1:13" s="45" customFormat="1" ht="8.5500000000000007" customHeight="1" x14ac:dyDescent="0.2">
      <c r="A327" s="98"/>
      <c r="B327" s="156" t="s">
        <v>1177</v>
      </c>
      <c r="C327" s="156"/>
      <c r="D327" s="156"/>
      <c r="E327" s="156"/>
      <c r="F327" s="157"/>
      <c r="G327" s="166">
        <v>2002</v>
      </c>
      <c r="H327" s="167"/>
      <c r="I327" s="160"/>
      <c r="J327" s="249">
        <v>17.5</v>
      </c>
      <c r="K327" s="234">
        <v>1</v>
      </c>
      <c r="L327" s="91"/>
      <c r="M327" s="92"/>
    </row>
    <row r="328" spans="1:13" s="45" customFormat="1" ht="8.5500000000000007" customHeight="1" x14ac:dyDescent="0.2">
      <c r="A328" s="98"/>
      <c r="B328" s="158"/>
      <c r="C328" s="158"/>
      <c r="D328" s="158"/>
      <c r="E328" s="158"/>
      <c r="F328" s="159"/>
      <c r="G328" s="166"/>
      <c r="H328" s="168"/>
      <c r="I328" s="161"/>
      <c r="J328" s="250"/>
      <c r="K328" s="235"/>
      <c r="L328" s="91"/>
      <c r="M328" s="92"/>
    </row>
    <row r="329" spans="1:13" s="45" customFormat="1" ht="8.5500000000000007" customHeight="1" x14ac:dyDescent="0.2">
      <c r="A329" s="98"/>
      <c r="B329" s="156" t="s">
        <v>1177</v>
      </c>
      <c r="C329" s="156"/>
      <c r="D329" s="156"/>
      <c r="E329" s="156"/>
      <c r="F329" s="157"/>
      <c r="G329" s="166">
        <v>2005</v>
      </c>
      <c r="H329" s="167"/>
      <c r="I329" s="160"/>
      <c r="J329" s="249"/>
      <c r="K329" s="234">
        <v>2</v>
      </c>
      <c r="L329" s="91"/>
      <c r="M329" s="92"/>
    </row>
    <row r="330" spans="1:13" s="45" customFormat="1" ht="8.5500000000000007" customHeight="1" x14ac:dyDescent="0.2">
      <c r="A330" s="98"/>
      <c r="B330" s="158"/>
      <c r="C330" s="158"/>
      <c r="D330" s="158"/>
      <c r="E330" s="158"/>
      <c r="F330" s="159"/>
      <c r="G330" s="166"/>
      <c r="H330" s="168"/>
      <c r="I330" s="161"/>
      <c r="J330" s="250"/>
      <c r="K330" s="235"/>
      <c r="L330" s="91"/>
      <c r="M330" s="92"/>
    </row>
    <row r="331" spans="1:13" s="45" customFormat="1" ht="8.5500000000000007" customHeight="1" x14ac:dyDescent="0.2">
      <c r="A331" s="98"/>
      <c r="B331" s="156" t="s">
        <v>1177</v>
      </c>
      <c r="C331" s="156"/>
      <c r="D331" s="156"/>
      <c r="E331" s="156"/>
      <c r="F331" s="157"/>
      <c r="G331" s="166">
        <v>2013</v>
      </c>
      <c r="H331" s="167"/>
      <c r="I331" s="160"/>
      <c r="J331" s="249"/>
      <c r="K331" s="234">
        <v>1</v>
      </c>
      <c r="L331" s="91"/>
      <c r="M331" s="92"/>
    </row>
    <row r="332" spans="1:13" s="45" customFormat="1" ht="8.5500000000000007" customHeight="1" x14ac:dyDescent="0.2">
      <c r="A332" s="98"/>
      <c r="B332" s="158"/>
      <c r="C332" s="158"/>
      <c r="D332" s="158"/>
      <c r="E332" s="158"/>
      <c r="F332" s="159"/>
      <c r="G332" s="166"/>
      <c r="H332" s="168"/>
      <c r="I332" s="161"/>
      <c r="J332" s="250"/>
      <c r="K332" s="235"/>
      <c r="L332" s="91"/>
      <c r="M332" s="92"/>
    </row>
    <row r="333" spans="1:13" s="45" customFormat="1" ht="8.5500000000000007" customHeight="1" x14ac:dyDescent="0.2">
      <c r="A333" s="98"/>
      <c r="B333" s="172" t="s">
        <v>1178</v>
      </c>
      <c r="C333" s="172"/>
      <c r="D333" s="172"/>
      <c r="E333" s="172"/>
      <c r="F333" s="173"/>
      <c r="G333" s="166">
        <v>2005</v>
      </c>
      <c r="H333" s="167">
        <v>93</v>
      </c>
      <c r="I333" s="160"/>
      <c r="J333" s="249">
        <v>18.5</v>
      </c>
      <c r="K333" s="234">
        <v>1</v>
      </c>
      <c r="L333" s="91"/>
      <c r="M333" s="92"/>
    </row>
    <row r="334" spans="1:13" s="45" customFormat="1" ht="8.5500000000000007" customHeight="1" x14ac:dyDescent="0.2">
      <c r="A334" s="98"/>
      <c r="B334" s="174"/>
      <c r="C334" s="174"/>
      <c r="D334" s="174"/>
      <c r="E334" s="174"/>
      <c r="F334" s="175"/>
      <c r="G334" s="166"/>
      <c r="H334" s="168"/>
      <c r="I334" s="161"/>
      <c r="J334" s="250"/>
      <c r="K334" s="235"/>
      <c r="L334" s="91"/>
      <c r="M334" s="92"/>
    </row>
    <row r="335" spans="1:13" s="45" customFormat="1" ht="8.5500000000000007" customHeight="1" x14ac:dyDescent="0.2">
      <c r="A335" s="98"/>
      <c r="B335" s="172" t="s">
        <v>1179</v>
      </c>
      <c r="C335" s="172"/>
      <c r="D335" s="172"/>
      <c r="E335" s="172"/>
      <c r="F335" s="173"/>
      <c r="G335" s="166">
        <v>2002</v>
      </c>
      <c r="H335" s="167"/>
      <c r="I335" s="160"/>
      <c r="J335" s="249">
        <v>20</v>
      </c>
      <c r="K335" s="234">
        <v>1</v>
      </c>
      <c r="L335" s="91"/>
      <c r="M335" s="92"/>
    </row>
    <row r="336" spans="1:13" s="45" customFormat="1" ht="8.5500000000000007" customHeight="1" x14ac:dyDescent="0.2">
      <c r="A336" s="98"/>
      <c r="B336" s="174"/>
      <c r="C336" s="174"/>
      <c r="D336" s="174"/>
      <c r="E336" s="174"/>
      <c r="F336" s="175"/>
      <c r="G336" s="166"/>
      <c r="H336" s="168"/>
      <c r="I336" s="161"/>
      <c r="J336" s="250"/>
      <c r="K336" s="235"/>
      <c r="L336" s="91"/>
      <c r="M336" s="92"/>
    </row>
    <row r="337" spans="1:13" s="45" customFormat="1" ht="8.5500000000000007" customHeight="1" x14ac:dyDescent="0.2">
      <c r="A337" s="98"/>
      <c r="B337" s="156" t="s">
        <v>1179</v>
      </c>
      <c r="C337" s="156"/>
      <c r="D337" s="156"/>
      <c r="E337" s="156"/>
      <c r="F337" s="157"/>
      <c r="G337" s="166">
        <v>2014</v>
      </c>
      <c r="H337" s="167"/>
      <c r="I337" s="160"/>
      <c r="J337" s="249"/>
      <c r="K337" s="234">
        <v>2</v>
      </c>
      <c r="L337" s="91"/>
      <c r="M337" s="92"/>
    </row>
    <row r="338" spans="1:13" s="45" customFormat="1" ht="8.5500000000000007" customHeight="1" x14ac:dyDescent="0.2">
      <c r="A338" s="98"/>
      <c r="B338" s="158"/>
      <c r="C338" s="158"/>
      <c r="D338" s="158"/>
      <c r="E338" s="158"/>
      <c r="F338" s="159"/>
      <c r="G338" s="166"/>
      <c r="H338" s="168"/>
      <c r="I338" s="161"/>
      <c r="J338" s="250"/>
      <c r="K338" s="235"/>
      <c r="L338" s="91"/>
      <c r="M338" s="92"/>
    </row>
    <row r="339" spans="1:13" s="45" customFormat="1" ht="8.5500000000000007" customHeight="1" x14ac:dyDescent="0.2">
      <c r="A339" s="98"/>
      <c r="B339" s="156" t="s">
        <v>877</v>
      </c>
      <c r="C339" s="156"/>
      <c r="D339" s="156"/>
      <c r="E339" s="156"/>
      <c r="F339" s="157"/>
      <c r="G339" s="166">
        <v>2005</v>
      </c>
      <c r="H339" s="167"/>
      <c r="I339" s="160"/>
      <c r="J339" s="249"/>
      <c r="K339" s="234">
        <v>1</v>
      </c>
      <c r="L339" s="91"/>
      <c r="M339" s="92"/>
    </row>
    <row r="340" spans="1:13" s="45" customFormat="1" ht="8.5500000000000007" customHeight="1" x14ac:dyDescent="0.2">
      <c r="A340" s="98"/>
      <c r="B340" s="158"/>
      <c r="C340" s="158"/>
      <c r="D340" s="158"/>
      <c r="E340" s="158"/>
      <c r="F340" s="159"/>
      <c r="G340" s="166"/>
      <c r="H340" s="168"/>
      <c r="I340" s="161"/>
      <c r="J340" s="250"/>
      <c r="K340" s="235"/>
      <c r="L340" s="91"/>
      <c r="M340" s="92"/>
    </row>
    <row r="341" spans="1:13" s="45" customFormat="1" ht="8.5500000000000007" customHeight="1" x14ac:dyDescent="0.2">
      <c r="A341" s="98"/>
      <c r="B341" s="156" t="s">
        <v>1274</v>
      </c>
      <c r="C341" s="156"/>
      <c r="D341" s="156"/>
      <c r="E341" s="156"/>
      <c r="F341" s="157"/>
      <c r="G341" s="166">
        <v>2005</v>
      </c>
      <c r="H341" s="167"/>
      <c r="I341" s="160"/>
      <c r="J341" s="249">
        <v>18.5</v>
      </c>
      <c r="K341" s="234">
        <v>1</v>
      </c>
      <c r="L341" s="91"/>
      <c r="M341" s="92"/>
    </row>
    <row r="342" spans="1:13" s="45" customFormat="1" ht="8.5500000000000007" customHeight="1" x14ac:dyDescent="0.2">
      <c r="A342" s="98"/>
      <c r="B342" s="158"/>
      <c r="C342" s="158"/>
      <c r="D342" s="158"/>
      <c r="E342" s="158"/>
      <c r="F342" s="159"/>
      <c r="G342" s="166"/>
      <c r="H342" s="168"/>
      <c r="I342" s="161"/>
      <c r="J342" s="250"/>
      <c r="K342" s="235"/>
      <c r="L342" s="91"/>
      <c r="M342" s="92"/>
    </row>
    <row r="343" spans="1:13" s="45" customFormat="1" ht="8.5500000000000007" customHeight="1" x14ac:dyDescent="0.2">
      <c r="A343" s="98"/>
      <c r="B343" s="156" t="s">
        <v>1273</v>
      </c>
      <c r="C343" s="156"/>
      <c r="D343" s="156"/>
      <c r="E343" s="156"/>
      <c r="F343" s="157"/>
      <c r="G343" s="166">
        <v>2014</v>
      </c>
      <c r="H343" s="167"/>
      <c r="I343" s="160"/>
      <c r="J343" s="249"/>
      <c r="K343" s="234">
        <v>2</v>
      </c>
      <c r="L343" s="91"/>
      <c r="M343" s="92"/>
    </row>
    <row r="344" spans="1:13" s="45" customFormat="1" ht="8.5500000000000007" customHeight="1" x14ac:dyDescent="0.2">
      <c r="A344" s="98"/>
      <c r="B344" s="158"/>
      <c r="C344" s="158"/>
      <c r="D344" s="158"/>
      <c r="E344" s="158"/>
      <c r="F344" s="159"/>
      <c r="G344" s="166"/>
      <c r="H344" s="168"/>
      <c r="I344" s="161"/>
      <c r="J344" s="250"/>
      <c r="K344" s="235"/>
      <c r="L344" s="91"/>
      <c r="M344" s="92"/>
    </row>
    <row r="345" spans="1:13" s="45" customFormat="1" ht="8.5500000000000007" customHeight="1" x14ac:dyDescent="0.2">
      <c r="A345" s="98"/>
      <c r="B345" s="172" t="s">
        <v>1180</v>
      </c>
      <c r="C345" s="172"/>
      <c r="D345" s="172"/>
      <c r="E345" s="172"/>
      <c r="F345" s="173"/>
      <c r="G345" s="166">
        <v>2003</v>
      </c>
      <c r="H345" s="167"/>
      <c r="I345" s="160"/>
      <c r="J345" s="249"/>
      <c r="K345" s="234">
        <v>2</v>
      </c>
      <c r="L345" s="91"/>
      <c r="M345" s="92"/>
    </row>
    <row r="346" spans="1:13" s="45" customFormat="1" ht="8.5500000000000007" customHeight="1" x14ac:dyDescent="0.2">
      <c r="A346" s="98"/>
      <c r="B346" s="174"/>
      <c r="C346" s="174"/>
      <c r="D346" s="174"/>
      <c r="E346" s="174"/>
      <c r="F346" s="175"/>
      <c r="G346" s="166"/>
      <c r="H346" s="168"/>
      <c r="I346" s="161"/>
      <c r="J346" s="250"/>
      <c r="K346" s="235"/>
      <c r="L346" s="91"/>
      <c r="M346" s="92"/>
    </row>
    <row r="347" spans="1:13" s="45" customFormat="1" ht="8.5500000000000007" customHeight="1" x14ac:dyDescent="0.2">
      <c r="A347" s="98"/>
      <c r="B347" s="170" t="s">
        <v>272</v>
      </c>
      <c r="C347" s="170"/>
      <c r="D347" s="170"/>
      <c r="E347" s="170"/>
      <c r="F347" s="170"/>
      <c r="G347" s="62"/>
      <c r="H347" s="62"/>
      <c r="I347" s="62"/>
      <c r="J347" s="115"/>
      <c r="K347" s="164"/>
      <c r="L347" s="91"/>
      <c r="M347" s="92"/>
    </row>
    <row r="348" spans="1:13" s="45" customFormat="1" ht="8.5500000000000007" customHeight="1" x14ac:dyDescent="0.2">
      <c r="A348" s="98"/>
      <c r="B348" s="171"/>
      <c r="C348" s="171"/>
      <c r="D348" s="171"/>
      <c r="E348" s="171"/>
      <c r="F348" s="171"/>
      <c r="G348" s="63"/>
      <c r="H348" s="63"/>
      <c r="I348" s="63"/>
      <c r="J348" s="116"/>
      <c r="K348" s="165"/>
      <c r="L348" s="91"/>
      <c r="M348" s="92"/>
    </row>
    <row r="349" spans="1:13" s="45" customFormat="1" ht="8.5500000000000007" customHeight="1" x14ac:dyDescent="0.2">
      <c r="A349" s="98"/>
      <c r="B349" s="156" t="s">
        <v>1639</v>
      </c>
      <c r="C349" s="156"/>
      <c r="D349" s="156"/>
      <c r="E349" s="156"/>
      <c r="F349" s="157"/>
      <c r="G349" s="166">
        <v>1974</v>
      </c>
      <c r="H349" s="167"/>
      <c r="I349" s="160"/>
      <c r="J349" s="249"/>
      <c r="K349" s="234">
        <v>1</v>
      </c>
      <c r="L349" s="91"/>
      <c r="M349" s="92"/>
    </row>
    <row r="350" spans="1:13" s="45" customFormat="1" ht="8.5500000000000007" customHeight="1" x14ac:dyDescent="0.2">
      <c r="A350" s="98"/>
      <c r="B350" s="158"/>
      <c r="C350" s="158"/>
      <c r="D350" s="158"/>
      <c r="E350" s="158"/>
      <c r="F350" s="159"/>
      <c r="G350" s="166"/>
      <c r="H350" s="168"/>
      <c r="I350" s="161"/>
      <c r="J350" s="250"/>
      <c r="K350" s="235"/>
      <c r="L350" s="91"/>
      <c r="M350" s="92"/>
    </row>
    <row r="351" spans="1:13" s="45" customFormat="1" ht="8.5500000000000007" customHeight="1" x14ac:dyDescent="0.2">
      <c r="A351" s="98"/>
      <c r="B351" s="156" t="s">
        <v>1536</v>
      </c>
      <c r="C351" s="156"/>
      <c r="D351" s="156"/>
      <c r="E351" s="156"/>
      <c r="F351" s="157"/>
      <c r="G351" s="166">
        <v>1974</v>
      </c>
      <c r="H351" s="167"/>
      <c r="I351" s="160"/>
      <c r="J351" s="249"/>
      <c r="K351" s="234">
        <v>1</v>
      </c>
      <c r="L351" s="91"/>
      <c r="M351" s="92"/>
    </row>
    <row r="352" spans="1:13" s="45" customFormat="1" ht="8.5500000000000007" customHeight="1" x14ac:dyDescent="0.2">
      <c r="A352" s="98"/>
      <c r="B352" s="158"/>
      <c r="C352" s="158"/>
      <c r="D352" s="158"/>
      <c r="E352" s="158"/>
      <c r="F352" s="159"/>
      <c r="G352" s="166"/>
      <c r="H352" s="168"/>
      <c r="I352" s="161"/>
      <c r="J352" s="250"/>
      <c r="K352" s="235"/>
      <c r="L352" s="91"/>
      <c r="M352" s="92"/>
    </row>
    <row r="353" spans="1:13" s="45" customFormat="1" ht="8.5500000000000007" customHeight="1" x14ac:dyDescent="0.2">
      <c r="A353" s="98"/>
      <c r="B353" s="156" t="s">
        <v>1181</v>
      </c>
      <c r="C353" s="156"/>
      <c r="D353" s="156"/>
      <c r="E353" s="156"/>
      <c r="F353" s="157"/>
      <c r="G353" s="166">
        <v>1986</v>
      </c>
      <c r="H353" s="167"/>
      <c r="I353" s="160"/>
      <c r="J353" s="249"/>
      <c r="K353" s="234">
        <v>1</v>
      </c>
      <c r="L353" s="91"/>
      <c r="M353" s="92"/>
    </row>
    <row r="354" spans="1:13" s="45" customFormat="1" ht="8.5500000000000007" customHeight="1" x14ac:dyDescent="0.2">
      <c r="A354" s="98"/>
      <c r="B354" s="158"/>
      <c r="C354" s="158"/>
      <c r="D354" s="158"/>
      <c r="E354" s="158"/>
      <c r="F354" s="159"/>
      <c r="G354" s="166"/>
      <c r="H354" s="168"/>
      <c r="I354" s="161"/>
      <c r="J354" s="250"/>
      <c r="K354" s="235"/>
      <c r="L354" s="91"/>
      <c r="M354" s="92"/>
    </row>
    <row r="355" spans="1:13" s="45" customFormat="1" ht="8.5500000000000007" customHeight="1" x14ac:dyDescent="0.2">
      <c r="A355" s="98"/>
      <c r="B355" s="156" t="s">
        <v>1181</v>
      </c>
      <c r="C355" s="156"/>
      <c r="D355" s="156"/>
      <c r="E355" s="156"/>
      <c r="F355" s="157"/>
      <c r="G355" s="166">
        <v>1997</v>
      </c>
      <c r="H355" s="167">
        <v>90</v>
      </c>
      <c r="I355" s="160"/>
      <c r="J355" s="249">
        <v>16</v>
      </c>
      <c r="K355" s="234">
        <v>1</v>
      </c>
      <c r="L355" s="91"/>
      <c r="M355" s="92"/>
    </row>
    <row r="356" spans="1:13" s="45" customFormat="1" ht="8.5500000000000007" customHeight="1" x14ac:dyDescent="0.2">
      <c r="A356" s="98"/>
      <c r="B356" s="158"/>
      <c r="C356" s="158"/>
      <c r="D356" s="158"/>
      <c r="E356" s="158"/>
      <c r="F356" s="159"/>
      <c r="G356" s="166"/>
      <c r="H356" s="168"/>
      <c r="I356" s="161"/>
      <c r="J356" s="250"/>
      <c r="K356" s="235"/>
      <c r="L356" s="91"/>
      <c r="M356" s="92"/>
    </row>
    <row r="357" spans="1:13" s="45" customFormat="1" ht="8.5500000000000007" customHeight="1" x14ac:dyDescent="0.2">
      <c r="A357" s="98"/>
      <c r="B357" s="156" t="s">
        <v>1966</v>
      </c>
      <c r="C357" s="156"/>
      <c r="D357" s="156"/>
      <c r="E357" s="156"/>
      <c r="F357" s="157"/>
      <c r="G357" s="166">
        <v>1997</v>
      </c>
      <c r="H357" s="167">
        <v>90</v>
      </c>
      <c r="I357" s="160"/>
      <c r="J357" s="249">
        <v>16</v>
      </c>
      <c r="K357" s="234">
        <v>1</v>
      </c>
      <c r="L357" s="91"/>
      <c r="M357" s="92"/>
    </row>
    <row r="358" spans="1:13" s="45" customFormat="1" ht="8.5500000000000007" customHeight="1" x14ac:dyDescent="0.2">
      <c r="A358" s="98"/>
      <c r="B358" s="158"/>
      <c r="C358" s="158"/>
      <c r="D358" s="158"/>
      <c r="E358" s="158"/>
      <c r="F358" s="159"/>
      <c r="G358" s="166"/>
      <c r="H358" s="168"/>
      <c r="I358" s="161"/>
      <c r="J358" s="250"/>
      <c r="K358" s="235"/>
      <c r="L358" s="91"/>
      <c r="M358" s="92"/>
    </row>
    <row r="359" spans="1:13" s="45" customFormat="1" ht="8.5500000000000007" customHeight="1" x14ac:dyDescent="0.2">
      <c r="A359" s="98"/>
      <c r="B359" s="172" t="s">
        <v>1368</v>
      </c>
      <c r="C359" s="172"/>
      <c r="D359" s="172"/>
      <c r="E359" s="172"/>
      <c r="F359" s="173"/>
      <c r="G359" s="166">
        <v>2002</v>
      </c>
      <c r="H359" s="167"/>
      <c r="I359" s="160"/>
      <c r="J359" s="249">
        <v>20</v>
      </c>
      <c r="K359" s="234">
        <v>1</v>
      </c>
      <c r="L359" s="91"/>
      <c r="M359" s="92"/>
    </row>
    <row r="360" spans="1:13" s="45" customFormat="1" ht="8.5500000000000007" customHeight="1" x14ac:dyDescent="0.2">
      <c r="A360" s="98"/>
      <c r="B360" s="174"/>
      <c r="C360" s="174"/>
      <c r="D360" s="174"/>
      <c r="E360" s="174"/>
      <c r="F360" s="175"/>
      <c r="G360" s="166"/>
      <c r="H360" s="168"/>
      <c r="I360" s="161"/>
      <c r="J360" s="250"/>
      <c r="K360" s="235"/>
      <c r="L360" s="91"/>
      <c r="M360" s="92"/>
    </row>
    <row r="361" spans="1:13" s="45" customFormat="1" ht="8.5500000000000007" customHeight="1" x14ac:dyDescent="0.2">
      <c r="A361" s="98"/>
      <c r="B361" s="172" t="s">
        <v>1347</v>
      </c>
      <c r="C361" s="172"/>
      <c r="D361" s="172"/>
      <c r="E361" s="172"/>
      <c r="F361" s="173"/>
      <c r="G361" s="166">
        <v>2009</v>
      </c>
      <c r="H361" s="167" t="s">
        <v>627</v>
      </c>
      <c r="I361" s="160"/>
      <c r="J361" s="247"/>
      <c r="K361" s="234">
        <v>1</v>
      </c>
      <c r="L361" s="91"/>
      <c r="M361" s="92"/>
    </row>
    <row r="362" spans="1:13" s="45" customFormat="1" ht="8.5500000000000007" customHeight="1" x14ac:dyDescent="0.2">
      <c r="A362" s="98"/>
      <c r="B362" s="174"/>
      <c r="C362" s="174"/>
      <c r="D362" s="174"/>
      <c r="E362" s="174"/>
      <c r="F362" s="175"/>
      <c r="G362" s="166"/>
      <c r="H362" s="168"/>
      <c r="I362" s="161"/>
      <c r="J362" s="248"/>
      <c r="K362" s="235"/>
      <c r="L362" s="91"/>
      <c r="M362" s="92"/>
    </row>
    <row r="363" spans="1:13" s="45" customFormat="1" ht="8.5500000000000007" customHeight="1" x14ac:dyDescent="0.2">
      <c r="A363" s="98"/>
      <c r="B363" s="172" t="s">
        <v>1255</v>
      </c>
      <c r="C363" s="172"/>
      <c r="D363" s="172"/>
      <c r="E363" s="172"/>
      <c r="F363" s="173"/>
      <c r="G363" s="166">
        <v>1991</v>
      </c>
      <c r="H363" s="167">
        <v>93</v>
      </c>
      <c r="I363" s="160"/>
      <c r="J363" s="249"/>
      <c r="K363" s="232">
        <v>2</v>
      </c>
      <c r="L363" s="91"/>
      <c r="M363" s="92"/>
    </row>
    <row r="364" spans="1:13" s="45" customFormat="1" ht="8.5500000000000007" customHeight="1" x14ac:dyDescent="0.2">
      <c r="A364" s="98"/>
      <c r="B364" s="174"/>
      <c r="C364" s="174"/>
      <c r="D364" s="174"/>
      <c r="E364" s="174"/>
      <c r="F364" s="175"/>
      <c r="G364" s="166"/>
      <c r="H364" s="168"/>
      <c r="I364" s="161"/>
      <c r="J364" s="250"/>
      <c r="K364" s="233"/>
      <c r="L364" s="91"/>
      <c r="M364" s="92"/>
    </row>
    <row r="365" spans="1:13" s="45" customFormat="1" ht="8.5500000000000007" customHeight="1" x14ac:dyDescent="0.2">
      <c r="A365" s="98"/>
      <c r="B365" s="156" t="s">
        <v>1255</v>
      </c>
      <c r="C365" s="156"/>
      <c r="D365" s="156"/>
      <c r="E365" s="156"/>
      <c r="F365" s="157"/>
      <c r="G365" s="166">
        <v>1996</v>
      </c>
      <c r="H365" s="167" t="s">
        <v>336</v>
      </c>
      <c r="I365" s="160"/>
      <c r="J365" s="249">
        <v>19</v>
      </c>
      <c r="K365" s="232">
        <v>2</v>
      </c>
      <c r="L365" s="91"/>
      <c r="M365" s="92"/>
    </row>
    <row r="366" spans="1:13" s="45" customFormat="1" ht="8.5500000000000007" customHeight="1" x14ac:dyDescent="0.2">
      <c r="A366" s="98"/>
      <c r="B366" s="158"/>
      <c r="C366" s="158"/>
      <c r="D366" s="158"/>
      <c r="E366" s="158"/>
      <c r="F366" s="159"/>
      <c r="G366" s="166"/>
      <c r="H366" s="168"/>
      <c r="I366" s="161"/>
      <c r="J366" s="250"/>
      <c r="K366" s="233"/>
      <c r="L366" s="91"/>
      <c r="M366" s="92"/>
    </row>
    <row r="367" spans="1:13" s="45" customFormat="1" ht="8.5500000000000007" customHeight="1" x14ac:dyDescent="0.2">
      <c r="A367" s="98"/>
      <c r="B367" s="156" t="s">
        <v>1255</v>
      </c>
      <c r="C367" s="156"/>
      <c r="D367" s="156"/>
      <c r="E367" s="156"/>
      <c r="F367" s="157"/>
      <c r="G367" s="166">
        <v>1997</v>
      </c>
      <c r="H367" s="167" t="s">
        <v>74</v>
      </c>
      <c r="I367" s="160"/>
      <c r="J367" s="249">
        <v>19.5</v>
      </c>
      <c r="K367" s="232">
        <v>1</v>
      </c>
      <c r="L367" s="91"/>
      <c r="M367" s="92"/>
    </row>
    <row r="368" spans="1:13" s="45" customFormat="1" ht="8.5500000000000007" customHeight="1" x14ac:dyDescent="0.2">
      <c r="A368" s="98"/>
      <c r="B368" s="158"/>
      <c r="C368" s="158"/>
      <c r="D368" s="158"/>
      <c r="E368" s="158"/>
      <c r="F368" s="159"/>
      <c r="G368" s="166"/>
      <c r="H368" s="168"/>
      <c r="I368" s="161"/>
      <c r="J368" s="250"/>
      <c r="K368" s="233"/>
      <c r="L368" s="91"/>
      <c r="M368" s="92"/>
    </row>
    <row r="369" spans="1:13" s="45" customFormat="1" ht="8.5500000000000007" customHeight="1" x14ac:dyDescent="0.2">
      <c r="A369" s="98"/>
      <c r="B369" s="156" t="s">
        <v>1255</v>
      </c>
      <c r="C369" s="156"/>
      <c r="D369" s="156"/>
      <c r="E369" s="156"/>
      <c r="F369" s="157"/>
      <c r="G369" s="166">
        <v>2002</v>
      </c>
      <c r="H369" s="167" t="s">
        <v>985</v>
      </c>
      <c r="I369" s="160"/>
      <c r="J369" s="249">
        <v>19</v>
      </c>
      <c r="K369" s="232">
        <v>2</v>
      </c>
      <c r="L369" s="91"/>
      <c r="M369" s="92"/>
    </row>
    <row r="370" spans="1:13" s="45" customFormat="1" ht="8.5500000000000007" customHeight="1" x14ac:dyDescent="0.2">
      <c r="A370" s="98"/>
      <c r="B370" s="158"/>
      <c r="C370" s="158"/>
      <c r="D370" s="158"/>
      <c r="E370" s="158"/>
      <c r="F370" s="159"/>
      <c r="G370" s="166"/>
      <c r="H370" s="168"/>
      <c r="I370" s="161"/>
      <c r="J370" s="250"/>
      <c r="K370" s="233"/>
      <c r="L370" s="91"/>
      <c r="M370" s="92"/>
    </row>
    <row r="371" spans="1:13" s="45" customFormat="1" ht="8.5500000000000007" customHeight="1" x14ac:dyDescent="0.2">
      <c r="A371" s="98"/>
      <c r="B371" s="156" t="s">
        <v>1255</v>
      </c>
      <c r="C371" s="156"/>
      <c r="D371" s="156"/>
      <c r="E371" s="156"/>
      <c r="F371" s="157"/>
      <c r="G371" s="166">
        <v>2003</v>
      </c>
      <c r="H371" s="167">
        <v>98</v>
      </c>
      <c r="I371" s="160"/>
      <c r="J371" s="249"/>
      <c r="K371" s="232">
        <v>1</v>
      </c>
      <c r="L371" s="91"/>
      <c r="M371" s="92"/>
    </row>
    <row r="372" spans="1:13" s="45" customFormat="1" ht="8.5500000000000007" customHeight="1" x14ac:dyDescent="0.2">
      <c r="A372" s="98"/>
      <c r="B372" s="158"/>
      <c r="C372" s="158"/>
      <c r="D372" s="158"/>
      <c r="E372" s="158"/>
      <c r="F372" s="159"/>
      <c r="G372" s="166"/>
      <c r="H372" s="168"/>
      <c r="I372" s="161"/>
      <c r="J372" s="250"/>
      <c r="K372" s="233"/>
      <c r="L372" s="91"/>
      <c r="M372" s="92"/>
    </row>
    <row r="373" spans="1:13" s="45" customFormat="1" ht="8.5500000000000007" customHeight="1" x14ac:dyDescent="0.2">
      <c r="A373" s="98"/>
      <c r="B373" s="156" t="s">
        <v>1255</v>
      </c>
      <c r="C373" s="156"/>
      <c r="D373" s="156"/>
      <c r="E373" s="156"/>
      <c r="F373" s="157"/>
      <c r="G373" s="166">
        <v>2006</v>
      </c>
      <c r="H373" s="167">
        <v>96</v>
      </c>
      <c r="I373" s="160"/>
      <c r="J373" s="249"/>
      <c r="K373" s="232">
        <v>2</v>
      </c>
      <c r="L373" s="91"/>
      <c r="M373" s="92"/>
    </row>
    <row r="374" spans="1:13" s="45" customFormat="1" ht="8.5500000000000007" customHeight="1" x14ac:dyDescent="0.2">
      <c r="A374" s="98"/>
      <c r="B374" s="158"/>
      <c r="C374" s="158"/>
      <c r="D374" s="158"/>
      <c r="E374" s="158"/>
      <c r="F374" s="159"/>
      <c r="G374" s="166"/>
      <c r="H374" s="168"/>
      <c r="I374" s="161"/>
      <c r="J374" s="250"/>
      <c r="K374" s="233"/>
      <c r="L374" s="91"/>
      <c r="M374" s="92"/>
    </row>
    <row r="375" spans="1:13" s="45" customFormat="1" ht="8.5500000000000007" customHeight="1" x14ac:dyDescent="0.2">
      <c r="A375" s="98"/>
      <c r="B375" s="156" t="s">
        <v>1255</v>
      </c>
      <c r="C375" s="156"/>
      <c r="D375" s="156"/>
      <c r="E375" s="156"/>
      <c r="F375" s="157"/>
      <c r="G375" s="166">
        <v>2007</v>
      </c>
      <c r="H375" s="167">
        <v>95</v>
      </c>
      <c r="I375" s="160"/>
      <c r="J375" s="249"/>
      <c r="K375" s="232">
        <v>1</v>
      </c>
      <c r="L375" s="91"/>
      <c r="M375" s="92"/>
    </row>
    <row r="376" spans="1:13" s="45" customFormat="1" ht="8.5500000000000007" customHeight="1" x14ac:dyDescent="0.2">
      <c r="A376" s="98"/>
      <c r="B376" s="158"/>
      <c r="C376" s="158"/>
      <c r="D376" s="158"/>
      <c r="E376" s="158"/>
      <c r="F376" s="159"/>
      <c r="G376" s="166"/>
      <c r="H376" s="168"/>
      <c r="I376" s="161"/>
      <c r="J376" s="250"/>
      <c r="K376" s="233"/>
      <c r="L376" s="91"/>
      <c r="M376" s="92"/>
    </row>
    <row r="377" spans="1:13" s="45" customFormat="1" ht="8.5500000000000007" customHeight="1" x14ac:dyDescent="0.2">
      <c r="A377" s="98"/>
      <c r="B377" s="156" t="s">
        <v>1255</v>
      </c>
      <c r="C377" s="156"/>
      <c r="D377" s="156"/>
      <c r="E377" s="156"/>
      <c r="F377" s="157"/>
      <c r="G377" s="166">
        <v>2008</v>
      </c>
      <c r="H377" s="167">
        <v>97</v>
      </c>
      <c r="I377" s="160"/>
      <c r="J377" s="249"/>
      <c r="K377" s="232">
        <v>1</v>
      </c>
      <c r="L377" s="91"/>
      <c r="M377" s="92"/>
    </row>
    <row r="378" spans="1:13" s="45" customFormat="1" ht="8.5500000000000007" customHeight="1" x14ac:dyDescent="0.2">
      <c r="A378" s="98"/>
      <c r="B378" s="158"/>
      <c r="C378" s="158"/>
      <c r="D378" s="158"/>
      <c r="E378" s="158"/>
      <c r="F378" s="159"/>
      <c r="G378" s="166"/>
      <c r="H378" s="168"/>
      <c r="I378" s="161"/>
      <c r="J378" s="250"/>
      <c r="K378" s="233"/>
      <c r="L378" s="91"/>
      <c r="M378" s="92"/>
    </row>
    <row r="379" spans="1:13" s="45" customFormat="1" ht="8.5500000000000007" customHeight="1" x14ac:dyDescent="0.2">
      <c r="A379" s="98"/>
      <c r="B379" s="183" t="s">
        <v>1258</v>
      </c>
      <c r="C379" s="183"/>
      <c r="D379" s="183"/>
      <c r="E379" s="183"/>
      <c r="F379" s="184"/>
      <c r="G379" s="166">
        <v>1996</v>
      </c>
      <c r="H379" s="167">
        <v>92</v>
      </c>
      <c r="I379" s="160"/>
      <c r="J379" s="249"/>
      <c r="K379" s="232">
        <v>1</v>
      </c>
      <c r="L379" s="91"/>
      <c r="M379" s="92"/>
    </row>
    <row r="380" spans="1:13" s="45" customFormat="1" ht="8.5500000000000007" customHeight="1" x14ac:dyDescent="0.2">
      <c r="A380" s="98"/>
      <c r="B380" s="185"/>
      <c r="C380" s="185"/>
      <c r="D380" s="185"/>
      <c r="E380" s="185"/>
      <c r="F380" s="186"/>
      <c r="G380" s="166"/>
      <c r="H380" s="168"/>
      <c r="I380" s="161"/>
      <c r="J380" s="250"/>
      <c r="K380" s="233"/>
      <c r="L380" s="91"/>
      <c r="M380" s="92"/>
    </row>
    <row r="381" spans="1:13" s="45" customFormat="1" ht="8.5500000000000007" customHeight="1" x14ac:dyDescent="0.2">
      <c r="A381" s="98"/>
      <c r="B381" s="183" t="s">
        <v>1258</v>
      </c>
      <c r="C381" s="183"/>
      <c r="D381" s="183"/>
      <c r="E381" s="183"/>
      <c r="F381" s="184"/>
      <c r="G381" s="166">
        <v>1997</v>
      </c>
      <c r="H381" s="167"/>
      <c r="I381" s="160"/>
      <c r="J381" s="249">
        <v>17.5</v>
      </c>
      <c r="K381" s="232">
        <v>1</v>
      </c>
      <c r="L381" s="91"/>
      <c r="M381" s="92"/>
    </row>
    <row r="382" spans="1:13" s="45" customFormat="1" ht="8.5500000000000007" customHeight="1" x14ac:dyDescent="0.2">
      <c r="A382" s="98"/>
      <c r="B382" s="185"/>
      <c r="C382" s="185"/>
      <c r="D382" s="185"/>
      <c r="E382" s="185"/>
      <c r="F382" s="186"/>
      <c r="G382" s="166"/>
      <c r="H382" s="168"/>
      <c r="I382" s="161"/>
      <c r="J382" s="250"/>
      <c r="K382" s="233"/>
      <c r="L382" s="91"/>
      <c r="M382" s="92"/>
    </row>
    <row r="383" spans="1:13" s="45" customFormat="1" ht="8.5500000000000007" customHeight="1" x14ac:dyDescent="0.2">
      <c r="A383" s="98"/>
      <c r="B383" s="183" t="s">
        <v>1258</v>
      </c>
      <c r="C383" s="183"/>
      <c r="D383" s="183"/>
      <c r="E383" s="183"/>
      <c r="F383" s="184"/>
      <c r="G383" s="189">
        <v>1999</v>
      </c>
      <c r="H383" s="167">
        <v>93</v>
      </c>
      <c r="I383" s="160">
        <v>88</v>
      </c>
      <c r="J383" s="255">
        <v>18</v>
      </c>
      <c r="K383" s="232">
        <v>1</v>
      </c>
      <c r="L383" s="91"/>
      <c r="M383" s="92"/>
    </row>
    <row r="384" spans="1:13" s="45" customFormat="1" ht="8.5500000000000007" customHeight="1" x14ac:dyDescent="0.2">
      <c r="A384" s="98"/>
      <c r="B384" s="185"/>
      <c r="C384" s="185"/>
      <c r="D384" s="185"/>
      <c r="E384" s="185"/>
      <c r="F384" s="186"/>
      <c r="G384" s="190"/>
      <c r="H384" s="168"/>
      <c r="I384" s="161"/>
      <c r="J384" s="256"/>
      <c r="K384" s="233"/>
      <c r="L384" s="91"/>
      <c r="M384" s="92"/>
    </row>
    <row r="385" spans="1:13" s="45" customFormat="1" ht="8.5500000000000007" customHeight="1" x14ac:dyDescent="0.2">
      <c r="A385" s="98"/>
      <c r="B385" s="183" t="s">
        <v>1258</v>
      </c>
      <c r="C385" s="183"/>
      <c r="D385" s="183"/>
      <c r="E385" s="183"/>
      <c r="F385" s="184"/>
      <c r="G385" s="166">
        <v>2000</v>
      </c>
      <c r="H385" s="167">
        <v>89</v>
      </c>
      <c r="I385" s="160"/>
      <c r="J385" s="249">
        <v>16</v>
      </c>
      <c r="K385" s="232">
        <v>1</v>
      </c>
      <c r="L385" s="91"/>
      <c r="M385" s="92"/>
    </row>
    <row r="386" spans="1:13" s="45" customFormat="1" ht="8.5500000000000007" customHeight="1" x14ac:dyDescent="0.2">
      <c r="A386" s="98"/>
      <c r="B386" s="185"/>
      <c r="C386" s="185"/>
      <c r="D386" s="185"/>
      <c r="E386" s="185"/>
      <c r="F386" s="186"/>
      <c r="G386" s="166"/>
      <c r="H386" s="168"/>
      <c r="I386" s="161"/>
      <c r="J386" s="250"/>
      <c r="K386" s="233"/>
      <c r="L386" s="91"/>
      <c r="M386" s="92"/>
    </row>
    <row r="387" spans="1:13" s="45" customFormat="1" ht="8.5500000000000007" customHeight="1" x14ac:dyDescent="0.2">
      <c r="A387" s="98"/>
      <c r="B387" s="183" t="s">
        <v>1258</v>
      </c>
      <c r="C387" s="183"/>
      <c r="D387" s="183"/>
      <c r="E387" s="183"/>
      <c r="F387" s="184"/>
      <c r="G387" s="166">
        <v>2001</v>
      </c>
      <c r="H387" s="167"/>
      <c r="I387" s="160"/>
      <c r="J387" s="249"/>
      <c r="K387" s="232">
        <v>1</v>
      </c>
      <c r="L387" s="91"/>
      <c r="M387" s="92"/>
    </row>
    <row r="388" spans="1:13" s="45" customFormat="1" ht="8.5500000000000007" customHeight="1" x14ac:dyDescent="0.2">
      <c r="A388" s="98"/>
      <c r="B388" s="185"/>
      <c r="C388" s="185"/>
      <c r="D388" s="185"/>
      <c r="E388" s="185"/>
      <c r="F388" s="186"/>
      <c r="G388" s="166"/>
      <c r="H388" s="168"/>
      <c r="I388" s="161"/>
      <c r="J388" s="250"/>
      <c r="K388" s="233"/>
      <c r="L388" s="91"/>
      <c r="M388" s="92"/>
    </row>
    <row r="389" spans="1:13" s="45" customFormat="1" ht="8.5500000000000007" customHeight="1" x14ac:dyDescent="0.2">
      <c r="A389" s="98"/>
      <c r="B389" s="183" t="s">
        <v>1258</v>
      </c>
      <c r="C389" s="183"/>
      <c r="D389" s="183"/>
      <c r="E389" s="183"/>
      <c r="F389" s="184"/>
      <c r="G389" s="166">
        <v>2005</v>
      </c>
      <c r="H389" s="167"/>
      <c r="I389" s="160"/>
      <c r="J389" s="249"/>
      <c r="K389" s="232">
        <v>2</v>
      </c>
      <c r="L389" s="91"/>
      <c r="M389" s="92"/>
    </row>
    <row r="390" spans="1:13" s="45" customFormat="1" ht="8.5500000000000007" customHeight="1" x14ac:dyDescent="0.2">
      <c r="A390" s="98"/>
      <c r="B390" s="185"/>
      <c r="C390" s="185"/>
      <c r="D390" s="185"/>
      <c r="E390" s="185"/>
      <c r="F390" s="186"/>
      <c r="G390" s="166"/>
      <c r="H390" s="168"/>
      <c r="I390" s="161"/>
      <c r="J390" s="250"/>
      <c r="K390" s="233"/>
      <c r="L390" s="91"/>
      <c r="M390" s="92"/>
    </row>
    <row r="391" spans="1:13" s="45" customFormat="1" ht="8.5500000000000007" customHeight="1" x14ac:dyDescent="0.2">
      <c r="A391" s="98"/>
      <c r="B391" s="156" t="s">
        <v>1227</v>
      </c>
      <c r="C391" s="156"/>
      <c r="D391" s="156"/>
      <c r="E391" s="156"/>
      <c r="F391" s="157"/>
      <c r="G391" s="199">
        <v>2002</v>
      </c>
      <c r="H391" s="167" t="s">
        <v>299</v>
      </c>
      <c r="I391" s="160"/>
      <c r="J391" s="247">
        <v>18</v>
      </c>
      <c r="K391" s="232">
        <v>1</v>
      </c>
      <c r="L391" s="91"/>
      <c r="M391" s="92"/>
    </row>
    <row r="392" spans="1:13" s="45" customFormat="1" ht="8.5500000000000007" customHeight="1" x14ac:dyDescent="0.2">
      <c r="A392" s="98"/>
      <c r="B392" s="158"/>
      <c r="C392" s="158"/>
      <c r="D392" s="158"/>
      <c r="E392" s="158"/>
      <c r="F392" s="159"/>
      <c r="G392" s="200"/>
      <c r="H392" s="168"/>
      <c r="I392" s="161"/>
      <c r="J392" s="248"/>
      <c r="K392" s="233"/>
      <c r="L392" s="91"/>
      <c r="M392" s="92"/>
    </row>
    <row r="393" spans="1:13" s="45" customFormat="1" ht="8.5500000000000007" customHeight="1" x14ac:dyDescent="0.2">
      <c r="A393" s="98"/>
      <c r="B393" s="172" t="s">
        <v>1228</v>
      </c>
      <c r="C393" s="172"/>
      <c r="D393" s="172"/>
      <c r="E393" s="172"/>
      <c r="F393" s="173"/>
      <c r="G393" s="166">
        <v>2000</v>
      </c>
      <c r="H393" s="167">
        <v>93</v>
      </c>
      <c r="I393" s="160"/>
      <c r="J393" s="247">
        <v>18.5</v>
      </c>
      <c r="K393" s="232">
        <v>1</v>
      </c>
      <c r="L393" s="91"/>
      <c r="M393" s="92"/>
    </row>
    <row r="394" spans="1:13" s="45" customFormat="1" ht="8.5500000000000007" customHeight="1" x14ac:dyDescent="0.2">
      <c r="A394" s="98"/>
      <c r="B394" s="174"/>
      <c r="C394" s="174"/>
      <c r="D394" s="174"/>
      <c r="E394" s="174"/>
      <c r="F394" s="175"/>
      <c r="G394" s="166"/>
      <c r="H394" s="168"/>
      <c r="I394" s="161"/>
      <c r="J394" s="248"/>
      <c r="K394" s="233"/>
      <c r="L394" s="91"/>
      <c r="M394" s="92"/>
    </row>
    <row r="395" spans="1:13" s="45" customFormat="1" ht="8.5500000000000007" customHeight="1" x14ac:dyDescent="0.2">
      <c r="A395" s="98"/>
      <c r="B395" s="156" t="s">
        <v>1228</v>
      </c>
      <c r="C395" s="156"/>
      <c r="D395" s="156"/>
      <c r="E395" s="156"/>
      <c r="F395" s="157"/>
      <c r="G395" s="166">
        <v>2001</v>
      </c>
      <c r="H395" s="167" t="s">
        <v>612</v>
      </c>
      <c r="I395" s="160"/>
      <c r="J395" s="247">
        <v>18</v>
      </c>
      <c r="K395" s="232">
        <v>1</v>
      </c>
      <c r="L395" s="91"/>
      <c r="M395" s="92"/>
    </row>
    <row r="396" spans="1:13" s="45" customFormat="1" ht="8.5500000000000007" customHeight="1" x14ac:dyDescent="0.2">
      <c r="A396" s="98"/>
      <c r="B396" s="158"/>
      <c r="C396" s="158"/>
      <c r="D396" s="158"/>
      <c r="E396" s="158"/>
      <c r="F396" s="159"/>
      <c r="G396" s="166"/>
      <c r="H396" s="168"/>
      <c r="I396" s="161"/>
      <c r="J396" s="248"/>
      <c r="K396" s="233"/>
      <c r="L396" s="91"/>
      <c r="M396" s="92"/>
    </row>
    <row r="397" spans="1:13" s="45" customFormat="1" ht="8.5500000000000007" customHeight="1" x14ac:dyDescent="0.2">
      <c r="A397" s="98"/>
      <c r="B397" s="156" t="s">
        <v>1228</v>
      </c>
      <c r="C397" s="156"/>
      <c r="D397" s="156"/>
      <c r="E397" s="156"/>
      <c r="F397" s="157"/>
      <c r="G397" s="166">
        <v>2005</v>
      </c>
      <c r="H397" s="167">
        <v>97</v>
      </c>
      <c r="I397" s="160"/>
      <c r="J397" s="247"/>
      <c r="K397" s="232">
        <v>2</v>
      </c>
      <c r="L397" s="91"/>
      <c r="M397" s="92"/>
    </row>
    <row r="398" spans="1:13" s="45" customFormat="1" ht="8.5500000000000007" customHeight="1" x14ac:dyDescent="0.2">
      <c r="A398" s="98"/>
      <c r="B398" s="158"/>
      <c r="C398" s="158"/>
      <c r="D398" s="158"/>
      <c r="E398" s="158"/>
      <c r="F398" s="159"/>
      <c r="G398" s="166"/>
      <c r="H398" s="168"/>
      <c r="I398" s="161"/>
      <c r="J398" s="248"/>
      <c r="K398" s="233"/>
      <c r="L398" s="91"/>
      <c r="M398" s="92"/>
    </row>
    <row r="399" spans="1:13" s="45" customFormat="1" ht="8.5500000000000007" customHeight="1" x14ac:dyDescent="0.2">
      <c r="A399" s="98"/>
      <c r="B399" s="156" t="s">
        <v>1228</v>
      </c>
      <c r="C399" s="156"/>
      <c r="D399" s="156"/>
      <c r="E399" s="156"/>
      <c r="F399" s="157"/>
      <c r="G399" s="166">
        <v>2007</v>
      </c>
      <c r="H399" s="167">
        <v>95</v>
      </c>
      <c r="I399" s="160">
        <v>97</v>
      </c>
      <c r="J399" s="247"/>
      <c r="K399" s="232">
        <v>2</v>
      </c>
      <c r="L399" s="91"/>
      <c r="M399" s="92"/>
    </row>
    <row r="400" spans="1:13" s="45" customFormat="1" ht="8.5500000000000007" customHeight="1" x14ac:dyDescent="0.2">
      <c r="A400" s="98"/>
      <c r="B400" s="158"/>
      <c r="C400" s="158"/>
      <c r="D400" s="158"/>
      <c r="E400" s="158"/>
      <c r="F400" s="159"/>
      <c r="G400" s="166"/>
      <c r="H400" s="168"/>
      <c r="I400" s="161"/>
      <c r="J400" s="248"/>
      <c r="K400" s="233"/>
      <c r="L400" s="91"/>
      <c r="M400" s="92"/>
    </row>
    <row r="401" spans="1:13" s="45" customFormat="1" ht="8.5500000000000007" customHeight="1" x14ac:dyDescent="0.2">
      <c r="A401" s="98"/>
      <c r="B401" s="156" t="s">
        <v>1228</v>
      </c>
      <c r="C401" s="156"/>
      <c r="D401" s="156"/>
      <c r="E401" s="156"/>
      <c r="F401" s="157"/>
      <c r="G401" s="166">
        <v>2009</v>
      </c>
      <c r="H401" s="167">
        <v>97</v>
      </c>
      <c r="I401" s="160"/>
      <c r="J401" s="247"/>
      <c r="K401" s="232">
        <v>2</v>
      </c>
      <c r="L401" s="91"/>
      <c r="M401" s="92"/>
    </row>
    <row r="402" spans="1:13" s="45" customFormat="1" ht="8.5500000000000007" customHeight="1" x14ac:dyDescent="0.2">
      <c r="A402" s="98"/>
      <c r="B402" s="158"/>
      <c r="C402" s="158"/>
      <c r="D402" s="158"/>
      <c r="E402" s="158"/>
      <c r="F402" s="159"/>
      <c r="G402" s="166"/>
      <c r="H402" s="168"/>
      <c r="I402" s="161"/>
      <c r="J402" s="248"/>
      <c r="K402" s="233"/>
      <c r="L402" s="91"/>
      <c r="M402" s="92"/>
    </row>
    <row r="403" spans="1:13" s="45" customFormat="1" ht="8.5500000000000007" customHeight="1" x14ac:dyDescent="0.2">
      <c r="A403" s="98"/>
      <c r="B403" s="170" t="s">
        <v>272</v>
      </c>
      <c r="C403" s="170"/>
      <c r="D403" s="170"/>
      <c r="E403" s="170"/>
      <c r="F403" s="170"/>
      <c r="G403" s="62"/>
      <c r="H403" s="62"/>
      <c r="I403" s="62"/>
      <c r="J403" s="115"/>
      <c r="K403" s="164"/>
      <c r="L403" s="91"/>
      <c r="M403" s="92"/>
    </row>
    <row r="404" spans="1:13" s="45" customFormat="1" ht="8.5500000000000007" customHeight="1" x14ac:dyDescent="0.2">
      <c r="A404" s="98"/>
      <c r="B404" s="171"/>
      <c r="C404" s="171"/>
      <c r="D404" s="171"/>
      <c r="E404" s="171"/>
      <c r="F404" s="171"/>
      <c r="G404" s="63"/>
      <c r="H404" s="63"/>
      <c r="I404" s="63"/>
      <c r="J404" s="116"/>
      <c r="K404" s="165"/>
      <c r="L404" s="91"/>
      <c r="M404" s="92"/>
    </row>
    <row r="405" spans="1:13" s="45" customFormat="1" ht="8.5500000000000007" customHeight="1" x14ac:dyDescent="0.2">
      <c r="A405" s="98"/>
      <c r="B405" s="172" t="s">
        <v>1229</v>
      </c>
      <c r="C405" s="172"/>
      <c r="D405" s="172"/>
      <c r="E405" s="172"/>
      <c r="F405" s="173"/>
      <c r="G405" s="166">
        <v>2001</v>
      </c>
      <c r="H405" s="167" t="s">
        <v>44</v>
      </c>
      <c r="I405" s="160"/>
      <c r="J405" s="247">
        <v>19</v>
      </c>
      <c r="K405" s="232">
        <v>1</v>
      </c>
      <c r="L405" s="91"/>
      <c r="M405" s="92"/>
    </row>
    <row r="406" spans="1:13" s="45" customFormat="1" ht="8.5500000000000007" customHeight="1" x14ac:dyDescent="0.2">
      <c r="A406" s="98"/>
      <c r="B406" s="174"/>
      <c r="C406" s="174"/>
      <c r="D406" s="174"/>
      <c r="E406" s="174"/>
      <c r="F406" s="175"/>
      <c r="G406" s="166"/>
      <c r="H406" s="168"/>
      <c r="I406" s="161"/>
      <c r="J406" s="248"/>
      <c r="K406" s="233"/>
      <c r="L406" s="91"/>
      <c r="M406" s="92"/>
    </row>
    <row r="407" spans="1:13" s="45" customFormat="1" ht="8.5500000000000007" customHeight="1" x14ac:dyDescent="0.2">
      <c r="A407" s="98"/>
      <c r="B407" s="156" t="s">
        <v>1229</v>
      </c>
      <c r="C407" s="156"/>
      <c r="D407" s="156"/>
      <c r="E407" s="156"/>
      <c r="F407" s="157"/>
      <c r="G407" s="166">
        <v>2005</v>
      </c>
      <c r="H407" s="167">
        <v>95</v>
      </c>
      <c r="I407" s="160"/>
      <c r="J407" s="247"/>
      <c r="K407" s="232">
        <v>2</v>
      </c>
      <c r="L407" s="91"/>
      <c r="M407" s="92"/>
    </row>
    <row r="408" spans="1:13" s="45" customFormat="1" ht="8.5500000000000007" customHeight="1" x14ac:dyDescent="0.2">
      <c r="A408" s="98"/>
      <c r="B408" s="158"/>
      <c r="C408" s="158"/>
      <c r="D408" s="158"/>
      <c r="E408" s="158"/>
      <c r="F408" s="159"/>
      <c r="G408" s="166"/>
      <c r="H408" s="168"/>
      <c r="I408" s="161"/>
      <c r="J408" s="248"/>
      <c r="K408" s="233"/>
      <c r="L408" s="91"/>
      <c r="M408" s="92"/>
    </row>
    <row r="409" spans="1:13" s="45" customFormat="1" ht="8.5500000000000007" customHeight="1" x14ac:dyDescent="0.2">
      <c r="A409" s="98"/>
      <c r="B409" s="156" t="s">
        <v>1229</v>
      </c>
      <c r="C409" s="156"/>
      <c r="D409" s="156"/>
      <c r="E409" s="156"/>
      <c r="F409" s="157"/>
      <c r="G409" s="166">
        <v>2006</v>
      </c>
      <c r="H409" s="167">
        <v>94</v>
      </c>
      <c r="I409" s="160"/>
      <c r="J409" s="247"/>
      <c r="K409" s="232">
        <v>2</v>
      </c>
      <c r="L409" s="91"/>
      <c r="M409" s="92"/>
    </row>
    <row r="410" spans="1:13" s="45" customFormat="1" ht="8.5500000000000007" customHeight="1" x14ac:dyDescent="0.2">
      <c r="A410" s="98"/>
      <c r="B410" s="158"/>
      <c r="C410" s="158"/>
      <c r="D410" s="158"/>
      <c r="E410" s="158"/>
      <c r="F410" s="159"/>
      <c r="G410" s="166"/>
      <c r="H410" s="168"/>
      <c r="I410" s="161"/>
      <c r="J410" s="248"/>
      <c r="K410" s="233"/>
      <c r="L410" s="91"/>
      <c r="M410" s="92"/>
    </row>
    <row r="411" spans="1:13" s="45" customFormat="1" ht="8.5500000000000007" customHeight="1" x14ac:dyDescent="0.2">
      <c r="A411" s="98"/>
      <c r="B411" s="156" t="s">
        <v>1229</v>
      </c>
      <c r="C411" s="156"/>
      <c r="D411" s="156"/>
      <c r="E411" s="156"/>
      <c r="F411" s="157"/>
      <c r="G411" s="166">
        <v>2007</v>
      </c>
      <c r="H411" s="167">
        <v>93</v>
      </c>
      <c r="I411" s="160">
        <v>93</v>
      </c>
      <c r="J411" s="247"/>
      <c r="K411" s="232">
        <v>2</v>
      </c>
      <c r="L411" s="91"/>
      <c r="M411" s="92"/>
    </row>
    <row r="412" spans="1:13" s="45" customFormat="1" ht="8.5500000000000007" customHeight="1" x14ac:dyDescent="0.2">
      <c r="A412" s="98"/>
      <c r="B412" s="158"/>
      <c r="C412" s="158"/>
      <c r="D412" s="158"/>
      <c r="E412" s="158"/>
      <c r="F412" s="159"/>
      <c r="G412" s="166"/>
      <c r="H412" s="168"/>
      <c r="I412" s="161"/>
      <c r="J412" s="248"/>
      <c r="K412" s="233"/>
      <c r="L412" s="91"/>
      <c r="M412" s="92"/>
    </row>
    <row r="413" spans="1:13" s="45" customFormat="1" ht="8.5500000000000007" customHeight="1" x14ac:dyDescent="0.2">
      <c r="A413" s="98"/>
      <c r="B413" s="156" t="s">
        <v>1229</v>
      </c>
      <c r="C413" s="156"/>
      <c r="D413" s="156"/>
      <c r="E413" s="156"/>
      <c r="F413" s="157"/>
      <c r="G413" s="166">
        <v>2009</v>
      </c>
      <c r="H413" s="167">
        <v>97</v>
      </c>
      <c r="I413" s="160"/>
      <c r="J413" s="247"/>
      <c r="K413" s="232">
        <v>1</v>
      </c>
      <c r="L413" s="91"/>
      <c r="M413" s="92"/>
    </row>
    <row r="414" spans="1:13" s="45" customFormat="1" ht="8.5500000000000007" customHeight="1" x14ac:dyDescent="0.2">
      <c r="A414" s="98"/>
      <c r="B414" s="158"/>
      <c r="C414" s="158"/>
      <c r="D414" s="158"/>
      <c r="E414" s="158"/>
      <c r="F414" s="159"/>
      <c r="G414" s="166"/>
      <c r="H414" s="168"/>
      <c r="I414" s="161"/>
      <c r="J414" s="248"/>
      <c r="K414" s="233"/>
      <c r="L414" s="91"/>
      <c r="M414" s="92"/>
    </row>
    <row r="415" spans="1:13" s="45" customFormat="1" ht="8.5500000000000007" customHeight="1" x14ac:dyDescent="0.2">
      <c r="A415" s="98"/>
      <c r="B415" s="172" t="s">
        <v>1369</v>
      </c>
      <c r="C415" s="172"/>
      <c r="D415" s="172"/>
      <c r="E415" s="172"/>
      <c r="F415" s="173"/>
      <c r="G415" s="166">
        <v>2006</v>
      </c>
      <c r="H415" s="167">
        <v>94</v>
      </c>
      <c r="I415" s="160"/>
      <c r="J415" s="247"/>
      <c r="K415" s="232">
        <v>1</v>
      </c>
      <c r="L415" s="91"/>
      <c r="M415" s="92"/>
    </row>
    <row r="416" spans="1:13" s="45" customFormat="1" ht="8.5500000000000007" customHeight="1" x14ac:dyDescent="0.2">
      <c r="A416" s="98"/>
      <c r="B416" s="174"/>
      <c r="C416" s="174"/>
      <c r="D416" s="174"/>
      <c r="E416" s="174"/>
      <c r="F416" s="175"/>
      <c r="G416" s="166"/>
      <c r="H416" s="168"/>
      <c r="I416" s="161"/>
      <c r="J416" s="248"/>
      <c r="K416" s="233"/>
      <c r="L416" s="91"/>
      <c r="M416" s="92"/>
    </row>
    <row r="417" spans="1:13" s="45" customFormat="1" ht="8.5500000000000007" customHeight="1" x14ac:dyDescent="0.2">
      <c r="A417" s="98"/>
      <c r="B417" s="156" t="s">
        <v>1369</v>
      </c>
      <c r="C417" s="156"/>
      <c r="D417" s="156"/>
      <c r="E417" s="156"/>
      <c r="F417" s="157"/>
      <c r="G417" s="166">
        <v>2007</v>
      </c>
      <c r="H417" s="167"/>
      <c r="I417" s="160"/>
      <c r="J417" s="247"/>
      <c r="K417" s="232">
        <v>1</v>
      </c>
      <c r="L417" s="91"/>
      <c r="M417" s="92"/>
    </row>
    <row r="418" spans="1:13" s="45" customFormat="1" ht="8.5500000000000007" customHeight="1" x14ac:dyDescent="0.2">
      <c r="A418" s="98"/>
      <c r="B418" s="158"/>
      <c r="C418" s="158"/>
      <c r="D418" s="158"/>
      <c r="E418" s="158"/>
      <c r="F418" s="159"/>
      <c r="G418" s="166"/>
      <c r="H418" s="168"/>
      <c r="I418" s="161"/>
      <c r="J418" s="248"/>
      <c r="K418" s="233"/>
      <c r="L418" s="91"/>
      <c r="M418" s="92"/>
    </row>
    <row r="419" spans="1:13" s="45" customFormat="1" ht="8.5500000000000007" customHeight="1" x14ac:dyDescent="0.2">
      <c r="A419" s="98"/>
      <c r="B419" s="172" t="s">
        <v>1259</v>
      </c>
      <c r="C419" s="172"/>
      <c r="D419" s="172"/>
      <c r="E419" s="172"/>
      <c r="F419" s="173"/>
      <c r="G419" s="166">
        <v>2004</v>
      </c>
      <c r="H419" s="167"/>
      <c r="I419" s="160">
        <v>86</v>
      </c>
      <c r="J419" s="247"/>
      <c r="K419" s="232">
        <v>2</v>
      </c>
      <c r="L419" s="91"/>
      <c r="M419" s="92"/>
    </row>
    <row r="420" spans="1:13" s="45" customFormat="1" ht="8.5500000000000007" customHeight="1" x14ac:dyDescent="0.2">
      <c r="A420" s="98"/>
      <c r="B420" s="174"/>
      <c r="C420" s="174"/>
      <c r="D420" s="174"/>
      <c r="E420" s="174"/>
      <c r="F420" s="175"/>
      <c r="G420" s="166"/>
      <c r="H420" s="168"/>
      <c r="I420" s="161"/>
      <c r="J420" s="248"/>
      <c r="K420" s="233"/>
      <c r="L420" s="91"/>
      <c r="M420" s="92"/>
    </row>
    <row r="421" spans="1:13" s="45" customFormat="1" ht="8.5500000000000007" customHeight="1" x14ac:dyDescent="0.2">
      <c r="A421" s="98"/>
      <c r="B421" s="172" t="s">
        <v>1275</v>
      </c>
      <c r="C421" s="172"/>
      <c r="D421" s="172"/>
      <c r="E421" s="172"/>
      <c r="F421" s="173"/>
      <c r="G421" s="166">
        <v>2006</v>
      </c>
      <c r="H421" s="167">
        <v>93</v>
      </c>
      <c r="I421" s="160"/>
      <c r="J421" s="247"/>
      <c r="K421" s="232">
        <v>1</v>
      </c>
      <c r="L421" s="91"/>
      <c r="M421" s="92"/>
    </row>
    <row r="422" spans="1:13" s="45" customFormat="1" ht="8.5500000000000007" customHeight="1" x14ac:dyDescent="0.2">
      <c r="A422" s="98"/>
      <c r="B422" s="174"/>
      <c r="C422" s="174"/>
      <c r="D422" s="174"/>
      <c r="E422" s="174"/>
      <c r="F422" s="175"/>
      <c r="G422" s="166"/>
      <c r="H422" s="168"/>
      <c r="I422" s="161"/>
      <c r="J422" s="248"/>
      <c r="K422" s="233"/>
      <c r="L422" s="91"/>
      <c r="M422" s="92"/>
    </row>
    <row r="423" spans="1:13" s="45" customFormat="1" ht="8.5500000000000007" customHeight="1" x14ac:dyDescent="0.2">
      <c r="A423" s="98"/>
      <c r="B423" s="156" t="s">
        <v>1260</v>
      </c>
      <c r="C423" s="156"/>
      <c r="D423" s="156"/>
      <c r="E423" s="156"/>
      <c r="F423" s="157"/>
      <c r="G423" s="166">
        <v>2005</v>
      </c>
      <c r="H423" s="167" t="s">
        <v>3</v>
      </c>
      <c r="I423" s="160"/>
      <c r="J423" s="247"/>
      <c r="K423" s="232">
        <v>1</v>
      </c>
      <c r="L423" s="91"/>
      <c r="M423" s="92"/>
    </row>
    <row r="424" spans="1:13" s="45" customFormat="1" ht="8.5500000000000007" customHeight="1" x14ac:dyDescent="0.2">
      <c r="A424" s="98"/>
      <c r="B424" s="158"/>
      <c r="C424" s="158"/>
      <c r="D424" s="158"/>
      <c r="E424" s="158"/>
      <c r="F424" s="159"/>
      <c r="G424" s="166"/>
      <c r="H424" s="168"/>
      <c r="I424" s="161"/>
      <c r="J424" s="248"/>
      <c r="K424" s="233"/>
      <c r="L424" s="91"/>
      <c r="M424" s="92"/>
    </row>
    <row r="425" spans="1:13" s="45" customFormat="1" ht="8.5500000000000007" customHeight="1" x14ac:dyDescent="0.2">
      <c r="A425" s="98"/>
      <c r="B425" s="156" t="s">
        <v>1260</v>
      </c>
      <c r="C425" s="156"/>
      <c r="D425" s="156"/>
      <c r="E425" s="156"/>
      <c r="F425" s="157"/>
      <c r="G425" s="166">
        <v>2006</v>
      </c>
      <c r="H425" s="167">
        <v>92</v>
      </c>
      <c r="I425" s="160">
        <v>92</v>
      </c>
      <c r="J425" s="247"/>
      <c r="K425" s="232">
        <v>2</v>
      </c>
      <c r="L425" s="91"/>
      <c r="M425" s="92"/>
    </row>
    <row r="426" spans="1:13" s="45" customFormat="1" ht="8.5500000000000007" customHeight="1" x14ac:dyDescent="0.2">
      <c r="A426" s="98"/>
      <c r="B426" s="158"/>
      <c r="C426" s="158"/>
      <c r="D426" s="158"/>
      <c r="E426" s="158"/>
      <c r="F426" s="159"/>
      <c r="G426" s="166"/>
      <c r="H426" s="168"/>
      <c r="I426" s="161"/>
      <c r="J426" s="248"/>
      <c r="K426" s="233"/>
      <c r="L426" s="91"/>
      <c r="M426" s="92"/>
    </row>
    <row r="427" spans="1:13" s="45" customFormat="1" ht="8.5500000000000007" customHeight="1" x14ac:dyDescent="0.2">
      <c r="A427" s="98"/>
      <c r="B427" s="183" t="s">
        <v>1261</v>
      </c>
      <c r="C427" s="183"/>
      <c r="D427" s="183"/>
      <c r="E427" s="183"/>
      <c r="F427" s="184"/>
      <c r="G427" s="166">
        <v>2006</v>
      </c>
      <c r="H427" s="167">
        <v>94</v>
      </c>
      <c r="I427" s="160"/>
      <c r="J427" s="247"/>
      <c r="K427" s="232">
        <v>2</v>
      </c>
      <c r="L427" s="91"/>
      <c r="M427" s="92"/>
    </row>
    <row r="428" spans="1:13" s="45" customFormat="1" ht="8.5500000000000007" customHeight="1" x14ac:dyDescent="0.2">
      <c r="A428" s="98"/>
      <c r="B428" s="185"/>
      <c r="C428" s="185"/>
      <c r="D428" s="185"/>
      <c r="E428" s="185"/>
      <c r="F428" s="186"/>
      <c r="G428" s="166"/>
      <c r="H428" s="168"/>
      <c r="I428" s="161"/>
      <c r="J428" s="248"/>
      <c r="K428" s="233"/>
      <c r="L428" s="91"/>
      <c r="M428" s="92"/>
    </row>
    <row r="429" spans="1:13" s="45" customFormat="1" ht="8.5500000000000007" customHeight="1" x14ac:dyDescent="0.2">
      <c r="A429" s="98"/>
      <c r="B429" s="156" t="s">
        <v>1390</v>
      </c>
      <c r="C429" s="156"/>
      <c r="D429" s="156"/>
      <c r="E429" s="156"/>
      <c r="F429" s="157"/>
      <c r="G429" s="166">
        <v>2005</v>
      </c>
      <c r="H429" s="167"/>
      <c r="I429" s="160"/>
      <c r="J429" s="247"/>
      <c r="K429" s="232">
        <v>1</v>
      </c>
      <c r="L429" s="91"/>
      <c r="M429" s="92"/>
    </row>
    <row r="430" spans="1:13" s="45" customFormat="1" ht="8.5500000000000007" customHeight="1" x14ac:dyDescent="0.2">
      <c r="A430" s="98"/>
      <c r="B430" s="158"/>
      <c r="C430" s="158"/>
      <c r="D430" s="158"/>
      <c r="E430" s="158"/>
      <c r="F430" s="159"/>
      <c r="G430" s="166"/>
      <c r="H430" s="168"/>
      <c r="I430" s="161"/>
      <c r="J430" s="248"/>
      <c r="K430" s="233"/>
      <c r="L430" s="91"/>
      <c r="M430" s="92"/>
    </row>
    <row r="431" spans="1:13" s="45" customFormat="1" ht="8.5500000000000007" customHeight="1" x14ac:dyDescent="0.2">
      <c r="A431" s="98"/>
      <c r="B431" s="172" t="s">
        <v>1230</v>
      </c>
      <c r="C431" s="172"/>
      <c r="D431" s="172"/>
      <c r="E431" s="172"/>
      <c r="F431" s="173"/>
      <c r="G431" s="166">
        <v>1999</v>
      </c>
      <c r="H431" s="167" t="s">
        <v>612</v>
      </c>
      <c r="I431" s="160"/>
      <c r="J431" s="247"/>
      <c r="K431" s="232">
        <v>1</v>
      </c>
      <c r="L431" s="91"/>
      <c r="M431" s="92"/>
    </row>
    <row r="432" spans="1:13" s="45" customFormat="1" ht="8.5500000000000007" customHeight="1" x14ac:dyDescent="0.2">
      <c r="A432" s="98"/>
      <c r="B432" s="174"/>
      <c r="C432" s="174"/>
      <c r="D432" s="174"/>
      <c r="E432" s="174"/>
      <c r="F432" s="175"/>
      <c r="G432" s="166"/>
      <c r="H432" s="168"/>
      <c r="I432" s="161"/>
      <c r="J432" s="248"/>
      <c r="K432" s="233"/>
      <c r="L432" s="91"/>
      <c r="M432" s="92"/>
    </row>
    <row r="433" spans="1:13" s="45" customFormat="1" ht="8.5500000000000007" customHeight="1" x14ac:dyDescent="0.2">
      <c r="A433" s="98"/>
      <c r="B433" s="156" t="s">
        <v>1230</v>
      </c>
      <c r="C433" s="156"/>
      <c r="D433" s="156"/>
      <c r="E433" s="156"/>
      <c r="F433" s="157"/>
      <c r="G433" s="166">
        <v>2002</v>
      </c>
      <c r="H433" s="167">
        <v>100</v>
      </c>
      <c r="I433" s="160"/>
      <c r="J433" s="247">
        <v>19.5</v>
      </c>
      <c r="K433" s="232">
        <v>3</v>
      </c>
      <c r="L433" s="91"/>
      <c r="M433" s="92"/>
    </row>
    <row r="434" spans="1:13" s="45" customFormat="1" ht="8.5500000000000007" customHeight="1" x14ac:dyDescent="0.2">
      <c r="A434" s="98"/>
      <c r="B434" s="158"/>
      <c r="C434" s="158"/>
      <c r="D434" s="158"/>
      <c r="E434" s="158"/>
      <c r="F434" s="159"/>
      <c r="G434" s="166"/>
      <c r="H434" s="168"/>
      <c r="I434" s="161"/>
      <c r="J434" s="248"/>
      <c r="K434" s="233"/>
      <c r="L434" s="91"/>
      <c r="M434" s="92"/>
    </row>
    <row r="435" spans="1:13" s="45" customFormat="1" ht="8.5500000000000007" customHeight="1" x14ac:dyDescent="0.2">
      <c r="A435" s="98"/>
      <c r="B435" s="156" t="s">
        <v>1230</v>
      </c>
      <c r="C435" s="156"/>
      <c r="D435" s="156"/>
      <c r="E435" s="156"/>
      <c r="F435" s="157"/>
      <c r="G435" s="166">
        <v>2003</v>
      </c>
      <c r="H435" s="167">
        <v>96</v>
      </c>
      <c r="I435" s="160"/>
      <c r="J435" s="247"/>
      <c r="K435" s="232">
        <v>1</v>
      </c>
      <c r="L435" s="91"/>
      <c r="M435" s="92"/>
    </row>
    <row r="436" spans="1:13" s="45" customFormat="1" ht="8.5500000000000007" customHeight="1" x14ac:dyDescent="0.2">
      <c r="A436" s="98"/>
      <c r="B436" s="158"/>
      <c r="C436" s="158"/>
      <c r="D436" s="158"/>
      <c r="E436" s="158"/>
      <c r="F436" s="159"/>
      <c r="G436" s="166"/>
      <c r="H436" s="168"/>
      <c r="I436" s="161"/>
      <c r="J436" s="248"/>
      <c r="K436" s="233"/>
      <c r="L436" s="91"/>
      <c r="M436" s="92"/>
    </row>
    <row r="437" spans="1:13" s="45" customFormat="1" ht="8.5500000000000007" customHeight="1" x14ac:dyDescent="0.2">
      <c r="A437" s="98"/>
      <c r="B437" s="156" t="s">
        <v>1230</v>
      </c>
      <c r="C437" s="156"/>
      <c r="D437" s="156"/>
      <c r="E437" s="156"/>
      <c r="F437" s="157"/>
      <c r="G437" s="166">
        <v>2005</v>
      </c>
      <c r="H437" s="167">
        <v>95</v>
      </c>
      <c r="I437" s="160"/>
      <c r="J437" s="247"/>
      <c r="K437" s="232">
        <v>1</v>
      </c>
      <c r="L437" s="91"/>
      <c r="M437" s="92"/>
    </row>
    <row r="438" spans="1:13" s="45" customFormat="1" ht="8.5500000000000007" customHeight="1" x14ac:dyDescent="0.2">
      <c r="A438" s="98"/>
      <c r="B438" s="158"/>
      <c r="C438" s="158"/>
      <c r="D438" s="158"/>
      <c r="E438" s="158"/>
      <c r="F438" s="159"/>
      <c r="G438" s="166"/>
      <c r="H438" s="168"/>
      <c r="I438" s="161"/>
      <c r="J438" s="248"/>
      <c r="K438" s="233"/>
      <c r="L438" s="91"/>
      <c r="M438" s="92"/>
    </row>
    <row r="439" spans="1:13" s="45" customFormat="1" ht="8.5500000000000007" customHeight="1" x14ac:dyDescent="0.2">
      <c r="A439" s="98"/>
      <c r="B439" s="156" t="s">
        <v>1231</v>
      </c>
      <c r="C439" s="156"/>
      <c r="D439" s="156"/>
      <c r="E439" s="156"/>
      <c r="F439" s="157"/>
      <c r="G439" s="166">
        <v>1996</v>
      </c>
      <c r="H439" s="167" t="s">
        <v>985</v>
      </c>
      <c r="I439" s="160"/>
      <c r="J439" s="247">
        <v>18.5</v>
      </c>
      <c r="K439" s="232">
        <v>1</v>
      </c>
      <c r="L439" s="91"/>
      <c r="M439" s="92"/>
    </row>
    <row r="440" spans="1:13" s="45" customFormat="1" ht="8.5500000000000007" customHeight="1" x14ac:dyDescent="0.2">
      <c r="A440" s="98"/>
      <c r="B440" s="158"/>
      <c r="C440" s="158"/>
      <c r="D440" s="158"/>
      <c r="E440" s="158"/>
      <c r="F440" s="159"/>
      <c r="G440" s="166"/>
      <c r="H440" s="168"/>
      <c r="I440" s="161"/>
      <c r="J440" s="248"/>
      <c r="K440" s="233"/>
      <c r="L440" s="91"/>
      <c r="M440" s="92"/>
    </row>
    <row r="441" spans="1:13" s="45" customFormat="1" ht="8.5500000000000007" customHeight="1" x14ac:dyDescent="0.2">
      <c r="A441" s="98"/>
      <c r="B441" s="156" t="s">
        <v>1231</v>
      </c>
      <c r="C441" s="156"/>
      <c r="D441" s="156"/>
      <c r="E441" s="156"/>
      <c r="F441" s="157"/>
      <c r="G441" s="166">
        <v>2005</v>
      </c>
      <c r="H441" s="167">
        <v>93</v>
      </c>
      <c r="I441" s="160"/>
      <c r="J441" s="247"/>
      <c r="K441" s="232">
        <v>2</v>
      </c>
      <c r="L441" s="91"/>
      <c r="M441" s="92"/>
    </row>
    <row r="442" spans="1:13" s="45" customFormat="1" ht="8.5500000000000007" customHeight="1" x14ac:dyDescent="0.2">
      <c r="A442" s="98"/>
      <c r="B442" s="158"/>
      <c r="C442" s="158"/>
      <c r="D442" s="158"/>
      <c r="E442" s="158"/>
      <c r="F442" s="159"/>
      <c r="G442" s="166"/>
      <c r="H442" s="168"/>
      <c r="I442" s="161"/>
      <c r="J442" s="248"/>
      <c r="K442" s="233"/>
      <c r="L442" s="91"/>
      <c r="M442" s="92"/>
    </row>
    <row r="443" spans="1:13" s="45" customFormat="1" ht="8.5500000000000007" customHeight="1" x14ac:dyDescent="0.2">
      <c r="A443" s="98"/>
      <c r="B443" s="156" t="s">
        <v>1512</v>
      </c>
      <c r="C443" s="156"/>
      <c r="D443" s="156"/>
      <c r="E443" s="156"/>
      <c r="F443" s="157"/>
      <c r="G443" s="166">
        <v>2005</v>
      </c>
      <c r="H443" s="167">
        <v>91</v>
      </c>
      <c r="I443" s="160"/>
      <c r="J443" s="247"/>
      <c r="K443" s="232">
        <v>1</v>
      </c>
      <c r="L443" s="91"/>
      <c r="M443" s="92"/>
    </row>
    <row r="444" spans="1:13" s="45" customFormat="1" ht="8.5500000000000007" customHeight="1" x14ac:dyDescent="0.2">
      <c r="A444" s="98"/>
      <c r="B444" s="158"/>
      <c r="C444" s="158"/>
      <c r="D444" s="158"/>
      <c r="E444" s="158"/>
      <c r="F444" s="159"/>
      <c r="G444" s="166"/>
      <c r="H444" s="168"/>
      <c r="I444" s="161"/>
      <c r="J444" s="248"/>
      <c r="K444" s="233"/>
      <c r="L444" s="91"/>
      <c r="M444" s="92"/>
    </row>
    <row r="445" spans="1:13" s="45" customFormat="1" ht="8.5500000000000007" customHeight="1" x14ac:dyDescent="0.2">
      <c r="A445" s="98"/>
      <c r="B445" s="172" t="s">
        <v>1182</v>
      </c>
      <c r="C445" s="172"/>
      <c r="D445" s="172"/>
      <c r="E445" s="172"/>
      <c r="F445" s="173"/>
      <c r="G445" s="251">
        <v>1999</v>
      </c>
      <c r="H445" s="167" t="s">
        <v>1967</v>
      </c>
      <c r="I445" s="160"/>
      <c r="J445" s="249"/>
      <c r="K445" s="234">
        <v>2</v>
      </c>
      <c r="L445" s="91"/>
      <c r="M445" s="92"/>
    </row>
    <row r="446" spans="1:13" s="45" customFormat="1" ht="8.5500000000000007" customHeight="1" x14ac:dyDescent="0.2">
      <c r="A446" s="98"/>
      <c r="B446" s="174"/>
      <c r="C446" s="174"/>
      <c r="D446" s="174"/>
      <c r="E446" s="174"/>
      <c r="F446" s="175"/>
      <c r="G446" s="252"/>
      <c r="H446" s="168"/>
      <c r="I446" s="161"/>
      <c r="J446" s="250"/>
      <c r="K446" s="235"/>
      <c r="L446" s="91"/>
      <c r="M446" s="92"/>
    </row>
    <row r="447" spans="1:13" s="45" customFormat="1" ht="8.5500000000000007" customHeight="1" x14ac:dyDescent="0.2">
      <c r="A447" s="98"/>
      <c r="B447" s="156" t="s">
        <v>1182</v>
      </c>
      <c r="C447" s="156"/>
      <c r="D447" s="156"/>
      <c r="E447" s="156"/>
      <c r="F447" s="157"/>
      <c r="G447" s="251">
        <v>2005</v>
      </c>
      <c r="H447" s="167" t="s">
        <v>557</v>
      </c>
      <c r="I447" s="160"/>
      <c r="J447" s="249"/>
      <c r="K447" s="234">
        <v>2</v>
      </c>
      <c r="L447" s="91"/>
      <c r="M447" s="92"/>
    </row>
    <row r="448" spans="1:13" s="45" customFormat="1" ht="8.5500000000000007" customHeight="1" x14ac:dyDescent="0.2">
      <c r="A448" s="98"/>
      <c r="B448" s="158"/>
      <c r="C448" s="158"/>
      <c r="D448" s="158"/>
      <c r="E448" s="158"/>
      <c r="F448" s="159"/>
      <c r="G448" s="252"/>
      <c r="H448" s="168"/>
      <c r="I448" s="161"/>
      <c r="J448" s="250"/>
      <c r="K448" s="235"/>
      <c r="L448" s="91"/>
      <c r="M448" s="92"/>
    </row>
    <row r="449" spans="1:13" s="45" customFormat="1" ht="8.5500000000000007" customHeight="1" x14ac:dyDescent="0.2">
      <c r="A449" s="98"/>
      <c r="B449" s="156" t="s">
        <v>1183</v>
      </c>
      <c r="C449" s="156"/>
      <c r="D449" s="156"/>
      <c r="E449" s="156"/>
      <c r="F449" s="157"/>
      <c r="G449" s="251">
        <v>2005</v>
      </c>
      <c r="H449" s="167" t="s">
        <v>68</v>
      </c>
      <c r="I449" s="160"/>
      <c r="J449" s="249"/>
      <c r="K449" s="234">
        <v>1</v>
      </c>
      <c r="L449" s="91"/>
      <c r="M449" s="92"/>
    </row>
    <row r="450" spans="1:13" s="45" customFormat="1" ht="8.5500000000000007" customHeight="1" x14ac:dyDescent="0.2">
      <c r="A450" s="98"/>
      <c r="B450" s="158"/>
      <c r="C450" s="158"/>
      <c r="D450" s="158"/>
      <c r="E450" s="158"/>
      <c r="F450" s="159"/>
      <c r="G450" s="252"/>
      <c r="H450" s="168"/>
      <c r="I450" s="161"/>
      <c r="J450" s="250"/>
      <c r="K450" s="235"/>
      <c r="L450" s="91"/>
      <c r="M450" s="92"/>
    </row>
    <row r="451" spans="1:13" s="45" customFormat="1" ht="8.5500000000000007" customHeight="1" x14ac:dyDescent="0.2">
      <c r="A451" s="98"/>
      <c r="B451" s="156" t="s">
        <v>1184</v>
      </c>
      <c r="C451" s="156"/>
      <c r="D451" s="156"/>
      <c r="E451" s="156"/>
      <c r="F451" s="157"/>
      <c r="G451" s="251">
        <v>1999</v>
      </c>
      <c r="H451" s="167"/>
      <c r="I451" s="160"/>
      <c r="J451" s="249">
        <v>18.5</v>
      </c>
      <c r="K451" s="234">
        <v>1</v>
      </c>
      <c r="L451" s="91"/>
      <c r="M451" s="92"/>
    </row>
    <row r="452" spans="1:13" s="45" customFormat="1" ht="8.5500000000000007" customHeight="1" x14ac:dyDescent="0.2">
      <c r="A452" s="98"/>
      <c r="B452" s="158"/>
      <c r="C452" s="158"/>
      <c r="D452" s="158"/>
      <c r="E452" s="158"/>
      <c r="F452" s="159"/>
      <c r="G452" s="252"/>
      <c r="H452" s="168"/>
      <c r="I452" s="161"/>
      <c r="J452" s="250"/>
      <c r="K452" s="235"/>
      <c r="L452" s="91"/>
      <c r="M452" s="92"/>
    </row>
    <row r="453" spans="1:13" s="45" customFormat="1" ht="8.5500000000000007" customHeight="1" x14ac:dyDescent="0.2">
      <c r="A453" s="98"/>
      <c r="B453" s="156" t="s">
        <v>1184</v>
      </c>
      <c r="C453" s="156"/>
      <c r="D453" s="156"/>
      <c r="E453" s="156"/>
      <c r="F453" s="157"/>
      <c r="G453" s="251">
        <v>2005</v>
      </c>
      <c r="H453" s="167"/>
      <c r="I453" s="160"/>
      <c r="J453" s="249"/>
      <c r="K453" s="234">
        <v>2</v>
      </c>
      <c r="L453" s="91"/>
      <c r="M453" s="92"/>
    </row>
    <row r="454" spans="1:13" s="45" customFormat="1" ht="8.5500000000000007" customHeight="1" x14ac:dyDescent="0.2">
      <c r="A454" s="98"/>
      <c r="B454" s="158"/>
      <c r="C454" s="158"/>
      <c r="D454" s="158"/>
      <c r="E454" s="158"/>
      <c r="F454" s="159"/>
      <c r="G454" s="252"/>
      <c r="H454" s="168"/>
      <c r="I454" s="161"/>
      <c r="J454" s="250"/>
      <c r="K454" s="235"/>
      <c r="L454" s="91"/>
      <c r="M454" s="92"/>
    </row>
    <row r="455" spans="1:13" s="45" customFormat="1" ht="8.5500000000000007" customHeight="1" x14ac:dyDescent="0.2">
      <c r="A455" s="98"/>
      <c r="B455" s="156" t="s">
        <v>1232</v>
      </c>
      <c r="C455" s="156"/>
      <c r="D455" s="156"/>
      <c r="E455" s="156"/>
      <c r="F455" s="157"/>
      <c r="G455" s="251">
        <v>1995</v>
      </c>
      <c r="H455" s="167" t="s">
        <v>688</v>
      </c>
      <c r="I455" s="160"/>
      <c r="J455" s="249">
        <v>19.5</v>
      </c>
      <c r="K455" s="234">
        <v>1</v>
      </c>
      <c r="L455" s="91"/>
      <c r="M455" s="92"/>
    </row>
    <row r="456" spans="1:13" s="45" customFormat="1" ht="8.5500000000000007" customHeight="1" x14ac:dyDescent="0.2">
      <c r="A456" s="98"/>
      <c r="B456" s="158"/>
      <c r="C456" s="158"/>
      <c r="D456" s="158"/>
      <c r="E456" s="158"/>
      <c r="F456" s="159"/>
      <c r="G456" s="252"/>
      <c r="H456" s="168"/>
      <c r="I456" s="161"/>
      <c r="J456" s="250"/>
      <c r="K456" s="235"/>
      <c r="L456" s="91"/>
      <c r="M456" s="92"/>
    </row>
    <row r="457" spans="1:13" s="45" customFormat="1" ht="8.5500000000000007" customHeight="1" x14ac:dyDescent="0.2">
      <c r="A457" s="98"/>
      <c r="B457" s="156" t="s">
        <v>1232</v>
      </c>
      <c r="C457" s="156"/>
      <c r="D457" s="156"/>
      <c r="E457" s="156"/>
      <c r="F457" s="157"/>
      <c r="G457" s="251">
        <v>2007</v>
      </c>
      <c r="H457" s="167"/>
      <c r="I457" s="160"/>
      <c r="J457" s="249"/>
      <c r="K457" s="234">
        <v>1</v>
      </c>
      <c r="L457" s="91"/>
      <c r="M457" s="92"/>
    </row>
    <row r="458" spans="1:13" s="45" customFormat="1" ht="8.5500000000000007" customHeight="1" x14ac:dyDescent="0.2">
      <c r="A458" s="98"/>
      <c r="B458" s="158"/>
      <c r="C458" s="158"/>
      <c r="D458" s="158"/>
      <c r="E458" s="158"/>
      <c r="F458" s="159"/>
      <c r="G458" s="252"/>
      <c r="H458" s="168"/>
      <c r="I458" s="161"/>
      <c r="J458" s="250"/>
      <c r="K458" s="235"/>
      <c r="L458" s="91"/>
      <c r="M458" s="92"/>
    </row>
    <row r="459" spans="1:13" s="45" customFormat="1" ht="8.5500000000000007" customHeight="1" x14ac:dyDescent="0.2">
      <c r="A459" s="98"/>
      <c r="B459" s="170" t="s">
        <v>272</v>
      </c>
      <c r="C459" s="170"/>
      <c r="D459" s="170"/>
      <c r="E459" s="170"/>
      <c r="F459" s="170"/>
      <c r="G459" s="62"/>
      <c r="H459" s="62"/>
      <c r="I459" s="62"/>
      <c r="J459" s="115"/>
      <c r="K459" s="164"/>
      <c r="L459" s="91"/>
      <c r="M459" s="92"/>
    </row>
    <row r="460" spans="1:13" s="45" customFormat="1" ht="8.5500000000000007" customHeight="1" x14ac:dyDescent="0.2">
      <c r="A460" s="98"/>
      <c r="B460" s="171"/>
      <c r="C460" s="171"/>
      <c r="D460" s="171"/>
      <c r="E460" s="171"/>
      <c r="F460" s="171"/>
      <c r="G460" s="63"/>
      <c r="H460" s="63"/>
      <c r="I460" s="63"/>
      <c r="J460" s="116"/>
      <c r="K460" s="165"/>
      <c r="L460" s="91"/>
      <c r="M460" s="92"/>
    </row>
    <row r="461" spans="1:13" s="45" customFormat="1" ht="8.5500000000000007" customHeight="1" x14ac:dyDescent="0.2">
      <c r="A461" s="98"/>
      <c r="B461" s="156" t="s">
        <v>1232</v>
      </c>
      <c r="C461" s="156"/>
      <c r="D461" s="156"/>
      <c r="E461" s="156"/>
      <c r="F461" s="157"/>
      <c r="G461" s="251">
        <v>2013</v>
      </c>
      <c r="H461" s="167" t="s">
        <v>44</v>
      </c>
      <c r="I461" s="160"/>
      <c r="J461" s="249"/>
      <c r="K461" s="234">
        <v>1</v>
      </c>
      <c r="L461" s="91"/>
      <c r="M461" s="92"/>
    </row>
    <row r="462" spans="1:13" s="45" customFormat="1" ht="8.5500000000000007" customHeight="1" x14ac:dyDescent="0.2">
      <c r="A462" s="98"/>
      <c r="B462" s="158"/>
      <c r="C462" s="158"/>
      <c r="D462" s="158"/>
      <c r="E462" s="158"/>
      <c r="F462" s="159"/>
      <c r="G462" s="252"/>
      <c r="H462" s="168"/>
      <c r="I462" s="161"/>
      <c r="J462" s="250"/>
      <c r="K462" s="235"/>
      <c r="L462" s="91"/>
      <c r="M462" s="92"/>
    </row>
    <row r="463" spans="1:13" s="45" customFormat="1" ht="8.5500000000000007" customHeight="1" x14ac:dyDescent="0.2">
      <c r="A463" s="98"/>
      <c r="B463" s="172" t="s">
        <v>1476</v>
      </c>
      <c r="C463" s="172"/>
      <c r="D463" s="172"/>
      <c r="E463" s="172"/>
      <c r="F463" s="173"/>
      <c r="G463" s="251">
        <v>2003</v>
      </c>
      <c r="H463" s="167"/>
      <c r="I463" s="160"/>
      <c r="J463" s="247"/>
      <c r="K463" s="234">
        <v>1</v>
      </c>
      <c r="L463" s="91"/>
      <c r="M463" s="92"/>
    </row>
    <row r="464" spans="1:13" s="45" customFormat="1" ht="8.5500000000000007" customHeight="1" x14ac:dyDescent="0.2">
      <c r="A464" s="98"/>
      <c r="B464" s="174"/>
      <c r="C464" s="174"/>
      <c r="D464" s="174"/>
      <c r="E464" s="174"/>
      <c r="F464" s="175"/>
      <c r="G464" s="252"/>
      <c r="H464" s="168"/>
      <c r="I464" s="161"/>
      <c r="J464" s="248"/>
      <c r="K464" s="235"/>
      <c r="L464" s="91"/>
      <c r="M464" s="92"/>
    </row>
    <row r="465" spans="1:13" s="45" customFormat="1" ht="8.5500000000000007" customHeight="1" x14ac:dyDescent="0.2">
      <c r="A465" s="98"/>
      <c r="B465" s="156" t="s">
        <v>1477</v>
      </c>
      <c r="C465" s="156"/>
      <c r="D465" s="156"/>
      <c r="E465" s="156"/>
      <c r="F465" s="157"/>
      <c r="G465" s="251">
        <v>2003</v>
      </c>
      <c r="H465" s="167"/>
      <c r="I465" s="160"/>
      <c r="J465" s="247"/>
      <c r="K465" s="234">
        <v>2</v>
      </c>
      <c r="L465" s="91"/>
      <c r="M465" s="92"/>
    </row>
    <row r="466" spans="1:13" s="45" customFormat="1" ht="8.5500000000000007" customHeight="1" x14ac:dyDescent="0.2">
      <c r="A466" s="98"/>
      <c r="B466" s="158"/>
      <c r="C466" s="158"/>
      <c r="D466" s="158"/>
      <c r="E466" s="158"/>
      <c r="F466" s="159"/>
      <c r="G466" s="252"/>
      <c r="H466" s="168"/>
      <c r="I466" s="161"/>
      <c r="J466" s="248"/>
      <c r="K466" s="235"/>
      <c r="L466" s="91"/>
      <c r="M466" s="92"/>
    </row>
    <row r="467" spans="1:13" s="45" customFormat="1" ht="8.5500000000000007" customHeight="1" x14ac:dyDescent="0.2">
      <c r="A467" s="98"/>
      <c r="B467" s="156" t="s">
        <v>1808</v>
      </c>
      <c r="C467" s="156"/>
      <c r="D467" s="156"/>
      <c r="E467" s="156"/>
      <c r="F467" s="157"/>
      <c r="G467" s="251">
        <v>2007</v>
      </c>
      <c r="H467" s="167"/>
      <c r="I467" s="160"/>
      <c r="J467" s="247"/>
      <c r="K467" s="234">
        <v>2</v>
      </c>
      <c r="L467" s="91"/>
      <c r="M467" s="92"/>
    </row>
    <row r="468" spans="1:13" s="45" customFormat="1" ht="8.5500000000000007" customHeight="1" x14ac:dyDescent="0.2">
      <c r="A468" s="98"/>
      <c r="B468" s="158"/>
      <c r="C468" s="158"/>
      <c r="D468" s="158"/>
      <c r="E468" s="158"/>
      <c r="F468" s="159"/>
      <c r="G468" s="252"/>
      <c r="H468" s="168"/>
      <c r="I468" s="161"/>
      <c r="J468" s="248"/>
      <c r="K468" s="235"/>
      <c r="L468" s="91"/>
      <c r="M468" s="92"/>
    </row>
    <row r="469" spans="1:13" s="45" customFormat="1" ht="8.5500000000000007" customHeight="1" x14ac:dyDescent="0.2">
      <c r="A469" s="98"/>
      <c r="B469" s="156" t="s">
        <v>1809</v>
      </c>
      <c r="C469" s="156"/>
      <c r="D469" s="156"/>
      <c r="E469" s="156"/>
      <c r="F469" s="157"/>
      <c r="G469" s="251">
        <v>2007</v>
      </c>
      <c r="H469" s="167"/>
      <c r="I469" s="160"/>
      <c r="J469" s="247"/>
      <c r="K469" s="234">
        <v>1</v>
      </c>
      <c r="L469" s="91"/>
      <c r="M469" s="92"/>
    </row>
    <row r="470" spans="1:13" s="45" customFormat="1" ht="8.5500000000000007" customHeight="1" x14ac:dyDescent="0.2">
      <c r="A470" s="98"/>
      <c r="B470" s="158"/>
      <c r="C470" s="158"/>
      <c r="D470" s="158"/>
      <c r="E470" s="158"/>
      <c r="F470" s="159"/>
      <c r="G470" s="252"/>
      <c r="H470" s="168"/>
      <c r="I470" s="161"/>
      <c r="J470" s="248"/>
      <c r="K470" s="235"/>
      <c r="L470" s="91"/>
      <c r="M470" s="92"/>
    </row>
    <row r="471" spans="1:13" s="45" customFormat="1" ht="8.5500000000000007" customHeight="1" x14ac:dyDescent="0.2">
      <c r="A471" s="98"/>
      <c r="B471" s="156" t="s">
        <v>1185</v>
      </c>
      <c r="C471" s="156"/>
      <c r="D471" s="156"/>
      <c r="E471" s="156"/>
      <c r="F471" s="157"/>
      <c r="G471" s="251">
        <v>2005</v>
      </c>
      <c r="H471" s="167"/>
      <c r="I471" s="160"/>
      <c r="J471" s="247"/>
      <c r="K471" s="234">
        <v>2</v>
      </c>
      <c r="L471" s="91"/>
      <c r="M471" s="92"/>
    </row>
    <row r="472" spans="1:13" s="45" customFormat="1" ht="8.5500000000000007" customHeight="1" x14ac:dyDescent="0.2">
      <c r="A472" s="98"/>
      <c r="B472" s="158"/>
      <c r="C472" s="158"/>
      <c r="D472" s="158"/>
      <c r="E472" s="158"/>
      <c r="F472" s="159"/>
      <c r="G472" s="252"/>
      <c r="H472" s="168"/>
      <c r="I472" s="161"/>
      <c r="J472" s="248"/>
      <c r="K472" s="235"/>
      <c r="L472" s="91"/>
      <c r="M472" s="92"/>
    </row>
    <row r="473" spans="1:13" s="45" customFormat="1" ht="8.5500000000000007" customHeight="1" x14ac:dyDescent="0.2">
      <c r="A473" s="98"/>
      <c r="B473" s="156" t="s">
        <v>1185</v>
      </c>
      <c r="C473" s="156"/>
      <c r="D473" s="156"/>
      <c r="E473" s="156"/>
      <c r="F473" s="157"/>
      <c r="G473" s="251">
        <v>2006</v>
      </c>
      <c r="H473" s="167"/>
      <c r="I473" s="160"/>
      <c r="J473" s="247"/>
      <c r="K473" s="234">
        <v>2</v>
      </c>
      <c r="L473" s="91"/>
      <c r="M473" s="92"/>
    </row>
    <row r="474" spans="1:13" s="45" customFormat="1" ht="8.5500000000000007" customHeight="1" x14ac:dyDescent="0.2">
      <c r="A474" s="98"/>
      <c r="B474" s="158"/>
      <c r="C474" s="158"/>
      <c r="D474" s="158"/>
      <c r="E474" s="158"/>
      <c r="F474" s="159"/>
      <c r="G474" s="252"/>
      <c r="H474" s="168"/>
      <c r="I474" s="161"/>
      <c r="J474" s="248"/>
      <c r="K474" s="235"/>
      <c r="L474" s="91"/>
      <c r="M474" s="92"/>
    </row>
    <row r="475" spans="1:13" s="45" customFormat="1" ht="8.5500000000000007" customHeight="1" x14ac:dyDescent="0.2">
      <c r="A475" s="98"/>
      <c r="B475" s="156" t="s">
        <v>1370</v>
      </c>
      <c r="C475" s="156"/>
      <c r="D475" s="156"/>
      <c r="E475" s="156"/>
      <c r="F475" s="157"/>
      <c r="G475" s="251">
        <v>2003</v>
      </c>
      <c r="H475" s="167"/>
      <c r="I475" s="160"/>
      <c r="J475" s="249"/>
      <c r="K475" s="234">
        <v>1</v>
      </c>
      <c r="L475" s="91"/>
      <c r="M475" s="92"/>
    </row>
    <row r="476" spans="1:13" s="45" customFormat="1" ht="8.5500000000000007" customHeight="1" x14ac:dyDescent="0.2">
      <c r="A476" s="98"/>
      <c r="B476" s="158"/>
      <c r="C476" s="158"/>
      <c r="D476" s="158"/>
      <c r="E476" s="158"/>
      <c r="F476" s="159"/>
      <c r="G476" s="252"/>
      <c r="H476" s="168"/>
      <c r="I476" s="161"/>
      <c r="J476" s="250"/>
      <c r="K476" s="235"/>
      <c r="L476" s="91"/>
      <c r="M476" s="92"/>
    </row>
    <row r="477" spans="1:13" s="45" customFormat="1" ht="8.5500000000000007" customHeight="1" x14ac:dyDescent="0.2">
      <c r="A477" s="98"/>
      <c r="B477" s="183" t="s">
        <v>1277</v>
      </c>
      <c r="C477" s="183"/>
      <c r="D477" s="183"/>
      <c r="E477" s="183"/>
      <c r="F477" s="184"/>
      <c r="G477" s="251">
        <v>2005</v>
      </c>
      <c r="H477" s="167"/>
      <c r="I477" s="160"/>
      <c r="J477" s="247"/>
      <c r="K477" s="232">
        <v>1</v>
      </c>
      <c r="L477" s="91"/>
      <c r="M477" s="92"/>
    </row>
    <row r="478" spans="1:13" s="45" customFormat="1" ht="8.5500000000000007" customHeight="1" x14ac:dyDescent="0.2">
      <c r="A478" s="98"/>
      <c r="B478" s="265"/>
      <c r="C478" s="265"/>
      <c r="D478" s="265"/>
      <c r="E478" s="265"/>
      <c r="F478" s="266"/>
      <c r="G478" s="252"/>
      <c r="H478" s="168"/>
      <c r="I478" s="161"/>
      <c r="J478" s="248"/>
      <c r="K478" s="233"/>
      <c r="L478" s="91"/>
      <c r="M478" s="92"/>
    </row>
    <row r="479" spans="1:13" s="45" customFormat="1" ht="8.5500000000000007" customHeight="1" x14ac:dyDescent="0.2">
      <c r="A479" s="98"/>
      <c r="B479" s="183" t="s">
        <v>1277</v>
      </c>
      <c r="C479" s="183"/>
      <c r="D479" s="183"/>
      <c r="E479" s="183"/>
      <c r="F479" s="184"/>
      <c r="G479" s="251">
        <v>2006</v>
      </c>
      <c r="H479" s="167"/>
      <c r="I479" s="160"/>
      <c r="J479" s="247"/>
      <c r="K479" s="234">
        <v>1</v>
      </c>
      <c r="L479" s="91"/>
      <c r="M479" s="92"/>
    </row>
    <row r="480" spans="1:13" s="45" customFormat="1" ht="8.5500000000000007" customHeight="1" x14ac:dyDescent="0.2">
      <c r="A480" s="98"/>
      <c r="B480" s="265"/>
      <c r="C480" s="265"/>
      <c r="D480" s="265"/>
      <c r="E480" s="265"/>
      <c r="F480" s="266"/>
      <c r="G480" s="252"/>
      <c r="H480" s="168"/>
      <c r="I480" s="161"/>
      <c r="J480" s="248"/>
      <c r="K480" s="235"/>
      <c r="L480" s="91"/>
      <c r="M480" s="92"/>
    </row>
    <row r="481" spans="1:13" s="45" customFormat="1" ht="8.5500000000000007" customHeight="1" x14ac:dyDescent="0.2">
      <c r="A481" s="98"/>
      <c r="B481" s="156" t="s">
        <v>1278</v>
      </c>
      <c r="C481" s="156"/>
      <c r="D481" s="156"/>
      <c r="E481" s="156"/>
      <c r="F481" s="157"/>
      <c r="G481" s="251">
        <v>2006</v>
      </c>
      <c r="H481" s="167"/>
      <c r="I481" s="160"/>
      <c r="J481" s="247"/>
      <c r="K481" s="232">
        <v>1</v>
      </c>
      <c r="L481" s="91"/>
      <c r="M481" s="92"/>
    </row>
    <row r="482" spans="1:13" s="45" customFormat="1" ht="8.5500000000000007" customHeight="1" x14ac:dyDescent="0.2">
      <c r="A482" s="98"/>
      <c r="B482" s="158"/>
      <c r="C482" s="158"/>
      <c r="D482" s="158"/>
      <c r="E482" s="158"/>
      <c r="F482" s="159"/>
      <c r="G482" s="252"/>
      <c r="H482" s="168"/>
      <c r="I482" s="161"/>
      <c r="J482" s="248"/>
      <c r="K482" s="233"/>
      <c r="L482" s="91"/>
      <c r="M482" s="92"/>
    </row>
    <row r="483" spans="1:13" s="45" customFormat="1" ht="8.5500000000000007" customHeight="1" x14ac:dyDescent="0.2">
      <c r="A483" s="98"/>
      <c r="B483" s="156" t="s">
        <v>1186</v>
      </c>
      <c r="C483" s="156"/>
      <c r="D483" s="156"/>
      <c r="E483" s="156"/>
      <c r="F483" s="157"/>
      <c r="G483" s="251">
        <v>2005</v>
      </c>
      <c r="H483" s="167"/>
      <c r="I483" s="160">
        <v>94</v>
      </c>
      <c r="J483" s="247"/>
      <c r="K483" s="234">
        <v>2</v>
      </c>
      <c r="L483" s="91"/>
      <c r="M483" s="92"/>
    </row>
    <row r="484" spans="1:13" s="45" customFormat="1" ht="8.5500000000000007" customHeight="1" x14ac:dyDescent="0.2">
      <c r="A484" s="98"/>
      <c r="B484" s="158"/>
      <c r="C484" s="158"/>
      <c r="D484" s="158"/>
      <c r="E484" s="158"/>
      <c r="F484" s="159"/>
      <c r="G484" s="252"/>
      <c r="H484" s="168"/>
      <c r="I484" s="161"/>
      <c r="J484" s="248"/>
      <c r="K484" s="235"/>
      <c r="L484" s="91"/>
      <c r="M484" s="92"/>
    </row>
    <row r="485" spans="1:13" s="45" customFormat="1" ht="8.5500000000000007" customHeight="1" x14ac:dyDescent="0.2">
      <c r="A485" s="98"/>
      <c r="B485" s="156" t="s">
        <v>1279</v>
      </c>
      <c r="C485" s="156"/>
      <c r="D485" s="156"/>
      <c r="E485" s="156"/>
      <c r="F485" s="157"/>
      <c r="G485" s="251">
        <v>2005</v>
      </c>
      <c r="H485" s="167"/>
      <c r="I485" s="160"/>
      <c r="J485" s="247"/>
      <c r="K485" s="232">
        <v>2</v>
      </c>
      <c r="L485" s="91"/>
      <c r="M485" s="92"/>
    </row>
    <row r="486" spans="1:13" s="45" customFormat="1" ht="8.5500000000000007" customHeight="1" x14ac:dyDescent="0.2">
      <c r="A486" s="98"/>
      <c r="B486" s="158"/>
      <c r="C486" s="158"/>
      <c r="D486" s="158"/>
      <c r="E486" s="158"/>
      <c r="F486" s="159"/>
      <c r="G486" s="252"/>
      <c r="H486" s="168"/>
      <c r="I486" s="161"/>
      <c r="J486" s="248"/>
      <c r="K486" s="233"/>
      <c r="L486" s="91"/>
      <c r="M486" s="92"/>
    </row>
    <row r="487" spans="1:13" s="45" customFormat="1" ht="8.5500000000000007" customHeight="1" x14ac:dyDescent="0.2">
      <c r="A487" s="98"/>
      <c r="B487" s="156" t="s">
        <v>1279</v>
      </c>
      <c r="C487" s="156"/>
      <c r="D487" s="156"/>
      <c r="E487" s="156"/>
      <c r="F487" s="157"/>
      <c r="G487" s="251">
        <v>2008</v>
      </c>
      <c r="H487" s="167"/>
      <c r="I487" s="160"/>
      <c r="J487" s="247"/>
      <c r="K487" s="234">
        <v>2</v>
      </c>
      <c r="L487" s="91"/>
      <c r="M487" s="92"/>
    </row>
    <row r="488" spans="1:13" s="45" customFormat="1" ht="8.5500000000000007" customHeight="1" x14ac:dyDescent="0.2">
      <c r="A488" s="98"/>
      <c r="B488" s="158"/>
      <c r="C488" s="158"/>
      <c r="D488" s="158"/>
      <c r="E488" s="158"/>
      <c r="F488" s="159"/>
      <c r="G488" s="252"/>
      <c r="H488" s="168"/>
      <c r="I488" s="161"/>
      <c r="J488" s="248"/>
      <c r="K488" s="235"/>
      <c r="L488" s="91"/>
      <c r="M488" s="92"/>
    </row>
    <row r="489" spans="1:13" s="45" customFormat="1" ht="8.5500000000000007" customHeight="1" x14ac:dyDescent="0.2">
      <c r="A489" s="98"/>
      <c r="B489" s="156" t="s">
        <v>1187</v>
      </c>
      <c r="C489" s="156"/>
      <c r="D489" s="156"/>
      <c r="E489" s="156"/>
      <c r="F489" s="157"/>
      <c r="G489" s="251">
        <v>2005</v>
      </c>
      <c r="H489" s="167"/>
      <c r="I489" s="160"/>
      <c r="J489" s="247"/>
      <c r="K489" s="234">
        <v>2</v>
      </c>
      <c r="L489" s="91"/>
      <c r="M489" s="92"/>
    </row>
    <row r="490" spans="1:13" s="45" customFormat="1" ht="8.5500000000000007" customHeight="1" x14ac:dyDescent="0.2">
      <c r="A490" s="98"/>
      <c r="B490" s="158"/>
      <c r="C490" s="158"/>
      <c r="D490" s="158"/>
      <c r="E490" s="158"/>
      <c r="F490" s="159"/>
      <c r="G490" s="252"/>
      <c r="H490" s="168"/>
      <c r="I490" s="161"/>
      <c r="J490" s="248"/>
      <c r="K490" s="235"/>
      <c r="L490" s="91"/>
      <c r="M490" s="92"/>
    </row>
    <row r="491" spans="1:13" s="45" customFormat="1" ht="8.5500000000000007" customHeight="1" x14ac:dyDescent="0.2">
      <c r="A491" s="98"/>
      <c r="B491" s="156" t="s">
        <v>1276</v>
      </c>
      <c r="C491" s="156"/>
      <c r="D491" s="156"/>
      <c r="E491" s="156"/>
      <c r="F491" s="157"/>
      <c r="G491" s="251">
        <v>2006</v>
      </c>
      <c r="H491" s="167"/>
      <c r="I491" s="160"/>
      <c r="J491" s="247"/>
      <c r="K491" s="234">
        <v>2</v>
      </c>
      <c r="L491" s="91"/>
      <c r="M491" s="92"/>
    </row>
    <row r="492" spans="1:13" s="45" customFormat="1" ht="8.5500000000000007" customHeight="1" x14ac:dyDescent="0.2">
      <c r="A492" s="98"/>
      <c r="B492" s="158"/>
      <c r="C492" s="158"/>
      <c r="D492" s="158"/>
      <c r="E492" s="158"/>
      <c r="F492" s="159"/>
      <c r="G492" s="252"/>
      <c r="H492" s="168"/>
      <c r="I492" s="161"/>
      <c r="J492" s="248"/>
      <c r="K492" s="235"/>
      <c r="L492" s="91"/>
      <c r="M492" s="92"/>
    </row>
    <row r="493" spans="1:13" s="45" customFormat="1" ht="8.5500000000000007" customHeight="1" x14ac:dyDescent="0.2">
      <c r="A493" s="98"/>
      <c r="B493" s="172" t="s">
        <v>1282</v>
      </c>
      <c r="C493" s="275"/>
      <c r="D493" s="275"/>
      <c r="E493" s="275"/>
      <c r="F493" s="276"/>
      <c r="G493" s="251">
        <v>2003</v>
      </c>
      <c r="H493" s="167"/>
      <c r="I493" s="160">
        <v>98</v>
      </c>
      <c r="J493" s="247"/>
      <c r="K493" s="234">
        <v>2</v>
      </c>
      <c r="L493" s="91"/>
      <c r="M493" s="92"/>
    </row>
    <row r="494" spans="1:13" s="45" customFormat="1" ht="8.5500000000000007" customHeight="1" x14ac:dyDescent="0.2">
      <c r="A494" s="98"/>
      <c r="B494" s="277"/>
      <c r="C494" s="277"/>
      <c r="D494" s="277"/>
      <c r="E494" s="277"/>
      <c r="F494" s="278"/>
      <c r="G494" s="252"/>
      <c r="H494" s="168"/>
      <c r="I494" s="161"/>
      <c r="J494" s="248"/>
      <c r="K494" s="235"/>
      <c r="L494" s="91"/>
      <c r="M494" s="92"/>
    </row>
    <row r="495" spans="1:13" s="45" customFormat="1" ht="8.5500000000000007" customHeight="1" x14ac:dyDescent="0.2">
      <c r="A495" s="98"/>
      <c r="B495" s="156" t="s">
        <v>1282</v>
      </c>
      <c r="C495" s="192"/>
      <c r="D495" s="192"/>
      <c r="E495" s="192"/>
      <c r="F495" s="193"/>
      <c r="G495" s="251">
        <v>2005</v>
      </c>
      <c r="H495" s="167" t="s">
        <v>1968</v>
      </c>
      <c r="I495" s="160">
        <v>95</v>
      </c>
      <c r="J495" s="247"/>
      <c r="K495" s="234">
        <v>2</v>
      </c>
      <c r="L495" s="91"/>
      <c r="M495" s="92"/>
    </row>
    <row r="496" spans="1:13" s="45" customFormat="1" ht="8.5500000000000007" customHeight="1" x14ac:dyDescent="0.2">
      <c r="A496" s="98"/>
      <c r="B496" s="194"/>
      <c r="C496" s="194"/>
      <c r="D496" s="194"/>
      <c r="E496" s="194"/>
      <c r="F496" s="195"/>
      <c r="G496" s="252"/>
      <c r="H496" s="168"/>
      <c r="I496" s="161"/>
      <c r="J496" s="248"/>
      <c r="K496" s="235"/>
      <c r="L496" s="91"/>
      <c r="M496" s="92"/>
    </row>
    <row r="497" spans="1:13" s="45" customFormat="1" ht="8.5500000000000007" customHeight="1" x14ac:dyDescent="0.2">
      <c r="A497" s="98"/>
      <c r="B497" s="156" t="s">
        <v>1283</v>
      </c>
      <c r="C497" s="192"/>
      <c r="D497" s="192"/>
      <c r="E497" s="192"/>
      <c r="F497" s="193"/>
      <c r="G497" s="251">
        <v>2006</v>
      </c>
      <c r="H497" s="167"/>
      <c r="I497" s="160">
        <v>93</v>
      </c>
      <c r="J497" s="247"/>
      <c r="K497" s="234">
        <v>2</v>
      </c>
      <c r="L497" s="91"/>
      <c r="M497" s="92"/>
    </row>
    <row r="498" spans="1:13" s="45" customFormat="1" ht="8.5500000000000007" customHeight="1" x14ac:dyDescent="0.2">
      <c r="A498" s="98"/>
      <c r="B498" s="194"/>
      <c r="C498" s="194"/>
      <c r="D498" s="194"/>
      <c r="E498" s="194"/>
      <c r="F498" s="195"/>
      <c r="G498" s="252"/>
      <c r="H498" s="168"/>
      <c r="I498" s="161"/>
      <c r="J498" s="248"/>
      <c r="K498" s="235"/>
      <c r="L498" s="91"/>
      <c r="M498" s="92"/>
    </row>
    <row r="499" spans="1:13" s="45" customFormat="1" ht="8.5500000000000007" customHeight="1" x14ac:dyDescent="0.2">
      <c r="A499" s="98"/>
      <c r="B499" s="156" t="s">
        <v>1285</v>
      </c>
      <c r="C499" s="156"/>
      <c r="D499" s="156"/>
      <c r="E499" s="156"/>
      <c r="F499" s="157"/>
      <c r="G499" s="251">
        <v>2005</v>
      </c>
      <c r="H499" s="167"/>
      <c r="I499" s="160"/>
      <c r="J499" s="247"/>
      <c r="K499" s="234">
        <v>3</v>
      </c>
      <c r="L499" s="91"/>
      <c r="M499" s="92"/>
    </row>
    <row r="500" spans="1:13" s="45" customFormat="1" ht="8.5500000000000007" customHeight="1" x14ac:dyDescent="0.2">
      <c r="A500" s="98"/>
      <c r="B500" s="158"/>
      <c r="C500" s="158"/>
      <c r="D500" s="158"/>
      <c r="E500" s="158"/>
      <c r="F500" s="159"/>
      <c r="G500" s="252"/>
      <c r="H500" s="168"/>
      <c r="I500" s="161"/>
      <c r="J500" s="248"/>
      <c r="K500" s="235"/>
      <c r="L500" s="91"/>
      <c r="M500" s="92"/>
    </row>
    <row r="501" spans="1:13" s="45" customFormat="1" ht="8.5500000000000007" customHeight="1" x14ac:dyDescent="0.2">
      <c r="A501" s="98"/>
      <c r="B501" s="183" t="s">
        <v>1256</v>
      </c>
      <c r="C501" s="183"/>
      <c r="D501" s="183"/>
      <c r="E501" s="183"/>
      <c r="F501" s="184"/>
      <c r="G501" s="251">
        <v>2005</v>
      </c>
      <c r="H501" s="167" t="s">
        <v>557</v>
      </c>
      <c r="I501" s="160">
        <v>93</v>
      </c>
      <c r="J501" s="249"/>
      <c r="K501" s="234">
        <v>1</v>
      </c>
      <c r="L501" s="91"/>
      <c r="M501" s="92"/>
    </row>
    <row r="502" spans="1:13" s="45" customFormat="1" ht="8.5500000000000007" customHeight="1" x14ac:dyDescent="0.2">
      <c r="A502" s="98"/>
      <c r="B502" s="185"/>
      <c r="C502" s="185"/>
      <c r="D502" s="185"/>
      <c r="E502" s="185"/>
      <c r="F502" s="186"/>
      <c r="G502" s="252"/>
      <c r="H502" s="168"/>
      <c r="I502" s="161"/>
      <c r="J502" s="250"/>
      <c r="K502" s="235"/>
      <c r="L502" s="91"/>
      <c r="M502" s="92"/>
    </row>
    <row r="503" spans="1:13" s="45" customFormat="1" ht="8.5500000000000007" customHeight="1" x14ac:dyDescent="0.2">
      <c r="A503" s="98"/>
      <c r="B503" s="183" t="s">
        <v>1284</v>
      </c>
      <c r="C503" s="183"/>
      <c r="D503" s="183"/>
      <c r="E503" s="183"/>
      <c r="F503" s="184"/>
      <c r="G503" s="251">
        <v>2005</v>
      </c>
      <c r="H503" s="167"/>
      <c r="I503" s="160"/>
      <c r="J503" s="249"/>
      <c r="K503" s="234">
        <v>2</v>
      </c>
      <c r="L503" s="91"/>
      <c r="M503" s="92"/>
    </row>
    <row r="504" spans="1:13" s="45" customFormat="1" ht="8.5500000000000007" customHeight="1" x14ac:dyDescent="0.2">
      <c r="A504" s="98"/>
      <c r="B504" s="185"/>
      <c r="C504" s="185"/>
      <c r="D504" s="185"/>
      <c r="E504" s="185"/>
      <c r="F504" s="186"/>
      <c r="G504" s="252"/>
      <c r="H504" s="168"/>
      <c r="I504" s="161"/>
      <c r="J504" s="250"/>
      <c r="K504" s="235"/>
      <c r="L504" s="91"/>
      <c r="M504" s="92"/>
    </row>
    <row r="505" spans="1:13" s="45" customFormat="1" ht="8.5500000000000007" customHeight="1" x14ac:dyDescent="0.2">
      <c r="A505" s="98"/>
      <c r="B505" s="156" t="s">
        <v>1280</v>
      </c>
      <c r="C505" s="156"/>
      <c r="D505" s="156"/>
      <c r="E505" s="156"/>
      <c r="F505" s="157"/>
      <c r="G505" s="251">
        <v>2014</v>
      </c>
      <c r="H505" s="167"/>
      <c r="I505" s="160"/>
      <c r="J505" s="247"/>
      <c r="K505" s="234">
        <v>2</v>
      </c>
      <c r="L505" s="91"/>
      <c r="M505" s="92"/>
    </row>
    <row r="506" spans="1:13" s="45" customFormat="1" ht="8.5500000000000007" customHeight="1" x14ac:dyDescent="0.2">
      <c r="A506" s="98"/>
      <c r="B506" s="158"/>
      <c r="C506" s="158"/>
      <c r="D506" s="158"/>
      <c r="E506" s="158"/>
      <c r="F506" s="159"/>
      <c r="G506" s="252"/>
      <c r="H506" s="168"/>
      <c r="I506" s="161"/>
      <c r="J506" s="248"/>
      <c r="K506" s="235"/>
      <c r="L506" s="91"/>
      <c r="M506" s="92"/>
    </row>
    <row r="507" spans="1:13" s="45" customFormat="1" ht="8.5500000000000007" customHeight="1" x14ac:dyDescent="0.2">
      <c r="A507" s="98"/>
      <c r="B507" s="156" t="s">
        <v>1234</v>
      </c>
      <c r="C507" s="156"/>
      <c r="D507" s="156"/>
      <c r="E507" s="156"/>
      <c r="F507" s="157"/>
      <c r="G507" s="166">
        <v>2002</v>
      </c>
      <c r="H507" s="167" t="s">
        <v>299</v>
      </c>
      <c r="I507" s="160">
        <v>92</v>
      </c>
      <c r="J507" s="249"/>
      <c r="K507" s="234">
        <v>1</v>
      </c>
      <c r="L507" s="91"/>
      <c r="M507" s="92"/>
    </row>
    <row r="508" spans="1:13" s="45" customFormat="1" ht="8.5500000000000007" customHeight="1" x14ac:dyDescent="0.2">
      <c r="A508" s="98"/>
      <c r="B508" s="158"/>
      <c r="C508" s="158"/>
      <c r="D508" s="158"/>
      <c r="E508" s="158"/>
      <c r="F508" s="159"/>
      <c r="G508" s="166"/>
      <c r="H508" s="168"/>
      <c r="I508" s="161"/>
      <c r="J508" s="250"/>
      <c r="K508" s="235"/>
      <c r="L508" s="91"/>
      <c r="M508" s="92"/>
    </row>
    <row r="509" spans="1:13" s="45" customFormat="1" ht="8.5500000000000007" customHeight="1" x14ac:dyDescent="0.2">
      <c r="A509" s="98"/>
      <c r="B509" s="172" t="s">
        <v>1233</v>
      </c>
      <c r="C509" s="172"/>
      <c r="D509" s="172"/>
      <c r="E509" s="172"/>
      <c r="F509" s="173"/>
      <c r="G509" s="166">
        <v>2008</v>
      </c>
      <c r="H509" s="167" t="s">
        <v>3</v>
      </c>
      <c r="I509" s="160"/>
      <c r="J509" s="249"/>
      <c r="K509" s="234">
        <v>2</v>
      </c>
      <c r="L509" s="91"/>
      <c r="M509" s="92"/>
    </row>
    <row r="510" spans="1:13" s="45" customFormat="1" ht="8.5500000000000007" customHeight="1" x14ac:dyDescent="0.2">
      <c r="A510" s="98"/>
      <c r="B510" s="174"/>
      <c r="C510" s="174"/>
      <c r="D510" s="174"/>
      <c r="E510" s="174"/>
      <c r="F510" s="175"/>
      <c r="G510" s="166"/>
      <c r="H510" s="168"/>
      <c r="I510" s="161"/>
      <c r="J510" s="250"/>
      <c r="K510" s="235"/>
      <c r="L510" s="91"/>
      <c r="M510" s="92"/>
    </row>
    <row r="511" spans="1:13" s="45" customFormat="1" ht="8.5500000000000007" customHeight="1" x14ac:dyDescent="0.2">
      <c r="A511" s="98"/>
      <c r="B511" s="172" t="s">
        <v>1995</v>
      </c>
      <c r="C511" s="172"/>
      <c r="D511" s="172"/>
      <c r="E511" s="172"/>
      <c r="F511" s="173"/>
      <c r="G511" s="166">
        <v>2017</v>
      </c>
      <c r="H511" s="167"/>
      <c r="I511" s="160"/>
      <c r="J511" s="249"/>
      <c r="K511" s="234">
        <v>6</v>
      </c>
      <c r="L511" s="91"/>
      <c r="M511" s="92"/>
    </row>
    <row r="512" spans="1:13" s="45" customFormat="1" ht="8.5500000000000007" customHeight="1" x14ac:dyDescent="0.2">
      <c r="A512" s="98"/>
      <c r="B512" s="174"/>
      <c r="C512" s="174"/>
      <c r="D512" s="174"/>
      <c r="E512" s="174"/>
      <c r="F512" s="175"/>
      <c r="G512" s="166"/>
      <c r="H512" s="168"/>
      <c r="I512" s="161"/>
      <c r="J512" s="250"/>
      <c r="K512" s="235"/>
      <c r="L512" s="91"/>
      <c r="M512" s="92"/>
    </row>
    <row r="513" spans="1:13" s="45" customFormat="1" ht="8.5500000000000007" customHeight="1" x14ac:dyDescent="0.2">
      <c r="A513" s="98"/>
      <c r="B513" s="172" t="s">
        <v>1235</v>
      </c>
      <c r="C513" s="172"/>
      <c r="D513" s="172"/>
      <c r="E513" s="172"/>
      <c r="F513" s="173"/>
      <c r="G513" s="166">
        <v>1996</v>
      </c>
      <c r="H513" s="167" t="s">
        <v>61</v>
      </c>
      <c r="I513" s="56"/>
      <c r="J513" s="249"/>
      <c r="K513" s="232">
        <v>2</v>
      </c>
      <c r="L513" s="91"/>
      <c r="M513" s="92"/>
    </row>
    <row r="514" spans="1:13" s="45" customFormat="1" ht="8.5500000000000007" customHeight="1" x14ac:dyDescent="0.2">
      <c r="A514" s="98"/>
      <c r="B514" s="174"/>
      <c r="C514" s="174"/>
      <c r="D514" s="174"/>
      <c r="E514" s="174"/>
      <c r="F514" s="175"/>
      <c r="G514" s="166"/>
      <c r="H514" s="168"/>
      <c r="I514" s="57"/>
      <c r="J514" s="250"/>
      <c r="K514" s="233"/>
      <c r="L514" s="91"/>
      <c r="M514" s="92"/>
    </row>
    <row r="515" spans="1:13" s="45" customFormat="1" ht="8.5500000000000007" customHeight="1" x14ac:dyDescent="0.2">
      <c r="A515" s="98"/>
      <c r="B515" s="170" t="s">
        <v>272</v>
      </c>
      <c r="C515" s="170"/>
      <c r="D515" s="170"/>
      <c r="E515" s="170"/>
      <c r="F515" s="170"/>
      <c r="G515" s="62"/>
      <c r="H515" s="62"/>
      <c r="I515" s="62"/>
      <c r="J515" s="115"/>
      <c r="K515" s="164"/>
      <c r="L515" s="91"/>
      <c r="M515" s="92"/>
    </row>
    <row r="516" spans="1:13" s="45" customFormat="1" ht="8.5500000000000007" customHeight="1" x14ac:dyDescent="0.2">
      <c r="A516" s="98"/>
      <c r="B516" s="171"/>
      <c r="C516" s="171"/>
      <c r="D516" s="171"/>
      <c r="E516" s="171"/>
      <c r="F516" s="171"/>
      <c r="G516" s="63"/>
      <c r="H516" s="63"/>
      <c r="I516" s="63"/>
      <c r="J516" s="116"/>
      <c r="K516" s="165"/>
      <c r="L516" s="91"/>
      <c r="M516" s="92"/>
    </row>
    <row r="517" spans="1:13" s="45" customFormat="1" ht="8.5500000000000007" customHeight="1" x14ac:dyDescent="0.2">
      <c r="A517" s="98"/>
      <c r="B517" s="156" t="s">
        <v>1236</v>
      </c>
      <c r="C517" s="156"/>
      <c r="D517" s="156"/>
      <c r="E517" s="156"/>
      <c r="F517" s="157"/>
      <c r="G517" s="166">
        <v>1983</v>
      </c>
      <c r="H517" s="167">
        <v>88</v>
      </c>
      <c r="I517" s="56"/>
      <c r="J517" s="249"/>
      <c r="K517" s="232">
        <v>1</v>
      </c>
      <c r="L517" s="91"/>
      <c r="M517" s="92"/>
    </row>
    <row r="518" spans="1:13" s="45" customFormat="1" ht="8.5500000000000007" customHeight="1" x14ac:dyDescent="0.2">
      <c r="A518" s="98"/>
      <c r="B518" s="158"/>
      <c r="C518" s="158"/>
      <c r="D518" s="158"/>
      <c r="E518" s="158"/>
      <c r="F518" s="159"/>
      <c r="G518" s="166"/>
      <c r="H518" s="168"/>
      <c r="I518" s="57"/>
      <c r="J518" s="250"/>
      <c r="K518" s="233"/>
      <c r="L518" s="91"/>
      <c r="M518" s="92"/>
    </row>
    <row r="519" spans="1:13" s="45" customFormat="1" ht="8.5500000000000007" customHeight="1" x14ac:dyDescent="0.2">
      <c r="A519" s="98"/>
      <c r="B519" s="156" t="s">
        <v>1236</v>
      </c>
      <c r="C519" s="156"/>
      <c r="D519" s="156"/>
      <c r="E519" s="156"/>
      <c r="F519" s="157"/>
      <c r="G519" s="166">
        <v>1999</v>
      </c>
      <c r="H519" s="167" t="s">
        <v>638</v>
      </c>
      <c r="I519" s="56"/>
      <c r="J519" s="249"/>
      <c r="K519" s="232">
        <v>1</v>
      </c>
      <c r="L519" s="91"/>
      <c r="M519" s="92"/>
    </row>
    <row r="520" spans="1:13" s="45" customFormat="1" ht="8.5500000000000007" customHeight="1" x14ac:dyDescent="0.2">
      <c r="A520" s="98"/>
      <c r="B520" s="158"/>
      <c r="C520" s="158"/>
      <c r="D520" s="158"/>
      <c r="E520" s="158"/>
      <c r="F520" s="159"/>
      <c r="G520" s="166"/>
      <c r="H520" s="168"/>
      <c r="I520" s="57"/>
      <c r="J520" s="250"/>
      <c r="K520" s="233"/>
      <c r="L520" s="91"/>
      <c r="M520" s="92"/>
    </row>
    <row r="521" spans="1:13" s="45" customFormat="1" ht="8.5500000000000007" customHeight="1" x14ac:dyDescent="0.2">
      <c r="A521" s="98"/>
      <c r="B521" s="156" t="s">
        <v>1847</v>
      </c>
      <c r="C521" s="156"/>
      <c r="D521" s="156"/>
      <c r="E521" s="156"/>
      <c r="F521" s="157"/>
      <c r="G521" s="166">
        <v>1996</v>
      </c>
      <c r="H521" s="167" t="s">
        <v>556</v>
      </c>
      <c r="I521" s="56"/>
      <c r="J521" s="249"/>
      <c r="K521" s="232">
        <v>1</v>
      </c>
      <c r="L521" s="91"/>
      <c r="M521" s="92"/>
    </row>
    <row r="522" spans="1:13" s="45" customFormat="1" ht="8.5500000000000007" customHeight="1" x14ac:dyDescent="0.2">
      <c r="A522" s="98"/>
      <c r="B522" s="158"/>
      <c r="C522" s="158"/>
      <c r="D522" s="158"/>
      <c r="E522" s="158"/>
      <c r="F522" s="159"/>
      <c r="G522" s="166"/>
      <c r="H522" s="168"/>
      <c r="I522" s="57"/>
      <c r="J522" s="250"/>
      <c r="K522" s="233"/>
      <c r="L522" s="91"/>
      <c r="M522" s="92"/>
    </row>
    <row r="523" spans="1:13" s="45" customFormat="1" ht="8.5500000000000007" customHeight="1" x14ac:dyDescent="0.2">
      <c r="A523" s="98"/>
      <c r="B523" s="172" t="s">
        <v>1237</v>
      </c>
      <c r="C523" s="172"/>
      <c r="D523" s="172"/>
      <c r="E523" s="172"/>
      <c r="F523" s="173"/>
      <c r="G523" s="166">
        <v>2006</v>
      </c>
      <c r="H523" s="167"/>
      <c r="I523" s="56"/>
      <c r="J523" s="249"/>
      <c r="K523" s="232">
        <v>2</v>
      </c>
      <c r="L523" s="91"/>
      <c r="M523" s="92"/>
    </row>
    <row r="524" spans="1:13" s="45" customFormat="1" ht="8.5500000000000007" customHeight="1" x14ac:dyDescent="0.2">
      <c r="A524" s="98"/>
      <c r="B524" s="174"/>
      <c r="C524" s="174"/>
      <c r="D524" s="174"/>
      <c r="E524" s="174"/>
      <c r="F524" s="175"/>
      <c r="G524" s="166"/>
      <c r="H524" s="168"/>
      <c r="I524" s="57"/>
      <c r="J524" s="250"/>
      <c r="K524" s="233"/>
      <c r="L524" s="91"/>
      <c r="M524" s="92"/>
    </row>
    <row r="525" spans="1:13" s="45" customFormat="1" ht="8.5500000000000007" customHeight="1" x14ac:dyDescent="0.2">
      <c r="A525" s="98"/>
      <c r="B525" s="172" t="s">
        <v>1238</v>
      </c>
      <c r="C525" s="172"/>
      <c r="D525" s="172"/>
      <c r="E525" s="172"/>
      <c r="F525" s="173"/>
      <c r="G525" s="166">
        <v>2003</v>
      </c>
      <c r="H525" s="167"/>
      <c r="I525" s="160">
        <v>97</v>
      </c>
      <c r="J525" s="247"/>
      <c r="K525" s="232">
        <v>2</v>
      </c>
      <c r="L525" s="91"/>
      <c r="M525" s="92"/>
    </row>
    <row r="526" spans="1:13" s="45" customFormat="1" ht="8.5500000000000007" customHeight="1" x14ac:dyDescent="0.2">
      <c r="A526" s="98"/>
      <c r="B526" s="174"/>
      <c r="C526" s="174"/>
      <c r="D526" s="174"/>
      <c r="E526" s="174"/>
      <c r="F526" s="175"/>
      <c r="G526" s="166"/>
      <c r="H526" s="168"/>
      <c r="I526" s="161"/>
      <c r="J526" s="248"/>
      <c r="K526" s="233"/>
      <c r="L526" s="91"/>
      <c r="M526" s="92"/>
    </row>
    <row r="527" spans="1:13" s="45" customFormat="1" ht="8.5500000000000007" customHeight="1" x14ac:dyDescent="0.2">
      <c r="A527" s="98"/>
      <c r="B527" s="156" t="s">
        <v>1238</v>
      </c>
      <c r="C527" s="156"/>
      <c r="D527" s="156"/>
      <c r="E527" s="156"/>
      <c r="F527" s="157"/>
      <c r="G527" s="166">
        <v>2005</v>
      </c>
      <c r="H527" s="167" t="s">
        <v>616</v>
      </c>
      <c r="I527" s="160"/>
      <c r="J527" s="247"/>
      <c r="K527" s="232">
        <v>3</v>
      </c>
      <c r="L527" s="91"/>
      <c r="M527" s="92"/>
    </row>
    <row r="528" spans="1:13" s="45" customFormat="1" ht="8.5500000000000007" customHeight="1" x14ac:dyDescent="0.2">
      <c r="A528" s="98"/>
      <c r="B528" s="158"/>
      <c r="C528" s="158"/>
      <c r="D528" s="158"/>
      <c r="E528" s="158"/>
      <c r="F528" s="159"/>
      <c r="G528" s="166"/>
      <c r="H528" s="168"/>
      <c r="I528" s="161"/>
      <c r="J528" s="248"/>
      <c r="K528" s="233"/>
      <c r="L528" s="91"/>
      <c r="M528" s="92"/>
    </row>
    <row r="529" spans="1:13" s="45" customFormat="1" ht="8.5500000000000007" customHeight="1" x14ac:dyDescent="0.2">
      <c r="A529" s="98"/>
      <c r="B529" s="156" t="s">
        <v>1238</v>
      </c>
      <c r="C529" s="156"/>
      <c r="D529" s="156"/>
      <c r="E529" s="156"/>
      <c r="F529" s="157"/>
      <c r="G529" s="166">
        <v>2006</v>
      </c>
      <c r="H529" s="167">
        <v>95</v>
      </c>
      <c r="I529" s="160"/>
      <c r="J529" s="247"/>
      <c r="K529" s="232">
        <v>2</v>
      </c>
      <c r="L529" s="91"/>
      <c r="M529" s="92"/>
    </row>
    <row r="530" spans="1:13" s="45" customFormat="1" ht="8.5500000000000007" customHeight="1" x14ac:dyDescent="0.2">
      <c r="A530" s="98"/>
      <c r="B530" s="158"/>
      <c r="C530" s="158"/>
      <c r="D530" s="158"/>
      <c r="E530" s="158"/>
      <c r="F530" s="159"/>
      <c r="G530" s="166"/>
      <c r="H530" s="168"/>
      <c r="I530" s="161"/>
      <c r="J530" s="248"/>
      <c r="K530" s="233"/>
      <c r="L530" s="91"/>
      <c r="M530" s="92"/>
    </row>
    <row r="531" spans="1:13" s="45" customFormat="1" ht="8.5500000000000007" customHeight="1" x14ac:dyDescent="0.2">
      <c r="A531" s="98"/>
      <c r="B531" s="156" t="s">
        <v>1239</v>
      </c>
      <c r="C531" s="156"/>
      <c r="D531" s="156"/>
      <c r="E531" s="156"/>
      <c r="F531" s="157"/>
      <c r="G531" s="166">
        <v>2004</v>
      </c>
      <c r="H531" s="167"/>
      <c r="I531" s="160"/>
      <c r="J531" s="247"/>
      <c r="K531" s="232">
        <v>1</v>
      </c>
      <c r="L531" s="91"/>
      <c r="M531" s="92"/>
    </row>
    <row r="532" spans="1:13" s="45" customFormat="1" ht="8.5500000000000007" customHeight="1" x14ac:dyDescent="0.2">
      <c r="A532" s="98"/>
      <c r="B532" s="158"/>
      <c r="C532" s="158"/>
      <c r="D532" s="158"/>
      <c r="E532" s="158"/>
      <c r="F532" s="159"/>
      <c r="G532" s="166"/>
      <c r="H532" s="168"/>
      <c r="I532" s="161"/>
      <c r="J532" s="248"/>
      <c r="K532" s="233"/>
      <c r="L532" s="91"/>
      <c r="M532" s="92"/>
    </row>
    <row r="533" spans="1:13" s="45" customFormat="1" ht="8.5500000000000007" customHeight="1" x14ac:dyDescent="0.2">
      <c r="A533" s="98"/>
      <c r="B533" s="156" t="s">
        <v>1240</v>
      </c>
      <c r="C533" s="156"/>
      <c r="D533" s="156"/>
      <c r="E533" s="156"/>
      <c r="F533" s="157"/>
      <c r="G533" s="166">
        <v>2005</v>
      </c>
      <c r="H533" s="167" t="s">
        <v>616</v>
      </c>
      <c r="I533" s="160"/>
      <c r="J533" s="247"/>
      <c r="K533" s="232">
        <v>1</v>
      </c>
      <c r="L533" s="91"/>
      <c r="M533" s="92"/>
    </row>
    <row r="534" spans="1:13" s="45" customFormat="1" ht="8.5500000000000007" customHeight="1" x14ac:dyDescent="0.2">
      <c r="A534" s="98"/>
      <c r="B534" s="158"/>
      <c r="C534" s="158"/>
      <c r="D534" s="158"/>
      <c r="E534" s="158"/>
      <c r="F534" s="159"/>
      <c r="G534" s="166"/>
      <c r="H534" s="168"/>
      <c r="I534" s="161"/>
      <c r="J534" s="248"/>
      <c r="K534" s="233"/>
      <c r="L534" s="91"/>
      <c r="M534" s="92"/>
    </row>
    <row r="535" spans="1:13" s="45" customFormat="1" ht="8.5500000000000007" customHeight="1" x14ac:dyDescent="0.2">
      <c r="A535" s="98"/>
      <c r="B535" s="156" t="s">
        <v>1241</v>
      </c>
      <c r="C535" s="156"/>
      <c r="D535" s="156"/>
      <c r="E535" s="156"/>
      <c r="F535" s="157"/>
      <c r="G535" s="166">
        <v>2005</v>
      </c>
      <c r="H535" s="167" t="s">
        <v>2</v>
      </c>
      <c r="I535" s="160"/>
      <c r="J535" s="247"/>
      <c r="K535" s="232">
        <v>1</v>
      </c>
      <c r="L535" s="91"/>
      <c r="M535" s="92"/>
    </row>
    <row r="536" spans="1:13" s="45" customFormat="1" ht="8.5500000000000007" customHeight="1" x14ac:dyDescent="0.2">
      <c r="A536" s="98"/>
      <c r="B536" s="158"/>
      <c r="C536" s="158"/>
      <c r="D536" s="158"/>
      <c r="E536" s="158"/>
      <c r="F536" s="159"/>
      <c r="G536" s="166"/>
      <c r="H536" s="168"/>
      <c r="I536" s="161"/>
      <c r="J536" s="248"/>
      <c r="K536" s="233"/>
      <c r="L536" s="91"/>
      <c r="M536" s="92"/>
    </row>
    <row r="537" spans="1:13" s="45" customFormat="1" ht="8.5500000000000007" customHeight="1" x14ac:dyDescent="0.2">
      <c r="A537" s="98"/>
      <c r="B537" s="156" t="s">
        <v>1241</v>
      </c>
      <c r="C537" s="156"/>
      <c r="D537" s="156"/>
      <c r="E537" s="156"/>
      <c r="F537" s="157"/>
      <c r="G537" s="166">
        <v>2006</v>
      </c>
      <c r="H537" s="167">
        <v>94</v>
      </c>
      <c r="I537" s="160"/>
      <c r="J537" s="247"/>
      <c r="K537" s="232">
        <v>1</v>
      </c>
      <c r="L537" s="91"/>
      <c r="M537" s="92"/>
    </row>
    <row r="538" spans="1:13" s="45" customFormat="1" ht="8.5500000000000007" customHeight="1" x14ac:dyDescent="0.2">
      <c r="A538" s="98"/>
      <c r="B538" s="158"/>
      <c r="C538" s="158"/>
      <c r="D538" s="158"/>
      <c r="E538" s="158"/>
      <c r="F538" s="159"/>
      <c r="G538" s="166"/>
      <c r="H538" s="168"/>
      <c r="I538" s="161"/>
      <c r="J538" s="248"/>
      <c r="K538" s="233"/>
      <c r="L538" s="91"/>
      <c r="M538" s="92"/>
    </row>
    <row r="539" spans="1:13" s="45" customFormat="1" ht="8.5500000000000007" customHeight="1" x14ac:dyDescent="0.2">
      <c r="A539" s="98"/>
      <c r="B539" s="156" t="s">
        <v>1242</v>
      </c>
      <c r="C539" s="156"/>
      <c r="D539" s="156"/>
      <c r="E539" s="156"/>
      <c r="F539" s="157"/>
      <c r="G539" s="166">
        <v>2007</v>
      </c>
      <c r="H539" s="167"/>
      <c r="I539" s="160"/>
      <c r="J539" s="247"/>
      <c r="K539" s="232">
        <v>1</v>
      </c>
      <c r="L539" s="91"/>
      <c r="M539" s="92"/>
    </row>
    <row r="540" spans="1:13" s="45" customFormat="1" ht="8.5500000000000007" customHeight="1" x14ac:dyDescent="0.2">
      <c r="A540" s="98"/>
      <c r="B540" s="158"/>
      <c r="C540" s="158"/>
      <c r="D540" s="158"/>
      <c r="E540" s="158"/>
      <c r="F540" s="159"/>
      <c r="G540" s="166"/>
      <c r="H540" s="168"/>
      <c r="I540" s="161"/>
      <c r="J540" s="248"/>
      <c r="K540" s="233"/>
      <c r="L540" s="91"/>
      <c r="M540" s="92"/>
    </row>
    <row r="541" spans="1:13" s="45" customFormat="1" ht="8.5500000000000007" customHeight="1" x14ac:dyDescent="0.2">
      <c r="A541" s="98"/>
      <c r="B541" s="156" t="s">
        <v>1475</v>
      </c>
      <c r="C541" s="156"/>
      <c r="D541" s="156"/>
      <c r="E541" s="156"/>
      <c r="F541" s="157"/>
      <c r="G541" s="166">
        <v>2006</v>
      </c>
      <c r="H541" s="167"/>
      <c r="I541" s="160"/>
      <c r="J541" s="247"/>
      <c r="K541" s="232">
        <v>2</v>
      </c>
      <c r="L541" s="91"/>
      <c r="M541" s="92"/>
    </row>
    <row r="542" spans="1:13" s="45" customFormat="1" ht="8.5500000000000007" customHeight="1" x14ac:dyDescent="0.2">
      <c r="A542" s="98"/>
      <c r="B542" s="158"/>
      <c r="C542" s="158"/>
      <c r="D542" s="158"/>
      <c r="E542" s="158"/>
      <c r="F542" s="159"/>
      <c r="G542" s="166"/>
      <c r="H542" s="168"/>
      <c r="I542" s="161"/>
      <c r="J542" s="248"/>
      <c r="K542" s="233"/>
      <c r="L542" s="91"/>
      <c r="M542" s="92"/>
    </row>
    <row r="543" spans="1:13" s="45" customFormat="1" ht="8.5500000000000007" customHeight="1" x14ac:dyDescent="0.2">
      <c r="A543" s="98"/>
      <c r="B543" s="156" t="s">
        <v>1243</v>
      </c>
      <c r="C543" s="156"/>
      <c r="D543" s="156"/>
      <c r="E543" s="156"/>
      <c r="F543" s="157"/>
      <c r="G543" s="251">
        <v>1989</v>
      </c>
      <c r="H543" s="167"/>
      <c r="I543" s="160"/>
      <c r="J543" s="249">
        <v>18.5</v>
      </c>
      <c r="K543" s="232">
        <v>1</v>
      </c>
      <c r="L543" s="91"/>
      <c r="M543" s="92"/>
    </row>
    <row r="544" spans="1:13" s="45" customFormat="1" ht="8.5500000000000007" customHeight="1" x14ac:dyDescent="0.2">
      <c r="A544" s="98"/>
      <c r="B544" s="158"/>
      <c r="C544" s="158"/>
      <c r="D544" s="158"/>
      <c r="E544" s="158"/>
      <c r="F544" s="159"/>
      <c r="G544" s="252"/>
      <c r="H544" s="168"/>
      <c r="I544" s="161"/>
      <c r="J544" s="250"/>
      <c r="K544" s="233"/>
      <c r="L544" s="91"/>
      <c r="M544" s="92"/>
    </row>
    <row r="545" spans="1:13" s="45" customFormat="1" ht="8.5500000000000007" customHeight="1" x14ac:dyDescent="0.2">
      <c r="A545" s="98"/>
      <c r="B545" s="156" t="s">
        <v>1243</v>
      </c>
      <c r="C545" s="156"/>
      <c r="D545" s="156"/>
      <c r="E545" s="156"/>
      <c r="F545" s="157"/>
      <c r="G545" s="251">
        <v>2002</v>
      </c>
      <c r="H545" s="167"/>
      <c r="I545" s="160">
        <v>97</v>
      </c>
      <c r="J545" s="249">
        <v>19.5</v>
      </c>
      <c r="K545" s="232">
        <v>1</v>
      </c>
      <c r="L545" s="91"/>
      <c r="M545" s="92"/>
    </row>
    <row r="546" spans="1:13" s="45" customFormat="1" ht="8.5500000000000007" customHeight="1" x14ac:dyDescent="0.2">
      <c r="A546" s="98"/>
      <c r="B546" s="158"/>
      <c r="C546" s="158"/>
      <c r="D546" s="158"/>
      <c r="E546" s="158"/>
      <c r="F546" s="159"/>
      <c r="G546" s="252"/>
      <c r="H546" s="168"/>
      <c r="I546" s="161"/>
      <c r="J546" s="250"/>
      <c r="K546" s="233"/>
      <c r="L546" s="91"/>
      <c r="M546" s="92"/>
    </row>
    <row r="547" spans="1:13" s="45" customFormat="1" ht="8.5500000000000007" customHeight="1" x14ac:dyDescent="0.2">
      <c r="A547" s="98"/>
      <c r="B547" s="156" t="s">
        <v>1243</v>
      </c>
      <c r="C547" s="156"/>
      <c r="D547" s="156"/>
      <c r="E547" s="156"/>
      <c r="F547" s="157"/>
      <c r="G547" s="251">
        <v>2003</v>
      </c>
      <c r="H547" s="167">
        <v>96</v>
      </c>
      <c r="I547" s="160"/>
      <c r="J547" s="249"/>
      <c r="K547" s="232">
        <v>3</v>
      </c>
      <c r="L547" s="91"/>
      <c r="M547" s="92"/>
    </row>
    <row r="548" spans="1:13" s="45" customFormat="1" ht="8.5500000000000007" customHeight="1" x14ac:dyDescent="0.2">
      <c r="A548" s="98"/>
      <c r="B548" s="158"/>
      <c r="C548" s="158"/>
      <c r="D548" s="158"/>
      <c r="E548" s="158"/>
      <c r="F548" s="159"/>
      <c r="G548" s="252"/>
      <c r="H548" s="168"/>
      <c r="I548" s="161"/>
      <c r="J548" s="250"/>
      <c r="K548" s="233"/>
      <c r="L548" s="91"/>
      <c r="M548" s="92"/>
    </row>
    <row r="549" spans="1:13" s="45" customFormat="1" ht="8.5500000000000007" customHeight="1" x14ac:dyDescent="0.2">
      <c r="A549" s="98"/>
      <c r="B549" s="156" t="s">
        <v>1262</v>
      </c>
      <c r="C549" s="156"/>
      <c r="D549" s="156"/>
      <c r="E549" s="156"/>
      <c r="F549" s="157"/>
      <c r="G549" s="251">
        <v>1990</v>
      </c>
      <c r="H549" s="167">
        <v>91</v>
      </c>
      <c r="I549" s="160"/>
      <c r="J549" s="249">
        <v>16.5</v>
      </c>
      <c r="K549" s="234">
        <v>1</v>
      </c>
      <c r="L549" s="91"/>
      <c r="M549" s="92"/>
    </row>
    <row r="550" spans="1:13" s="45" customFormat="1" ht="8.5500000000000007" customHeight="1" x14ac:dyDescent="0.2">
      <c r="A550" s="98"/>
      <c r="B550" s="158"/>
      <c r="C550" s="158"/>
      <c r="D550" s="158"/>
      <c r="E550" s="158"/>
      <c r="F550" s="159"/>
      <c r="G550" s="252"/>
      <c r="H550" s="168"/>
      <c r="I550" s="161"/>
      <c r="J550" s="250"/>
      <c r="K550" s="235"/>
      <c r="L550" s="91"/>
      <c r="M550" s="92"/>
    </row>
    <row r="551" spans="1:13" s="45" customFormat="1" ht="8.5500000000000007" customHeight="1" x14ac:dyDescent="0.2">
      <c r="A551" s="98"/>
      <c r="B551" s="156" t="s">
        <v>846</v>
      </c>
      <c r="C551" s="156"/>
      <c r="D551" s="156"/>
      <c r="E551" s="156"/>
      <c r="F551" s="157"/>
      <c r="G551" s="251">
        <v>1999</v>
      </c>
      <c r="H551" s="167" t="s">
        <v>304</v>
      </c>
      <c r="I551" s="160"/>
      <c r="J551" s="249">
        <v>17.5</v>
      </c>
      <c r="K551" s="234">
        <v>1</v>
      </c>
      <c r="L551" s="91"/>
      <c r="M551" s="92"/>
    </row>
    <row r="552" spans="1:13" s="45" customFormat="1" ht="8.5500000000000007" customHeight="1" x14ac:dyDescent="0.2">
      <c r="A552" s="98"/>
      <c r="B552" s="158"/>
      <c r="C552" s="158"/>
      <c r="D552" s="158"/>
      <c r="E552" s="158"/>
      <c r="F552" s="159"/>
      <c r="G552" s="252"/>
      <c r="H552" s="168"/>
      <c r="I552" s="161"/>
      <c r="J552" s="250"/>
      <c r="K552" s="235"/>
      <c r="L552" s="91"/>
      <c r="M552" s="92"/>
    </row>
    <row r="553" spans="1:13" s="45" customFormat="1" ht="8.5500000000000007" customHeight="1" x14ac:dyDescent="0.2">
      <c r="A553" s="98"/>
      <c r="B553" s="156" t="s">
        <v>1263</v>
      </c>
      <c r="C553" s="156"/>
      <c r="D553" s="156"/>
      <c r="E553" s="156"/>
      <c r="F553" s="157"/>
      <c r="G553" s="251">
        <v>2005</v>
      </c>
      <c r="H553" s="167"/>
      <c r="I553" s="160"/>
      <c r="J553" s="249"/>
      <c r="K553" s="234">
        <v>1</v>
      </c>
      <c r="L553" s="91"/>
      <c r="M553" s="92"/>
    </row>
    <row r="554" spans="1:13" s="45" customFormat="1" ht="8.5500000000000007" customHeight="1" x14ac:dyDescent="0.2">
      <c r="A554" s="98"/>
      <c r="B554" s="158"/>
      <c r="C554" s="158"/>
      <c r="D554" s="158"/>
      <c r="E554" s="158"/>
      <c r="F554" s="159"/>
      <c r="G554" s="252"/>
      <c r="H554" s="168"/>
      <c r="I554" s="161"/>
      <c r="J554" s="250"/>
      <c r="K554" s="235"/>
      <c r="L554" s="91"/>
      <c r="M554" s="92"/>
    </row>
    <row r="555" spans="1:13" s="45" customFormat="1" ht="8.5500000000000007" customHeight="1" x14ac:dyDescent="0.2">
      <c r="A555" s="98"/>
      <c r="B555" s="156" t="s">
        <v>1423</v>
      </c>
      <c r="C555" s="156"/>
      <c r="D555" s="156"/>
      <c r="E555" s="156"/>
      <c r="F555" s="157"/>
      <c r="G555" s="251">
        <v>2017</v>
      </c>
      <c r="H555" s="167"/>
      <c r="I555" s="160"/>
      <c r="J555" s="249"/>
      <c r="K555" s="234">
        <v>1</v>
      </c>
      <c r="L555" s="91"/>
      <c r="M555" s="92"/>
    </row>
    <row r="556" spans="1:13" s="45" customFormat="1" ht="8.5500000000000007" customHeight="1" x14ac:dyDescent="0.2">
      <c r="A556" s="98"/>
      <c r="B556" s="158"/>
      <c r="C556" s="158"/>
      <c r="D556" s="158"/>
      <c r="E556" s="158"/>
      <c r="F556" s="159"/>
      <c r="G556" s="252"/>
      <c r="H556" s="168"/>
      <c r="I556" s="161"/>
      <c r="J556" s="250"/>
      <c r="K556" s="235"/>
      <c r="L556" s="91"/>
      <c r="M556" s="92"/>
    </row>
    <row r="557" spans="1:13" s="45" customFormat="1" ht="8.5500000000000007" customHeight="1" x14ac:dyDescent="0.2">
      <c r="A557" s="98"/>
      <c r="B557" s="156" t="s">
        <v>1244</v>
      </c>
      <c r="C557" s="156"/>
      <c r="D557" s="156"/>
      <c r="E557" s="156"/>
      <c r="F557" s="157"/>
      <c r="G557" s="251">
        <v>1989</v>
      </c>
      <c r="H557" s="167"/>
      <c r="I557" s="160">
        <v>94</v>
      </c>
      <c r="J557" s="249"/>
      <c r="K557" s="232">
        <v>2</v>
      </c>
      <c r="L557" s="91"/>
      <c r="M557" s="92"/>
    </row>
    <row r="558" spans="1:13" s="45" customFormat="1" ht="8.5500000000000007" customHeight="1" x14ac:dyDescent="0.2">
      <c r="A558" s="98"/>
      <c r="B558" s="158"/>
      <c r="C558" s="158"/>
      <c r="D558" s="158"/>
      <c r="E558" s="158"/>
      <c r="F558" s="159"/>
      <c r="G558" s="252"/>
      <c r="H558" s="168"/>
      <c r="I558" s="161"/>
      <c r="J558" s="250"/>
      <c r="K558" s="233"/>
      <c r="L558" s="91"/>
      <c r="M558" s="92"/>
    </row>
    <row r="559" spans="1:13" s="45" customFormat="1" ht="8.5500000000000007" customHeight="1" x14ac:dyDescent="0.2">
      <c r="A559" s="98"/>
      <c r="B559" s="156" t="s">
        <v>1244</v>
      </c>
      <c r="C559" s="156"/>
      <c r="D559" s="156"/>
      <c r="E559" s="156"/>
      <c r="F559" s="157"/>
      <c r="G559" s="251">
        <v>1996</v>
      </c>
      <c r="H559" s="167" t="s">
        <v>299</v>
      </c>
      <c r="I559" s="160"/>
      <c r="J559" s="249">
        <v>18.5</v>
      </c>
      <c r="K559" s="232">
        <v>1</v>
      </c>
      <c r="L559" s="91"/>
      <c r="M559" s="92"/>
    </row>
    <row r="560" spans="1:13" s="45" customFormat="1" ht="8.5500000000000007" customHeight="1" x14ac:dyDescent="0.2">
      <c r="A560" s="98"/>
      <c r="B560" s="158"/>
      <c r="C560" s="158"/>
      <c r="D560" s="158"/>
      <c r="E560" s="158"/>
      <c r="F560" s="159"/>
      <c r="G560" s="252"/>
      <c r="H560" s="168"/>
      <c r="I560" s="161"/>
      <c r="J560" s="250"/>
      <c r="K560" s="233"/>
      <c r="L560" s="91"/>
      <c r="M560" s="92"/>
    </row>
    <row r="561" spans="1:13" s="45" customFormat="1" ht="8.5500000000000007" customHeight="1" x14ac:dyDescent="0.2">
      <c r="A561" s="98"/>
      <c r="B561" s="156" t="s">
        <v>1244</v>
      </c>
      <c r="C561" s="156"/>
      <c r="D561" s="156"/>
      <c r="E561" s="156"/>
      <c r="F561" s="157"/>
      <c r="G561" s="251">
        <v>2003</v>
      </c>
      <c r="H561" s="167"/>
      <c r="I561" s="160"/>
      <c r="J561" s="249"/>
      <c r="K561" s="232">
        <v>2</v>
      </c>
      <c r="L561" s="91"/>
      <c r="M561" s="92"/>
    </row>
    <row r="562" spans="1:13" s="45" customFormat="1" ht="8.5500000000000007" customHeight="1" x14ac:dyDescent="0.2">
      <c r="A562" s="98"/>
      <c r="B562" s="158"/>
      <c r="C562" s="158"/>
      <c r="D562" s="158"/>
      <c r="E562" s="158"/>
      <c r="F562" s="159"/>
      <c r="G562" s="252"/>
      <c r="H562" s="168"/>
      <c r="I562" s="161"/>
      <c r="J562" s="250"/>
      <c r="K562" s="233"/>
      <c r="L562" s="91"/>
      <c r="M562" s="92"/>
    </row>
    <row r="563" spans="1:13" s="45" customFormat="1" ht="8.5500000000000007" customHeight="1" x14ac:dyDescent="0.2">
      <c r="A563" s="98"/>
      <c r="B563" s="205" t="s">
        <v>1188</v>
      </c>
      <c r="C563" s="205"/>
      <c r="D563" s="205"/>
      <c r="E563" s="205"/>
      <c r="F563" s="173"/>
      <c r="G563" s="189">
        <v>1997</v>
      </c>
      <c r="H563" s="267">
        <v>88</v>
      </c>
      <c r="I563" s="56"/>
      <c r="J563" s="279"/>
      <c r="K563" s="232">
        <v>1</v>
      </c>
      <c r="L563" s="91"/>
      <c r="M563" s="92"/>
    </row>
    <row r="564" spans="1:13" s="45" customFormat="1" ht="8.5500000000000007" customHeight="1" x14ac:dyDescent="0.2">
      <c r="A564" s="98"/>
      <c r="B564" s="174"/>
      <c r="C564" s="174"/>
      <c r="D564" s="174"/>
      <c r="E564" s="174"/>
      <c r="F564" s="175"/>
      <c r="G564" s="190"/>
      <c r="H564" s="268"/>
      <c r="I564" s="57"/>
      <c r="J564" s="280"/>
      <c r="K564" s="233"/>
      <c r="L564" s="91"/>
      <c r="M564" s="92"/>
    </row>
    <row r="565" spans="1:13" s="45" customFormat="1" ht="8.5500000000000007" customHeight="1" x14ac:dyDescent="0.2">
      <c r="A565" s="98"/>
      <c r="B565" s="156" t="s">
        <v>1245</v>
      </c>
      <c r="C565" s="156"/>
      <c r="D565" s="156"/>
      <c r="E565" s="156"/>
      <c r="F565" s="157"/>
      <c r="G565" s="251">
        <v>2005</v>
      </c>
      <c r="H565" s="167">
        <v>94</v>
      </c>
      <c r="I565" s="160"/>
      <c r="J565" s="249"/>
      <c r="K565" s="232">
        <v>1</v>
      </c>
      <c r="L565" s="91"/>
      <c r="M565" s="92"/>
    </row>
    <row r="566" spans="1:13" s="45" customFormat="1" ht="8.5500000000000007" customHeight="1" x14ac:dyDescent="0.2">
      <c r="A566" s="98"/>
      <c r="B566" s="158"/>
      <c r="C566" s="158"/>
      <c r="D566" s="158"/>
      <c r="E566" s="158"/>
      <c r="F566" s="159"/>
      <c r="G566" s="252"/>
      <c r="H566" s="168"/>
      <c r="I566" s="161"/>
      <c r="J566" s="250"/>
      <c r="K566" s="233"/>
      <c r="L566" s="91"/>
      <c r="M566" s="92"/>
    </row>
    <row r="567" spans="1:13" s="45" customFormat="1" ht="8.5500000000000007" customHeight="1" x14ac:dyDescent="0.2">
      <c r="A567" s="98"/>
      <c r="B567" s="156" t="s">
        <v>1492</v>
      </c>
      <c r="C567" s="156"/>
      <c r="D567" s="156"/>
      <c r="E567" s="156"/>
      <c r="F567" s="157"/>
      <c r="G567" s="251">
        <v>2005</v>
      </c>
      <c r="H567" s="167"/>
      <c r="I567" s="160"/>
      <c r="J567" s="249"/>
      <c r="K567" s="232">
        <v>1</v>
      </c>
      <c r="L567" s="91"/>
      <c r="M567" s="92"/>
    </row>
    <row r="568" spans="1:13" s="45" customFormat="1" ht="8.5500000000000007" customHeight="1" x14ac:dyDescent="0.2">
      <c r="A568" s="98"/>
      <c r="B568" s="158"/>
      <c r="C568" s="158"/>
      <c r="D568" s="158"/>
      <c r="E568" s="158"/>
      <c r="F568" s="159"/>
      <c r="G568" s="252"/>
      <c r="H568" s="168"/>
      <c r="I568" s="161"/>
      <c r="J568" s="250"/>
      <c r="K568" s="233"/>
      <c r="L568" s="91"/>
      <c r="M568" s="92"/>
    </row>
    <row r="569" spans="1:13" s="45" customFormat="1" ht="8.5500000000000007" customHeight="1" x14ac:dyDescent="0.2">
      <c r="A569" s="98"/>
      <c r="B569" s="156" t="s">
        <v>1246</v>
      </c>
      <c r="C569" s="156"/>
      <c r="D569" s="156"/>
      <c r="E569" s="156"/>
      <c r="F569" s="157"/>
      <c r="G569" s="251">
        <v>2002</v>
      </c>
      <c r="H569" s="167"/>
      <c r="I569" s="160"/>
      <c r="J569" s="249"/>
      <c r="K569" s="234">
        <v>1</v>
      </c>
      <c r="L569" s="91"/>
      <c r="M569" s="92"/>
    </row>
    <row r="570" spans="1:13" s="45" customFormat="1" ht="8.5500000000000007" customHeight="1" x14ac:dyDescent="0.2">
      <c r="A570" s="98"/>
      <c r="B570" s="158"/>
      <c r="C570" s="158"/>
      <c r="D570" s="158"/>
      <c r="E570" s="158"/>
      <c r="F570" s="159"/>
      <c r="G570" s="252"/>
      <c r="H570" s="168"/>
      <c r="I570" s="161"/>
      <c r="J570" s="250"/>
      <c r="K570" s="235"/>
      <c r="L570" s="91"/>
      <c r="M570" s="92"/>
    </row>
    <row r="571" spans="1:13" s="45" customFormat="1" ht="8.5500000000000007" customHeight="1" x14ac:dyDescent="0.2">
      <c r="A571" s="98"/>
      <c r="B571" s="170" t="s">
        <v>272</v>
      </c>
      <c r="C571" s="170"/>
      <c r="D571" s="170"/>
      <c r="E571" s="170"/>
      <c r="F571" s="170"/>
      <c r="G571" s="62"/>
      <c r="H571" s="62"/>
      <c r="I571" s="62"/>
      <c r="J571" s="115"/>
      <c r="K571" s="164"/>
      <c r="L571" s="91"/>
      <c r="M571" s="92"/>
    </row>
    <row r="572" spans="1:13" s="45" customFormat="1" ht="8.5500000000000007" customHeight="1" x14ac:dyDescent="0.2">
      <c r="A572" s="98"/>
      <c r="B572" s="171"/>
      <c r="C572" s="171"/>
      <c r="D572" s="171"/>
      <c r="E572" s="171"/>
      <c r="F572" s="171"/>
      <c r="G572" s="63"/>
      <c r="H572" s="63"/>
      <c r="I572" s="63"/>
      <c r="J572" s="116"/>
      <c r="K572" s="165"/>
      <c r="L572" s="91"/>
      <c r="M572" s="92"/>
    </row>
    <row r="573" spans="1:13" s="45" customFormat="1" ht="8.5500000000000007" customHeight="1" x14ac:dyDescent="0.2">
      <c r="A573" s="98"/>
      <c r="B573" s="156" t="s">
        <v>1246</v>
      </c>
      <c r="C573" s="156"/>
      <c r="D573" s="156"/>
      <c r="E573" s="156"/>
      <c r="F573" s="157"/>
      <c r="G573" s="251">
        <v>2004</v>
      </c>
      <c r="H573" s="167"/>
      <c r="I573" s="160">
        <v>93</v>
      </c>
      <c r="J573" s="249"/>
      <c r="K573" s="234">
        <v>2</v>
      </c>
      <c r="L573" s="91"/>
      <c r="M573" s="92"/>
    </row>
    <row r="574" spans="1:13" s="45" customFormat="1" ht="8.5500000000000007" customHeight="1" x14ac:dyDescent="0.2">
      <c r="A574" s="98"/>
      <c r="B574" s="158"/>
      <c r="C574" s="158"/>
      <c r="D574" s="158"/>
      <c r="E574" s="158"/>
      <c r="F574" s="159"/>
      <c r="G574" s="252"/>
      <c r="H574" s="168"/>
      <c r="I574" s="161"/>
      <c r="J574" s="250"/>
      <c r="K574" s="235"/>
      <c r="L574" s="91"/>
      <c r="M574" s="92"/>
    </row>
    <row r="575" spans="1:13" s="45" customFormat="1" ht="8.5500000000000007" customHeight="1" x14ac:dyDescent="0.2">
      <c r="A575" s="98"/>
      <c r="B575" s="156" t="s">
        <v>1246</v>
      </c>
      <c r="C575" s="156"/>
      <c r="D575" s="156"/>
      <c r="E575" s="156"/>
      <c r="F575" s="157"/>
      <c r="G575" s="251">
        <v>2006</v>
      </c>
      <c r="H575" s="167"/>
      <c r="I575" s="160">
        <v>94</v>
      </c>
      <c r="J575" s="249"/>
      <c r="K575" s="234">
        <v>2</v>
      </c>
      <c r="L575" s="91"/>
      <c r="M575" s="92"/>
    </row>
    <row r="576" spans="1:13" s="45" customFormat="1" ht="8.5500000000000007" customHeight="1" x14ac:dyDescent="0.2">
      <c r="A576" s="98"/>
      <c r="B576" s="158"/>
      <c r="C576" s="158"/>
      <c r="D576" s="158"/>
      <c r="E576" s="158"/>
      <c r="F576" s="159"/>
      <c r="G576" s="252"/>
      <c r="H576" s="168"/>
      <c r="I576" s="161"/>
      <c r="J576" s="250"/>
      <c r="K576" s="235"/>
      <c r="L576" s="91"/>
      <c r="M576" s="92"/>
    </row>
    <row r="577" spans="1:13" s="45" customFormat="1" ht="8.5500000000000007" customHeight="1" x14ac:dyDescent="0.2">
      <c r="A577" s="98"/>
      <c r="B577" s="156" t="s">
        <v>1247</v>
      </c>
      <c r="C577" s="156"/>
      <c r="D577" s="156"/>
      <c r="E577" s="156"/>
      <c r="F577" s="157"/>
      <c r="G577" s="251">
        <v>1999</v>
      </c>
      <c r="H577" s="167" t="s">
        <v>299</v>
      </c>
      <c r="I577" s="160"/>
      <c r="J577" s="255">
        <v>18</v>
      </c>
      <c r="K577" s="234">
        <v>1</v>
      </c>
      <c r="L577" s="91"/>
      <c r="M577" s="92"/>
    </row>
    <row r="578" spans="1:13" s="45" customFormat="1" ht="8.5500000000000007" customHeight="1" x14ac:dyDescent="0.2">
      <c r="A578" s="98"/>
      <c r="B578" s="158"/>
      <c r="C578" s="158"/>
      <c r="D578" s="158"/>
      <c r="E578" s="158"/>
      <c r="F578" s="159"/>
      <c r="G578" s="252"/>
      <c r="H578" s="168"/>
      <c r="I578" s="161"/>
      <c r="J578" s="256"/>
      <c r="K578" s="235"/>
      <c r="L578" s="91"/>
      <c r="M578" s="92"/>
    </row>
    <row r="579" spans="1:13" s="45" customFormat="1" ht="8.5500000000000007" customHeight="1" x14ac:dyDescent="0.2">
      <c r="A579" s="98"/>
      <c r="B579" s="156" t="s">
        <v>1247</v>
      </c>
      <c r="C579" s="156"/>
      <c r="D579" s="156"/>
      <c r="E579" s="156"/>
      <c r="F579" s="157"/>
      <c r="G579" s="251">
        <v>2002</v>
      </c>
      <c r="H579" s="253"/>
      <c r="I579" s="160"/>
      <c r="J579" s="255">
        <v>18</v>
      </c>
      <c r="K579" s="234">
        <v>1</v>
      </c>
      <c r="L579" s="91"/>
      <c r="M579" s="92"/>
    </row>
    <row r="580" spans="1:13" s="45" customFormat="1" ht="8.5500000000000007" customHeight="1" x14ac:dyDescent="0.2">
      <c r="A580" s="98"/>
      <c r="B580" s="158"/>
      <c r="C580" s="158"/>
      <c r="D580" s="158"/>
      <c r="E580" s="158"/>
      <c r="F580" s="159"/>
      <c r="G580" s="252"/>
      <c r="H580" s="254"/>
      <c r="I580" s="161"/>
      <c r="J580" s="256"/>
      <c r="K580" s="235"/>
      <c r="L580" s="91"/>
      <c r="M580" s="92"/>
    </row>
    <row r="581" spans="1:13" s="45" customFormat="1" ht="8.5500000000000007" customHeight="1" x14ac:dyDescent="0.2">
      <c r="A581" s="98"/>
      <c r="B581" s="156" t="s">
        <v>1247</v>
      </c>
      <c r="C581" s="156"/>
      <c r="D581" s="156"/>
      <c r="E581" s="156"/>
      <c r="F581" s="157"/>
      <c r="G581" s="251">
        <v>2005</v>
      </c>
      <c r="H581" s="167"/>
      <c r="I581" s="160">
        <v>97</v>
      </c>
      <c r="J581" s="249"/>
      <c r="K581" s="232">
        <v>2</v>
      </c>
      <c r="L581" s="91"/>
      <c r="M581" s="92"/>
    </row>
    <row r="582" spans="1:13" s="45" customFormat="1" ht="8.5500000000000007" customHeight="1" x14ac:dyDescent="0.2">
      <c r="A582" s="98"/>
      <c r="B582" s="158"/>
      <c r="C582" s="158"/>
      <c r="D582" s="158"/>
      <c r="E582" s="158"/>
      <c r="F582" s="159"/>
      <c r="G582" s="252"/>
      <c r="H582" s="168"/>
      <c r="I582" s="161"/>
      <c r="J582" s="250"/>
      <c r="K582" s="233"/>
      <c r="L582" s="91"/>
      <c r="M582" s="92"/>
    </row>
    <row r="583" spans="1:13" s="45" customFormat="1" ht="8.5500000000000007" customHeight="1" x14ac:dyDescent="0.2">
      <c r="A583" s="98"/>
      <c r="B583" s="156" t="s">
        <v>1247</v>
      </c>
      <c r="C583" s="156"/>
      <c r="D583" s="156"/>
      <c r="E583" s="156"/>
      <c r="F583" s="157"/>
      <c r="G583" s="251">
        <v>2006</v>
      </c>
      <c r="H583" s="167"/>
      <c r="I583" s="160">
        <v>94</v>
      </c>
      <c r="J583" s="249"/>
      <c r="K583" s="232">
        <v>2</v>
      </c>
      <c r="L583" s="91"/>
      <c r="M583" s="92"/>
    </row>
    <row r="584" spans="1:13" s="45" customFormat="1" ht="8.5500000000000007" customHeight="1" x14ac:dyDescent="0.2">
      <c r="A584" s="98"/>
      <c r="B584" s="158"/>
      <c r="C584" s="158"/>
      <c r="D584" s="158"/>
      <c r="E584" s="158"/>
      <c r="F584" s="159"/>
      <c r="G584" s="252"/>
      <c r="H584" s="168"/>
      <c r="I584" s="161"/>
      <c r="J584" s="250"/>
      <c r="K584" s="233"/>
      <c r="L584" s="91"/>
      <c r="M584" s="92"/>
    </row>
    <row r="585" spans="1:13" s="45" customFormat="1" ht="8.5500000000000007" customHeight="1" x14ac:dyDescent="0.2">
      <c r="A585" s="98"/>
      <c r="B585" s="156" t="s">
        <v>1248</v>
      </c>
      <c r="C585" s="156"/>
      <c r="D585" s="156"/>
      <c r="E585" s="156"/>
      <c r="F585" s="157"/>
      <c r="G585" s="251">
        <v>2003</v>
      </c>
      <c r="H585" s="167"/>
      <c r="I585" s="160">
        <v>94</v>
      </c>
      <c r="J585" s="249"/>
      <c r="K585" s="234">
        <v>2</v>
      </c>
      <c r="L585" s="91"/>
      <c r="M585" s="92"/>
    </row>
    <row r="586" spans="1:13" s="45" customFormat="1" ht="8.5500000000000007" customHeight="1" x14ac:dyDescent="0.2">
      <c r="A586" s="98"/>
      <c r="B586" s="158"/>
      <c r="C586" s="158"/>
      <c r="D586" s="158"/>
      <c r="E586" s="158"/>
      <c r="F586" s="159"/>
      <c r="G586" s="252"/>
      <c r="H586" s="168"/>
      <c r="I586" s="161"/>
      <c r="J586" s="250"/>
      <c r="K586" s="235"/>
      <c r="L586" s="91"/>
      <c r="M586" s="92"/>
    </row>
    <row r="587" spans="1:13" s="45" customFormat="1" ht="8.5500000000000007" customHeight="1" x14ac:dyDescent="0.2">
      <c r="A587" s="98"/>
      <c r="B587" s="156" t="s">
        <v>1248</v>
      </c>
      <c r="C587" s="156"/>
      <c r="D587" s="156"/>
      <c r="E587" s="156"/>
      <c r="F587" s="157"/>
      <c r="G587" s="251">
        <v>2005</v>
      </c>
      <c r="H587" s="167"/>
      <c r="I587" s="160">
        <v>94</v>
      </c>
      <c r="J587" s="249"/>
      <c r="K587" s="234">
        <v>2</v>
      </c>
      <c r="L587" s="91"/>
      <c r="M587" s="92"/>
    </row>
    <row r="588" spans="1:13" s="45" customFormat="1" ht="8.5500000000000007" customHeight="1" x14ac:dyDescent="0.2">
      <c r="A588" s="98"/>
      <c r="B588" s="158"/>
      <c r="C588" s="158"/>
      <c r="D588" s="158"/>
      <c r="E588" s="158"/>
      <c r="F588" s="159"/>
      <c r="G588" s="252"/>
      <c r="H588" s="168"/>
      <c r="I588" s="161"/>
      <c r="J588" s="250"/>
      <c r="K588" s="235"/>
      <c r="L588" s="91"/>
      <c r="M588" s="92"/>
    </row>
    <row r="589" spans="1:13" s="45" customFormat="1" ht="8.5500000000000007" customHeight="1" x14ac:dyDescent="0.2">
      <c r="A589" s="98"/>
      <c r="B589" s="172" t="s">
        <v>1286</v>
      </c>
      <c r="C589" s="172"/>
      <c r="D589" s="172"/>
      <c r="E589" s="172"/>
      <c r="F589" s="173"/>
      <c r="G589" s="251">
        <v>1997</v>
      </c>
      <c r="H589" s="167"/>
      <c r="I589" s="160"/>
      <c r="J589" s="249"/>
      <c r="K589" s="234">
        <v>1</v>
      </c>
      <c r="L589" s="91"/>
      <c r="M589" s="92"/>
    </row>
    <row r="590" spans="1:13" s="45" customFormat="1" ht="8.5500000000000007" customHeight="1" x14ac:dyDescent="0.2">
      <c r="A590" s="98"/>
      <c r="B590" s="174"/>
      <c r="C590" s="174"/>
      <c r="D590" s="174"/>
      <c r="E590" s="174"/>
      <c r="F590" s="175"/>
      <c r="G590" s="252"/>
      <c r="H590" s="168"/>
      <c r="I590" s="161"/>
      <c r="J590" s="250"/>
      <c r="K590" s="235"/>
      <c r="L590" s="91"/>
      <c r="M590" s="92"/>
    </row>
    <row r="591" spans="1:13" s="45" customFormat="1" ht="8.5500000000000007" customHeight="1" x14ac:dyDescent="0.2">
      <c r="A591" s="98"/>
      <c r="B591" s="156" t="s">
        <v>1189</v>
      </c>
      <c r="C591" s="156"/>
      <c r="D591" s="156"/>
      <c r="E591" s="156"/>
      <c r="F591" s="157"/>
      <c r="G591" s="251">
        <v>1996</v>
      </c>
      <c r="H591" s="167"/>
      <c r="I591" s="160"/>
      <c r="J591" s="249"/>
      <c r="K591" s="234">
        <v>2</v>
      </c>
      <c r="L591" s="91"/>
      <c r="M591" s="92"/>
    </row>
    <row r="592" spans="1:13" s="45" customFormat="1" ht="8.5500000000000007" customHeight="1" x14ac:dyDescent="0.2">
      <c r="A592" s="98"/>
      <c r="B592" s="158"/>
      <c r="C592" s="158"/>
      <c r="D592" s="158"/>
      <c r="E592" s="158"/>
      <c r="F592" s="159"/>
      <c r="G592" s="252"/>
      <c r="H592" s="168"/>
      <c r="I592" s="161"/>
      <c r="J592" s="250"/>
      <c r="K592" s="235"/>
      <c r="L592" s="91"/>
      <c r="M592" s="92"/>
    </row>
    <row r="593" spans="1:13" s="45" customFormat="1" ht="8.5500000000000007" customHeight="1" x14ac:dyDescent="0.2">
      <c r="A593" s="98"/>
      <c r="B593" s="183" t="s">
        <v>1264</v>
      </c>
      <c r="C593" s="183"/>
      <c r="D593" s="183"/>
      <c r="E593" s="183"/>
      <c r="F593" s="184"/>
      <c r="G593" s="251">
        <v>2009</v>
      </c>
      <c r="H593" s="167"/>
      <c r="I593" s="160"/>
      <c r="J593" s="249"/>
      <c r="K593" s="234">
        <v>2</v>
      </c>
      <c r="L593" s="91"/>
      <c r="M593" s="92"/>
    </row>
    <row r="594" spans="1:13" s="45" customFormat="1" ht="8.5500000000000007" customHeight="1" x14ac:dyDescent="0.2">
      <c r="A594" s="98"/>
      <c r="B594" s="185"/>
      <c r="C594" s="185"/>
      <c r="D594" s="185"/>
      <c r="E594" s="185"/>
      <c r="F594" s="186"/>
      <c r="G594" s="252"/>
      <c r="H594" s="168"/>
      <c r="I594" s="161"/>
      <c r="J594" s="250"/>
      <c r="K594" s="235"/>
      <c r="L594" s="91"/>
      <c r="M594" s="92"/>
    </row>
    <row r="595" spans="1:13" s="45" customFormat="1" ht="8.5500000000000007" customHeight="1" x14ac:dyDescent="0.2">
      <c r="A595" s="98"/>
      <c r="B595" s="156" t="s">
        <v>1265</v>
      </c>
      <c r="C595" s="156"/>
      <c r="D595" s="156"/>
      <c r="E595" s="156"/>
      <c r="F595" s="157"/>
      <c r="G595" s="251">
        <v>2009</v>
      </c>
      <c r="H595" s="167"/>
      <c r="I595" s="160"/>
      <c r="J595" s="249"/>
      <c r="K595" s="234">
        <v>1</v>
      </c>
      <c r="L595" s="91"/>
      <c r="M595" s="92"/>
    </row>
    <row r="596" spans="1:13" s="45" customFormat="1" ht="8.5500000000000007" customHeight="1" x14ac:dyDescent="0.2">
      <c r="A596" s="98"/>
      <c r="B596" s="158"/>
      <c r="C596" s="158"/>
      <c r="D596" s="158"/>
      <c r="E596" s="158"/>
      <c r="F596" s="159"/>
      <c r="G596" s="252"/>
      <c r="H596" s="168"/>
      <c r="I596" s="161"/>
      <c r="J596" s="250"/>
      <c r="K596" s="235"/>
      <c r="L596" s="91"/>
      <c r="M596" s="92"/>
    </row>
    <row r="597" spans="1:13" s="45" customFormat="1" ht="8.5500000000000007" customHeight="1" x14ac:dyDescent="0.2">
      <c r="A597" s="98"/>
      <c r="B597" s="261" t="s">
        <v>1506</v>
      </c>
      <c r="C597" s="261"/>
      <c r="D597" s="261"/>
      <c r="E597" s="261"/>
      <c r="F597" s="262"/>
      <c r="G597" s="251">
        <v>2009</v>
      </c>
      <c r="H597" s="167"/>
      <c r="I597" s="160"/>
      <c r="J597" s="249"/>
      <c r="K597" s="234">
        <v>2</v>
      </c>
      <c r="L597" s="91"/>
      <c r="M597" s="92"/>
    </row>
    <row r="598" spans="1:13" s="45" customFormat="1" ht="8.5500000000000007" customHeight="1" x14ac:dyDescent="0.2">
      <c r="A598" s="98"/>
      <c r="B598" s="263"/>
      <c r="C598" s="263"/>
      <c r="D598" s="263"/>
      <c r="E598" s="263"/>
      <c r="F598" s="264"/>
      <c r="G598" s="252"/>
      <c r="H598" s="168"/>
      <c r="I598" s="161"/>
      <c r="J598" s="250"/>
      <c r="K598" s="235"/>
      <c r="L598" s="91"/>
      <c r="M598" s="92"/>
    </row>
    <row r="599" spans="1:13" s="45" customFormat="1" ht="8.5500000000000007" customHeight="1" x14ac:dyDescent="0.2">
      <c r="A599" s="98"/>
      <c r="B599" s="156" t="s">
        <v>1190</v>
      </c>
      <c r="C599" s="156"/>
      <c r="D599" s="156"/>
      <c r="E599" s="156"/>
      <c r="F599" s="157"/>
      <c r="G599" s="251">
        <v>2009</v>
      </c>
      <c r="H599" s="167"/>
      <c r="I599" s="160"/>
      <c r="J599" s="249"/>
      <c r="K599" s="234">
        <v>2</v>
      </c>
      <c r="L599" s="91"/>
      <c r="M599" s="92"/>
    </row>
    <row r="600" spans="1:13" s="45" customFormat="1" ht="8.5500000000000007" customHeight="1" x14ac:dyDescent="0.2">
      <c r="A600" s="98"/>
      <c r="B600" s="158"/>
      <c r="C600" s="158"/>
      <c r="D600" s="158"/>
      <c r="E600" s="158"/>
      <c r="F600" s="159"/>
      <c r="G600" s="252"/>
      <c r="H600" s="168"/>
      <c r="I600" s="161"/>
      <c r="J600" s="250"/>
      <c r="K600" s="235"/>
      <c r="L600" s="91"/>
      <c r="M600" s="92"/>
    </row>
    <row r="601" spans="1:13" s="45" customFormat="1" ht="8.5500000000000007" customHeight="1" x14ac:dyDescent="0.2">
      <c r="A601" s="98"/>
      <c r="B601" s="156" t="s">
        <v>1191</v>
      </c>
      <c r="C601" s="156"/>
      <c r="D601" s="156"/>
      <c r="E601" s="156"/>
      <c r="F601" s="157"/>
      <c r="G601" s="251">
        <v>2009</v>
      </c>
      <c r="H601" s="167"/>
      <c r="I601" s="160"/>
      <c r="J601" s="249"/>
      <c r="K601" s="234">
        <v>2</v>
      </c>
      <c r="L601" s="91"/>
      <c r="M601" s="92"/>
    </row>
    <row r="602" spans="1:13" s="45" customFormat="1" ht="8.5500000000000007" customHeight="1" x14ac:dyDescent="0.2">
      <c r="A602" s="98"/>
      <c r="B602" s="158"/>
      <c r="C602" s="158"/>
      <c r="D602" s="158"/>
      <c r="E602" s="158"/>
      <c r="F602" s="159"/>
      <c r="G602" s="252"/>
      <c r="H602" s="168"/>
      <c r="I602" s="161"/>
      <c r="J602" s="250"/>
      <c r="K602" s="235"/>
      <c r="L602" s="91"/>
      <c r="M602" s="92"/>
    </row>
    <row r="603" spans="1:13" s="45" customFormat="1" ht="8.5500000000000007" customHeight="1" x14ac:dyDescent="0.2">
      <c r="A603" s="98"/>
      <c r="B603" s="156" t="s">
        <v>1371</v>
      </c>
      <c r="C603" s="156"/>
      <c r="D603" s="156"/>
      <c r="E603" s="156"/>
      <c r="F603" s="157"/>
      <c r="G603" s="251">
        <v>1999</v>
      </c>
      <c r="H603" s="167"/>
      <c r="I603" s="160"/>
      <c r="J603" s="247"/>
      <c r="K603" s="234">
        <v>1</v>
      </c>
      <c r="L603" s="91"/>
      <c r="M603" s="92"/>
    </row>
    <row r="604" spans="1:13" s="45" customFormat="1" ht="8.5500000000000007" customHeight="1" x14ac:dyDescent="0.2">
      <c r="A604" s="98"/>
      <c r="B604" s="158"/>
      <c r="C604" s="158"/>
      <c r="D604" s="158"/>
      <c r="E604" s="158"/>
      <c r="F604" s="159"/>
      <c r="G604" s="252"/>
      <c r="H604" s="168"/>
      <c r="I604" s="161"/>
      <c r="J604" s="248"/>
      <c r="K604" s="235"/>
      <c r="L604" s="91"/>
      <c r="M604" s="92"/>
    </row>
    <row r="605" spans="1:13" s="45" customFormat="1" ht="8.5500000000000007" customHeight="1" x14ac:dyDescent="0.2">
      <c r="A605" s="98"/>
      <c r="B605" s="156" t="s">
        <v>1372</v>
      </c>
      <c r="C605" s="156"/>
      <c r="D605" s="156"/>
      <c r="E605" s="156"/>
      <c r="F605" s="157"/>
      <c r="G605" s="251">
        <v>2002</v>
      </c>
      <c r="H605" s="167"/>
      <c r="I605" s="160"/>
      <c r="J605" s="247"/>
      <c r="K605" s="234">
        <v>1</v>
      </c>
      <c r="L605" s="91"/>
      <c r="M605" s="92"/>
    </row>
    <row r="606" spans="1:13" s="45" customFormat="1" ht="8.5500000000000007" customHeight="1" x14ac:dyDescent="0.2">
      <c r="A606" s="98"/>
      <c r="B606" s="158"/>
      <c r="C606" s="158"/>
      <c r="D606" s="158"/>
      <c r="E606" s="158"/>
      <c r="F606" s="159"/>
      <c r="G606" s="252"/>
      <c r="H606" s="168"/>
      <c r="I606" s="161"/>
      <c r="J606" s="248"/>
      <c r="K606" s="235"/>
      <c r="L606" s="91"/>
      <c r="M606" s="92"/>
    </row>
    <row r="607" spans="1:13" s="45" customFormat="1" ht="8.5500000000000007" customHeight="1" x14ac:dyDescent="0.2">
      <c r="A607" s="98"/>
      <c r="B607" s="156" t="s">
        <v>981</v>
      </c>
      <c r="C607" s="156"/>
      <c r="D607" s="156"/>
      <c r="E607" s="156"/>
      <c r="F607" s="157"/>
      <c r="G607" s="251">
        <v>2005</v>
      </c>
      <c r="H607" s="167"/>
      <c r="I607" s="160"/>
      <c r="J607" s="247"/>
      <c r="K607" s="234">
        <v>1</v>
      </c>
      <c r="L607" s="91"/>
      <c r="M607" s="92"/>
    </row>
    <row r="608" spans="1:13" s="45" customFormat="1" ht="8.5500000000000007" customHeight="1" x14ac:dyDescent="0.2">
      <c r="A608" s="98"/>
      <c r="B608" s="158"/>
      <c r="C608" s="158"/>
      <c r="D608" s="158"/>
      <c r="E608" s="158"/>
      <c r="F608" s="159"/>
      <c r="G608" s="252"/>
      <c r="H608" s="168"/>
      <c r="I608" s="161"/>
      <c r="J608" s="248"/>
      <c r="K608" s="235"/>
      <c r="L608" s="91"/>
      <c r="M608" s="92"/>
    </row>
    <row r="609" spans="1:13" s="45" customFormat="1" ht="8.5500000000000007" customHeight="1" x14ac:dyDescent="0.2">
      <c r="A609" s="98"/>
      <c r="B609" s="156" t="s">
        <v>1192</v>
      </c>
      <c r="C609" s="156"/>
      <c r="D609" s="156"/>
      <c r="E609" s="156"/>
      <c r="F609" s="157"/>
      <c r="G609" s="251">
        <v>2002</v>
      </c>
      <c r="H609" s="253"/>
      <c r="I609" s="160"/>
      <c r="J609" s="255">
        <v>15</v>
      </c>
      <c r="K609" s="234">
        <v>1</v>
      </c>
      <c r="L609" s="91"/>
      <c r="M609" s="92"/>
    </row>
    <row r="610" spans="1:13" s="45" customFormat="1" ht="8.5500000000000007" customHeight="1" x14ac:dyDescent="0.2">
      <c r="A610" s="98"/>
      <c r="B610" s="158"/>
      <c r="C610" s="158"/>
      <c r="D610" s="158"/>
      <c r="E610" s="158"/>
      <c r="F610" s="159"/>
      <c r="G610" s="252"/>
      <c r="H610" s="254"/>
      <c r="I610" s="161"/>
      <c r="J610" s="256"/>
      <c r="K610" s="235"/>
      <c r="L610" s="91"/>
      <c r="M610" s="92"/>
    </row>
    <row r="611" spans="1:13" s="45" customFormat="1" ht="8.5500000000000007" customHeight="1" x14ac:dyDescent="0.2">
      <c r="A611" s="98"/>
      <c r="B611" s="156" t="s">
        <v>1192</v>
      </c>
      <c r="C611" s="156"/>
      <c r="D611" s="156"/>
      <c r="E611" s="156"/>
      <c r="F611" s="157"/>
      <c r="G611" s="251">
        <v>2003</v>
      </c>
      <c r="H611" s="269"/>
      <c r="I611" s="273"/>
      <c r="J611" s="271"/>
      <c r="K611" s="234">
        <v>1</v>
      </c>
      <c r="L611" s="91"/>
      <c r="M611" s="92"/>
    </row>
    <row r="612" spans="1:13" s="45" customFormat="1" ht="8.5500000000000007" customHeight="1" x14ac:dyDescent="0.2">
      <c r="A612" s="98"/>
      <c r="B612" s="158"/>
      <c r="C612" s="158"/>
      <c r="D612" s="158"/>
      <c r="E612" s="158"/>
      <c r="F612" s="159"/>
      <c r="G612" s="252"/>
      <c r="H612" s="270"/>
      <c r="I612" s="274"/>
      <c r="J612" s="272"/>
      <c r="K612" s="235"/>
      <c r="L612" s="91"/>
      <c r="M612" s="92"/>
    </row>
    <row r="613" spans="1:13" s="45" customFormat="1" ht="8.5500000000000007" customHeight="1" x14ac:dyDescent="0.2">
      <c r="A613" s="98"/>
      <c r="B613" s="156" t="s">
        <v>1192</v>
      </c>
      <c r="C613" s="156"/>
      <c r="D613" s="156"/>
      <c r="E613" s="156"/>
      <c r="F613" s="157"/>
      <c r="G613" s="251">
        <v>2009</v>
      </c>
      <c r="H613" s="269"/>
      <c r="I613" s="273"/>
      <c r="J613" s="271"/>
      <c r="K613" s="234">
        <v>1</v>
      </c>
      <c r="L613" s="91"/>
      <c r="M613" s="92"/>
    </row>
    <row r="614" spans="1:13" s="45" customFormat="1" ht="8.5500000000000007" customHeight="1" x14ac:dyDescent="0.2">
      <c r="A614" s="98"/>
      <c r="B614" s="158"/>
      <c r="C614" s="158"/>
      <c r="D614" s="158"/>
      <c r="E614" s="158"/>
      <c r="F614" s="159"/>
      <c r="G614" s="252"/>
      <c r="H614" s="270"/>
      <c r="I614" s="274"/>
      <c r="J614" s="272"/>
      <c r="K614" s="235"/>
      <c r="L614" s="91"/>
      <c r="M614" s="92"/>
    </row>
    <row r="615" spans="1:13" s="45" customFormat="1" ht="8.5500000000000007" customHeight="1" x14ac:dyDescent="0.2">
      <c r="A615" s="98"/>
      <c r="B615" s="156" t="s">
        <v>1640</v>
      </c>
      <c r="C615" s="156"/>
      <c r="D615" s="156"/>
      <c r="E615" s="156"/>
      <c r="F615" s="157"/>
      <c r="G615" s="251">
        <v>2008</v>
      </c>
      <c r="H615" s="269"/>
      <c r="I615" s="273"/>
      <c r="J615" s="271"/>
      <c r="K615" s="234">
        <v>1</v>
      </c>
      <c r="L615" s="91"/>
      <c r="M615" s="92"/>
    </row>
    <row r="616" spans="1:13" s="45" customFormat="1" ht="8.5500000000000007" customHeight="1" x14ac:dyDescent="0.2">
      <c r="A616" s="98"/>
      <c r="B616" s="158"/>
      <c r="C616" s="158"/>
      <c r="D616" s="158"/>
      <c r="E616" s="158"/>
      <c r="F616" s="159"/>
      <c r="G616" s="252"/>
      <c r="H616" s="270"/>
      <c r="I616" s="274"/>
      <c r="J616" s="272"/>
      <c r="K616" s="235"/>
      <c r="L616" s="91"/>
      <c r="M616" s="92"/>
    </row>
    <row r="617" spans="1:13" s="45" customFormat="1" ht="8.5500000000000007" customHeight="1" x14ac:dyDescent="0.2">
      <c r="A617" s="98"/>
      <c r="B617" s="172" t="s">
        <v>1193</v>
      </c>
      <c r="C617" s="172"/>
      <c r="D617" s="172"/>
      <c r="E617" s="172"/>
      <c r="F617" s="173"/>
      <c r="G617" s="251">
        <v>1985</v>
      </c>
      <c r="H617" s="167">
        <v>91</v>
      </c>
      <c r="I617" s="160"/>
      <c r="J617" s="249"/>
      <c r="K617" s="234">
        <v>1</v>
      </c>
      <c r="L617" s="91"/>
      <c r="M617" s="92"/>
    </row>
    <row r="618" spans="1:13" s="45" customFormat="1" ht="8.5500000000000007" customHeight="1" x14ac:dyDescent="0.2">
      <c r="A618" s="98"/>
      <c r="B618" s="174"/>
      <c r="C618" s="174"/>
      <c r="D618" s="174"/>
      <c r="E618" s="174"/>
      <c r="F618" s="175"/>
      <c r="G618" s="252"/>
      <c r="H618" s="168"/>
      <c r="I618" s="161"/>
      <c r="J618" s="250"/>
      <c r="K618" s="235"/>
      <c r="L618" s="91"/>
      <c r="M618" s="92"/>
    </row>
    <row r="619" spans="1:13" s="45" customFormat="1" ht="8.5500000000000007" customHeight="1" x14ac:dyDescent="0.2">
      <c r="A619" s="98"/>
      <c r="B619" s="156" t="s">
        <v>1193</v>
      </c>
      <c r="C619" s="156"/>
      <c r="D619" s="156"/>
      <c r="E619" s="156"/>
      <c r="F619" s="157"/>
      <c r="G619" s="251">
        <v>1988</v>
      </c>
      <c r="H619" s="167">
        <v>88</v>
      </c>
      <c r="I619" s="160"/>
      <c r="J619" s="249"/>
      <c r="K619" s="234">
        <v>2</v>
      </c>
      <c r="L619" s="91"/>
      <c r="M619" s="92"/>
    </row>
    <row r="620" spans="1:13" s="45" customFormat="1" ht="8.5500000000000007" customHeight="1" x14ac:dyDescent="0.2">
      <c r="A620" s="98"/>
      <c r="B620" s="158"/>
      <c r="C620" s="158"/>
      <c r="D620" s="158"/>
      <c r="E620" s="158"/>
      <c r="F620" s="159"/>
      <c r="G620" s="252"/>
      <c r="H620" s="168"/>
      <c r="I620" s="161"/>
      <c r="J620" s="250"/>
      <c r="K620" s="235"/>
      <c r="L620" s="91"/>
      <c r="M620" s="92"/>
    </row>
    <row r="621" spans="1:13" s="45" customFormat="1" ht="8.5500000000000007" customHeight="1" x14ac:dyDescent="0.2">
      <c r="A621" s="98"/>
      <c r="B621" s="156" t="s">
        <v>1193</v>
      </c>
      <c r="C621" s="156"/>
      <c r="D621" s="156"/>
      <c r="E621" s="156"/>
      <c r="F621" s="157"/>
      <c r="G621" s="251">
        <v>1990</v>
      </c>
      <c r="H621" s="167">
        <v>90</v>
      </c>
      <c r="I621" s="160"/>
      <c r="J621" s="249">
        <v>17</v>
      </c>
      <c r="K621" s="232">
        <v>1</v>
      </c>
      <c r="L621" s="91"/>
      <c r="M621" s="92"/>
    </row>
    <row r="622" spans="1:13" s="45" customFormat="1" ht="8.5500000000000007" customHeight="1" x14ac:dyDescent="0.2">
      <c r="A622" s="98"/>
      <c r="B622" s="158"/>
      <c r="C622" s="158"/>
      <c r="D622" s="158"/>
      <c r="E622" s="158"/>
      <c r="F622" s="159"/>
      <c r="G622" s="252"/>
      <c r="H622" s="168"/>
      <c r="I622" s="161"/>
      <c r="J622" s="250"/>
      <c r="K622" s="233"/>
      <c r="L622" s="91"/>
      <c r="M622" s="92"/>
    </row>
    <row r="623" spans="1:13" s="45" customFormat="1" ht="8.5500000000000007" customHeight="1" x14ac:dyDescent="0.2">
      <c r="A623" s="98"/>
      <c r="B623" s="156" t="s">
        <v>1193</v>
      </c>
      <c r="C623" s="156"/>
      <c r="D623" s="156"/>
      <c r="E623" s="156"/>
      <c r="F623" s="157"/>
      <c r="G623" s="251">
        <v>1991</v>
      </c>
      <c r="H623" s="167">
        <v>90</v>
      </c>
      <c r="I623" s="160"/>
      <c r="J623" s="249"/>
      <c r="K623" s="234">
        <v>1</v>
      </c>
      <c r="L623" s="91"/>
      <c r="M623" s="92"/>
    </row>
    <row r="624" spans="1:13" s="45" customFormat="1" ht="8.5500000000000007" customHeight="1" x14ac:dyDescent="0.2">
      <c r="A624" s="98"/>
      <c r="B624" s="158"/>
      <c r="C624" s="158"/>
      <c r="D624" s="158"/>
      <c r="E624" s="158"/>
      <c r="F624" s="159"/>
      <c r="G624" s="252"/>
      <c r="H624" s="168"/>
      <c r="I624" s="161"/>
      <c r="J624" s="250"/>
      <c r="K624" s="235"/>
      <c r="L624" s="91"/>
      <c r="M624" s="92"/>
    </row>
    <row r="625" spans="1:13" s="45" customFormat="1" ht="8.5500000000000007" customHeight="1" x14ac:dyDescent="0.2">
      <c r="A625" s="98"/>
      <c r="B625" s="156" t="s">
        <v>1193</v>
      </c>
      <c r="C625" s="156"/>
      <c r="D625" s="156"/>
      <c r="E625" s="156"/>
      <c r="F625" s="157"/>
      <c r="G625" s="251">
        <v>1996</v>
      </c>
      <c r="H625" s="167"/>
      <c r="I625" s="160"/>
      <c r="J625" s="249"/>
      <c r="K625" s="234">
        <v>2</v>
      </c>
      <c r="L625" s="91"/>
      <c r="M625" s="92"/>
    </row>
    <row r="626" spans="1:13" s="45" customFormat="1" ht="8.5500000000000007" customHeight="1" x14ac:dyDescent="0.2">
      <c r="A626" s="98"/>
      <c r="B626" s="158"/>
      <c r="C626" s="158"/>
      <c r="D626" s="158"/>
      <c r="E626" s="158"/>
      <c r="F626" s="159"/>
      <c r="G626" s="252"/>
      <c r="H626" s="168"/>
      <c r="I626" s="161"/>
      <c r="J626" s="250"/>
      <c r="K626" s="235"/>
      <c r="L626" s="91"/>
      <c r="M626" s="92"/>
    </row>
    <row r="627" spans="1:13" s="45" customFormat="1" ht="8.5500000000000007" customHeight="1" x14ac:dyDescent="0.2">
      <c r="A627" s="98"/>
      <c r="B627" s="170" t="s">
        <v>272</v>
      </c>
      <c r="C627" s="170"/>
      <c r="D627" s="170"/>
      <c r="E627" s="170"/>
      <c r="F627" s="170"/>
      <c r="G627" s="62"/>
      <c r="H627" s="62"/>
      <c r="I627" s="62"/>
      <c r="J627" s="115"/>
      <c r="K627" s="164"/>
      <c r="L627" s="91"/>
      <c r="M627" s="92"/>
    </row>
    <row r="628" spans="1:13" s="45" customFormat="1" ht="8.5500000000000007" customHeight="1" x14ac:dyDescent="0.2">
      <c r="A628" s="98"/>
      <c r="B628" s="171"/>
      <c r="C628" s="171"/>
      <c r="D628" s="171"/>
      <c r="E628" s="171"/>
      <c r="F628" s="171"/>
      <c r="G628" s="63"/>
      <c r="H628" s="63"/>
      <c r="I628" s="63"/>
      <c r="J628" s="116"/>
      <c r="K628" s="165"/>
      <c r="L628" s="91"/>
      <c r="M628" s="92"/>
    </row>
    <row r="629" spans="1:13" s="45" customFormat="1" ht="8.5500000000000007" customHeight="1" x14ac:dyDescent="0.2">
      <c r="A629" s="98"/>
      <c r="B629" s="156" t="s">
        <v>1193</v>
      </c>
      <c r="C629" s="156"/>
      <c r="D629" s="156"/>
      <c r="E629" s="156"/>
      <c r="F629" s="157"/>
      <c r="G629" s="251">
        <v>1999</v>
      </c>
      <c r="H629" s="167"/>
      <c r="I629" s="160"/>
      <c r="J629" s="249">
        <v>18.5</v>
      </c>
      <c r="K629" s="234">
        <v>1</v>
      </c>
      <c r="L629" s="91"/>
      <c r="M629" s="92"/>
    </row>
    <row r="630" spans="1:13" s="45" customFormat="1" ht="8.5500000000000007" customHeight="1" x14ac:dyDescent="0.2">
      <c r="A630" s="98"/>
      <c r="B630" s="158"/>
      <c r="C630" s="158"/>
      <c r="D630" s="158"/>
      <c r="E630" s="158"/>
      <c r="F630" s="159"/>
      <c r="G630" s="252"/>
      <c r="H630" s="168"/>
      <c r="I630" s="161"/>
      <c r="J630" s="250"/>
      <c r="K630" s="235"/>
      <c r="L630" s="91"/>
      <c r="M630" s="92"/>
    </row>
    <row r="631" spans="1:13" s="45" customFormat="1" ht="8.5500000000000007" customHeight="1" x14ac:dyDescent="0.2">
      <c r="A631" s="98"/>
      <c r="B631" s="156" t="s">
        <v>1249</v>
      </c>
      <c r="C631" s="156"/>
      <c r="D631" s="156"/>
      <c r="E631" s="156"/>
      <c r="F631" s="157"/>
      <c r="G631" s="251">
        <v>1993</v>
      </c>
      <c r="H631" s="167">
        <v>88</v>
      </c>
      <c r="I631" s="160"/>
      <c r="J631" s="249"/>
      <c r="K631" s="234">
        <v>1</v>
      </c>
      <c r="L631" s="91"/>
      <c r="M631" s="92"/>
    </row>
    <row r="632" spans="1:13" s="45" customFormat="1" ht="8.5500000000000007" customHeight="1" x14ac:dyDescent="0.2">
      <c r="A632" s="98"/>
      <c r="B632" s="158"/>
      <c r="C632" s="158"/>
      <c r="D632" s="158"/>
      <c r="E632" s="158"/>
      <c r="F632" s="159"/>
      <c r="G632" s="252"/>
      <c r="H632" s="168"/>
      <c r="I632" s="161"/>
      <c r="J632" s="250"/>
      <c r="K632" s="235"/>
      <c r="L632" s="91"/>
      <c r="M632" s="92"/>
    </row>
    <row r="633" spans="1:13" s="45" customFormat="1" ht="8.5500000000000007" customHeight="1" x14ac:dyDescent="0.2">
      <c r="A633" s="98"/>
      <c r="B633" s="156" t="s">
        <v>1249</v>
      </c>
      <c r="C633" s="156"/>
      <c r="D633" s="156"/>
      <c r="E633" s="156"/>
      <c r="F633" s="157"/>
      <c r="G633" s="251">
        <v>2007</v>
      </c>
      <c r="H633" s="167"/>
      <c r="I633" s="160"/>
      <c r="J633" s="249">
        <v>15.5</v>
      </c>
      <c r="K633" s="234">
        <v>1</v>
      </c>
      <c r="L633" s="91"/>
      <c r="M633" s="92"/>
    </row>
    <row r="634" spans="1:13" s="45" customFormat="1" ht="8.5500000000000007" customHeight="1" x14ac:dyDescent="0.2">
      <c r="A634" s="98"/>
      <c r="B634" s="158"/>
      <c r="C634" s="158"/>
      <c r="D634" s="158"/>
      <c r="E634" s="158"/>
      <c r="F634" s="159"/>
      <c r="G634" s="252"/>
      <c r="H634" s="168"/>
      <c r="I634" s="161"/>
      <c r="J634" s="250"/>
      <c r="K634" s="235"/>
      <c r="L634" s="91"/>
      <c r="M634" s="92"/>
    </row>
    <row r="635" spans="1:13" s="45" customFormat="1" ht="8.5500000000000007" customHeight="1" x14ac:dyDescent="0.2">
      <c r="A635" s="98"/>
      <c r="B635" s="172" t="s">
        <v>1266</v>
      </c>
      <c r="C635" s="172"/>
      <c r="D635" s="172"/>
      <c r="E635" s="172"/>
      <c r="F635" s="173"/>
      <c r="G635" s="251">
        <v>2007</v>
      </c>
      <c r="H635" s="167">
        <v>88</v>
      </c>
      <c r="I635" s="160">
        <v>92</v>
      </c>
      <c r="J635" s="249">
        <v>17</v>
      </c>
      <c r="K635" s="234">
        <v>1</v>
      </c>
      <c r="L635" s="91"/>
      <c r="M635" s="92"/>
    </row>
    <row r="636" spans="1:13" s="45" customFormat="1" ht="8.5500000000000007" customHeight="1" x14ac:dyDescent="0.2">
      <c r="A636" s="98"/>
      <c r="B636" s="174"/>
      <c r="C636" s="174"/>
      <c r="D636" s="174"/>
      <c r="E636" s="174"/>
      <c r="F636" s="175"/>
      <c r="G636" s="252"/>
      <c r="H636" s="168"/>
      <c r="I636" s="161"/>
      <c r="J636" s="250"/>
      <c r="K636" s="235"/>
      <c r="L636" s="91"/>
      <c r="M636" s="92"/>
    </row>
    <row r="637" spans="1:13" s="45" customFormat="1" ht="8.5500000000000007" customHeight="1" x14ac:dyDescent="0.2">
      <c r="A637" s="98"/>
      <c r="B637" s="156" t="s">
        <v>1250</v>
      </c>
      <c r="C637" s="156"/>
      <c r="D637" s="156"/>
      <c r="E637" s="156"/>
      <c r="F637" s="157"/>
      <c r="G637" s="251">
        <v>1996</v>
      </c>
      <c r="H637" s="167"/>
      <c r="I637" s="160"/>
      <c r="J637" s="249"/>
      <c r="K637" s="234">
        <v>1</v>
      </c>
      <c r="L637" s="91"/>
      <c r="M637" s="92"/>
    </row>
    <row r="638" spans="1:13" s="45" customFormat="1" ht="8.5500000000000007" customHeight="1" x14ac:dyDescent="0.2">
      <c r="A638" s="98"/>
      <c r="B638" s="158"/>
      <c r="C638" s="158"/>
      <c r="D638" s="158"/>
      <c r="E638" s="158"/>
      <c r="F638" s="159"/>
      <c r="G638" s="252"/>
      <c r="H638" s="168"/>
      <c r="I638" s="161"/>
      <c r="J638" s="250"/>
      <c r="K638" s="235"/>
      <c r="L638" s="91"/>
      <c r="M638" s="92"/>
    </row>
    <row r="639" spans="1:13" s="45" customFormat="1" ht="8.5500000000000007" customHeight="1" x14ac:dyDescent="0.2">
      <c r="A639" s="98"/>
      <c r="B639" s="156" t="s">
        <v>1250</v>
      </c>
      <c r="C639" s="156"/>
      <c r="D639" s="156"/>
      <c r="E639" s="156"/>
      <c r="F639" s="157"/>
      <c r="G639" s="251">
        <v>2005</v>
      </c>
      <c r="H639" s="167"/>
      <c r="I639" s="160"/>
      <c r="J639" s="249"/>
      <c r="K639" s="234">
        <v>1</v>
      </c>
      <c r="L639" s="91"/>
      <c r="M639" s="92"/>
    </row>
    <row r="640" spans="1:13" s="45" customFormat="1" ht="8.5500000000000007" customHeight="1" x14ac:dyDescent="0.2">
      <c r="A640" s="98"/>
      <c r="B640" s="158"/>
      <c r="C640" s="158"/>
      <c r="D640" s="158"/>
      <c r="E640" s="158"/>
      <c r="F640" s="159"/>
      <c r="G640" s="252"/>
      <c r="H640" s="168"/>
      <c r="I640" s="161"/>
      <c r="J640" s="250"/>
      <c r="K640" s="235"/>
      <c r="L640" s="91"/>
      <c r="M640" s="92"/>
    </row>
    <row r="641" spans="1:13" s="45" customFormat="1" ht="8.5500000000000007" customHeight="1" x14ac:dyDescent="0.2">
      <c r="A641" s="98"/>
      <c r="B641" s="172" t="s">
        <v>1251</v>
      </c>
      <c r="C641" s="172"/>
      <c r="D641" s="172"/>
      <c r="E641" s="172"/>
      <c r="F641" s="173"/>
      <c r="G641" s="166">
        <v>1996</v>
      </c>
      <c r="H641" s="167"/>
      <c r="I641" s="160"/>
      <c r="J641" s="247"/>
      <c r="K641" s="232">
        <v>1</v>
      </c>
      <c r="L641" s="91"/>
      <c r="M641" s="92"/>
    </row>
    <row r="642" spans="1:13" s="45" customFormat="1" ht="8.5500000000000007" customHeight="1" x14ac:dyDescent="0.2">
      <c r="A642" s="98"/>
      <c r="B642" s="174"/>
      <c r="C642" s="174"/>
      <c r="D642" s="174"/>
      <c r="E642" s="174"/>
      <c r="F642" s="175"/>
      <c r="G642" s="166"/>
      <c r="H642" s="168"/>
      <c r="I642" s="161"/>
      <c r="J642" s="248"/>
      <c r="K642" s="233"/>
      <c r="L642" s="91"/>
      <c r="M642" s="92"/>
    </row>
    <row r="643" spans="1:13" s="45" customFormat="1" ht="8.5500000000000007" customHeight="1" x14ac:dyDescent="0.2">
      <c r="A643" s="98"/>
      <c r="B643" s="156" t="s">
        <v>1252</v>
      </c>
      <c r="C643" s="156"/>
      <c r="D643" s="156"/>
      <c r="E643" s="156"/>
      <c r="F643" s="157"/>
      <c r="G643" s="166">
        <v>2005</v>
      </c>
      <c r="H643" s="167"/>
      <c r="I643" s="160"/>
      <c r="J643" s="247"/>
      <c r="K643" s="232">
        <v>2</v>
      </c>
      <c r="L643" s="91"/>
      <c r="M643" s="92"/>
    </row>
    <row r="644" spans="1:13" s="45" customFormat="1" ht="8.5500000000000007" customHeight="1" x14ac:dyDescent="0.2">
      <c r="A644" s="98"/>
      <c r="B644" s="158"/>
      <c r="C644" s="158"/>
      <c r="D644" s="158"/>
      <c r="E644" s="158"/>
      <c r="F644" s="159"/>
      <c r="G644" s="166"/>
      <c r="H644" s="168"/>
      <c r="I644" s="161"/>
      <c r="J644" s="248"/>
      <c r="K644" s="233"/>
      <c r="L644" s="91"/>
      <c r="M644" s="92"/>
    </row>
    <row r="645" spans="1:13" s="45" customFormat="1" ht="8.5500000000000007" customHeight="1" x14ac:dyDescent="0.2">
      <c r="A645" s="98"/>
      <c r="B645" s="172" t="s">
        <v>1629</v>
      </c>
      <c r="C645" s="172"/>
      <c r="D645" s="172"/>
      <c r="E645" s="172"/>
      <c r="F645" s="173"/>
      <c r="G645" s="166">
        <v>1991</v>
      </c>
      <c r="H645" s="167">
        <v>92</v>
      </c>
      <c r="I645" s="160"/>
      <c r="J645" s="247"/>
      <c r="K645" s="234">
        <v>1</v>
      </c>
      <c r="L645" s="91"/>
      <c r="M645" s="92"/>
    </row>
    <row r="646" spans="1:13" s="45" customFormat="1" ht="8.5500000000000007" customHeight="1" x14ac:dyDescent="0.2">
      <c r="A646" s="98"/>
      <c r="B646" s="174"/>
      <c r="C646" s="174"/>
      <c r="D646" s="174"/>
      <c r="E646" s="174"/>
      <c r="F646" s="175"/>
      <c r="G646" s="166"/>
      <c r="H646" s="168"/>
      <c r="I646" s="161"/>
      <c r="J646" s="248"/>
      <c r="K646" s="235"/>
      <c r="L646" s="91"/>
      <c r="M646" s="92"/>
    </row>
    <row r="647" spans="1:13" s="45" customFormat="1" ht="8.5500000000000007" customHeight="1" x14ac:dyDescent="0.2">
      <c r="A647" s="98"/>
      <c r="B647" s="156" t="s">
        <v>1195</v>
      </c>
      <c r="C647" s="156"/>
      <c r="D647" s="156"/>
      <c r="E647" s="156"/>
      <c r="F647" s="157"/>
      <c r="G647" s="166">
        <v>1999</v>
      </c>
      <c r="H647" s="167" t="s">
        <v>299</v>
      </c>
      <c r="I647" s="160"/>
      <c r="J647" s="247">
        <v>18.5</v>
      </c>
      <c r="K647" s="234">
        <v>1</v>
      </c>
      <c r="L647" s="91"/>
      <c r="M647" s="92"/>
    </row>
    <row r="648" spans="1:13" s="45" customFormat="1" ht="8.5500000000000007" customHeight="1" x14ac:dyDescent="0.2">
      <c r="A648" s="98"/>
      <c r="B648" s="158"/>
      <c r="C648" s="158"/>
      <c r="D648" s="158"/>
      <c r="E648" s="158"/>
      <c r="F648" s="159"/>
      <c r="G648" s="166"/>
      <c r="H648" s="168"/>
      <c r="I648" s="161"/>
      <c r="J648" s="248"/>
      <c r="K648" s="235"/>
      <c r="L648" s="91"/>
      <c r="M648" s="92"/>
    </row>
    <row r="649" spans="1:13" s="45" customFormat="1" ht="8.5500000000000007" customHeight="1" x14ac:dyDescent="0.2">
      <c r="A649" s="98"/>
      <c r="B649" s="156" t="s">
        <v>1195</v>
      </c>
      <c r="C649" s="156"/>
      <c r="D649" s="156"/>
      <c r="E649" s="156"/>
      <c r="F649" s="157"/>
      <c r="G649" s="166">
        <v>2002</v>
      </c>
      <c r="H649" s="167">
        <v>94</v>
      </c>
      <c r="I649" s="160"/>
      <c r="J649" s="247"/>
      <c r="K649" s="234">
        <v>1</v>
      </c>
      <c r="L649" s="91"/>
      <c r="M649" s="92"/>
    </row>
    <row r="650" spans="1:13" s="45" customFormat="1" ht="8.5500000000000007" customHeight="1" x14ac:dyDescent="0.2">
      <c r="A650" s="98"/>
      <c r="B650" s="158"/>
      <c r="C650" s="158"/>
      <c r="D650" s="158"/>
      <c r="E650" s="158"/>
      <c r="F650" s="159"/>
      <c r="G650" s="166"/>
      <c r="H650" s="168"/>
      <c r="I650" s="161"/>
      <c r="J650" s="248"/>
      <c r="K650" s="235"/>
      <c r="L650" s="91"/>
      <c r="M650" s="92"/>
    </row>
    <row r="651" spans="1:13" s="45" customFormat="1" ht="8.5500000000000007" customHeight="1" x14ac:dyDescent="0.2">
      <c r="A651" s="98"/>
      <c r="B651" s="156" t="s">
        <v>1196</v>
      </c>
      <c r="C651" s="156"/>
      <c r="D651" s="156"/>
      <c r="E651" s="156"/>
      <c r="F651" s="157"/>
      <c r="G651" s="166">
        <v>1996</v>
      </c>
      <c r="H651" s="167">
        <v>90</v>
      </c>
      <c r="I651" s="160"/>
      <c r="J651" s="247">
        <v>17.5</v>
      </c>
      <c r="K651" s="234">
        <v>1</v>
      </c>
      <c r="L651" s="91"/>
      <c r="M651" s="92"/>
    </row>
    <row r="652" spans="1:13" s="45" customFormat="1" ht="8.5500000000000007" customHeight="1" x14ac:dyDescent="0.2">
      <c r="A652" s="98"/>
      <c r="B652" s="158"/>
      <c r="C652" s="158"/>
      <c r="D652" s="158"/>
      <c r="E652" s="158"/>
      <c r="F652" s="159"/>
      <c r="G652" s="166"/>
      <c r="H652" s="168"/>
      <c r="I652" s="161"/>
      <c r="J652" s="248"/>
      <c r="K652" s="235"/>
      <c r="L652" s="91"/>
      <c r="M652" s="92"/>
    </row>
    <row r="653" spans="1:13" s="45" customFormat="1" ht="8.5500000000000007" customHeight="1" x14ac:dyDescent="0.2">
      <c r="A653" s="98"/>
      <c r="B653" s="156" t="s">
        <v>1196</v>
      </c>
      <c r="C653" s="156"/>
      <c r="D653" s="156"/>
      <c r="E653" s="156"/>
      <c r="F653" s="157"/>
      <c r="G653" s="166">
        <v>1999</v>
      </c>
      <c r="H653" s="167">
        <v>96</v>
      </c>
      <c r="I653" s="160"/>
      <c r="J653" s="247">
        <v>18.5</v>
      </c>
      <c r="K653" s="234">
        <v>1</v>
      </c>
      <c r="L653" s="91"/>
      <c r="M653" s="92"/>
    </row>
    <row r="654" spans="1:13" s="45" customFormat="1" ht="8.5500000000000007" customHeight="1" x14ac:dyDescent="0.2">
      <c r="A654" s="98"/>
      <c r="B654" s="158"/>
      <c r="C654" s="158"/>
      <c r="D654" s="158"/>
      <c r="E654" s="158"/>
      <c r="F654" s="159"/>
      <c r="G654" s="166"/>
      <c r="H654" s="168"/>
      <c r="I654" s="161"/>
      <c r="J654" s="248"/>
      <c r="K654" s="235"/>
      <c r="L654" s="91"/>
      <c r="M654" s="92"/>
    </row>
    <row r="655" spans="1:13" s="45" customFormat="1" ht="8.5500000000000007" customHeight="1" x14ac:dyDescent="0.2">
      <c r="A655" s="98"/>
      <c r="B655" s="156" t="s">
        <v>1287</v>
      </c>
      <c r="C655" s="156"/>
      <c r="D655" s="156"/>
      <c r="E655" s="156"/>
      <c r="F655" s="157"/>
      <c r="G655" s="166">
        <v>2000</v>
      </c>
      <c r="H655" s="167"/>
      <c r="I655" s="160"/>
      <c r="J655" s="247">
        <v>18</v>
      </c>
      <c r="K655" s="234">
        <v>1</v>
      </c>
      <c r="L655" s="91"/>
      <c r="M655" s="92"/>
    </row>
    <row r="656" spans="1:13" s="45" customFormat="1" ht="8.5500000000000007" customHeight="1" x14ac:dyDescent="0.2">
      <c r="A656" s="98"/>
      <c r="B656" s="158"/>
      <c r="C656" s="158"/>
      <c r="D656" s="158"/>
      <c r="E656" s="158"/>
      <c r="F656" s="159"/>
      <c r="G656" s="166"/>
      <c r="H656" s="168"/>
      <c r="I656" s="161"/>
      <c r="J656" s="248"/>
      <c r="K656" s="235"/>
      <c r="L656" s="91"/>
      <c r="M656" s="92"/>
    </row>
    <row r="657" spans="1:13" s="45" customFormat="1" ht="8.5500000000000007" customHeight="1" x14ac:dyDescent="0.2">
      <c r="A657" s="98"/>
      <c r="B657" s="156" t="s">
        <v>1287</v>
      </c>
      <c r="C657" s="156"/>
      <c r="D657" s="156"/>
      <c r="E657" s="156"/>
      <c r="F657" s="157"/>
      <c r="G657" s="166">
        <v>2003</v>
      </c>
      <c r="H657" s="167"/>
      <c r="I657" s="160"/>
      <c r="J657" s="247">
        <v>15.5</v>
      </c>
      <c r="K657" s="234">
        <v>1</v>
      </c>
      <c r="L657" s="91"/>
      <c r="M657" s="92"/>
    </row>
    <row r="658" spans="1:13" s="45" customFormat="1" ht="8.5500000000000007" customHeight="1" x14ac:dyDescent="0.2">
      <c r="A658" s="98"/>
      <c r="B658" s="158"/>
      <c r="C658" s="158"/>
      <c r="D658" s="158"/>
      <c r="E658" s="158"/>
      <c r="F658" s="159"/>
      <c r="G658" s="166"/>
      <c r="H658" s="168"/>
      <c r="I658" s="161"/>
      <c r="J658" s="248"/>
      <c r="K658" s="235"/>
      <c r="L658" s="91"/>
      <c r="M658" s="92"/>
    </row>
    <row r="659" spans="1:13" s="45" customFormat="1" ht="8.5500000000000007" customHeight="1" x14ac:dyDescent="0.2">
      <c r="A659" s="98"/>
      <c r="B659" s="156" t="s">
        <v>1196</v>
      </c>
      <c r="C659" s="156"/>
      <c r="D659" s="156"/>
      <c r="E659" s="156"/>
      <c r="F659" s="157"/>
      <c r="G659" s="166">
        <v>2011</v>
      </c>
      <c r="H659" s="167">
        <v>91</v>
      </c>
      <c r="I659" s="160"/>
      <c r="J659" s="247"/>
      <c r="K659" s="234">
        <v>2</v>
      </c>
      <c r="L659" s="91"/>
      <c r="M659" s="92"/>
    </row>
    <row r="660" spans="1:13" s="45" customFormat="1" ht="8.5500000000000007" customHeight="1" x14ac:dyDescent="0.2">
      <c r="A660" s="98"/>
      <c r="B660" s="158"/>
      <c r="C660" s="158"/>
      <c r="D660" s="158"/>
      <c r="E660" s="158"/>
      <c r="F660" s="159"/>
      <c r="G660" s="166"/>
      <c r="H660" s="168"/>
      <c r="I660" s="161"/>
      <c r="J660" s="248"/>
      <c r="K660" s="235"/>
      <c r="L660" s="91"/>
      <c r="M660" s="92"/>
    </row>
    <row r="661" spans="1:13" s="45" customFormat="1" ht="8.5500000000000007" customHeight="1" x14ac:dyDescent="0.2">
      <c r="A661" s="98"/>
      <c r="B661" s="156" t="s">
        <v>1196</v>
      </c>
      <c r="C661" s="156"/>
      <c r="D661" s="156"/>
      <c r="E661" s="156"/>
      <c r="F661" s="157"/>
      <c r="G661" s="166">
        <v>2012</v>
      </c>
      <c r="H661" s="167" t="s">
        <v>841</v>
      </c>
      <c r="I661" s="160"/>
      <c r="J661" s="247"/>
      <c r="K661" s="234">
        <v>1</v>
      </c>
      <c r="L661" s="91"/>
      <c r="M661" s="92"/>
    </row>
    <row r="662" spans="1:13" s="45" customFormat="1" ht="8.5500000000000007" customHeight="1" x14ac:dyDescent="0.2">
      <c r="A662" s="98"/>
      <c r="B662" s="158"/>
      <c r="C662" s="158"/>
      <c r="D662" s="158"/>
      <c r="E662" s="158"/>
      <c r="F662" s="159"/>
      <c r="G662" s="166"/>
      <c r="H662" s="168"/>
      <c r="I662" s="161"/>
      <c r="J662" s="248"/>
      <c r="K662" s="235"/>
      <c r="L662" s="91"/>
      <c r="M662" s="92"/>
    </row>
    <row r="663" spans="1:13" s="45" customFormat="1" ht="8.5500000000000007" customHeight="1" x14ac:dyDescent="0.2">
      <c r="A663" s="98"/>
      <c r="B663" s="156" t="s">
        <v>1196</v>
      </c>
      <c r="C663" s="156"/>
      <c r="D663" s="156"/>
      <c r="E663" s="156"/>
      <c r="F663" s="157"/>
      <c r="G663" s="166">
        <v>2014</v>
      </c>
      <c r="H663" s="167"/>
      <c r="I663" s="160"/>
      <c r="J663" s="247"/>
      <c r="K663" s="234">
        <v>1</v>
      </c>
      <c r="L663" s="91"/>
      <c r="M663" s="92"/>
    </row>
    <row r="664" spans="1:13" s="45" customFormat="1" ht="8.5500000000000007" customHeight="1" x14ac:dyDescent="0.2">
      <c r="A664" s="98"/>
      <c r="B664" s="158"/>
      <c r="C664" s="158"/>
      <c r="D664" s="158"/>
      <c r="E664" s="158"/>
      <c r="F664" s="159"/>
      <c r="G664" s="166"/>
      <c r="H664" s="168"/>
      <c r="I664" s="161"/>
      <c r="J664" s="248"/>
      <c r="K664" s="235"/>
      <c r="L664" s="91"/>
      <c r="M664" s="92"/>
    </row>
    <row r="665" spans="1:13" s="45" customFormat="1" ht="8.5500000000000007" customHeight="1" x14ac:dyDescent="0.2">
      <c r="A665" s="98"/>
      <c r="B665" s="156" t="s">
        <v>1196</v>
      </c>
      <c r="C665" s="156"/>
      <c r="D665" s="156"/>
      <c r="E665" s="156"/>
      <c r="F665" s="157"/>
      <c r="G665" s="166">
        <v>2019</v>
      </c>
      <c r="H665" s="167" t="s">
        <v>626</v>
      </c>
      <c r="I665" s="160"/>
      <c r="J665" s="247"/>
      <c r="K665" s="234">
        <v>1</v>
      </c>
      <c r="L665" s="91"/>
      <c r="M665" s="92"/>
    </row>
    <row r="666" spans="1:13" s="45" customFormat="1" ht="8.5500000000000007" customHeight="1" x14ac:dyDescent="0.2">
      <c r="A666" s="98"/>
      <c r="B666" s="158"/>
      <c r="C666" s="158"/>
      <c r="D666" s="158"/>
      <c r="E666" s="158"/>
      <c r="F666" s="159"/>
      <c r="G666" s="166"/>
      <c r="H666" s="168"/>
      <c r="I666" s="161"/>
      <c r="J666" s="248"/>
      <c r="K666" s="235"/>
      <c r="L666" s="91"/>
      <c r="M666" s="92"/>
    </row>
    <row r="667" spans="1:13" s="45" customFormat="1" ht="8.5500000000000007" customHeight="1" x14ac:dyDescent="0.2">
      <c r="A667" s="98"/>
      <c r="B667" s="156" t="s">
        <v>1728</v>
      </c>
      <c r="C667" s="156"/>
      <c r="D667" s="156"/>
      <c r="E667" s="156"/>
      <c r="F667" s="157"/>
      <c r="G667" s="166">
        <v>2005</v>
      </c>
      <c r="H667" s="167">
        <v>92</v>
      </c>
      <c r="I667" s="160"/>
      <c r="J667" s="247"/>
      <c r="K667" s="234">
        <v>1</v>
      </c>
      <c r="L667" s="91"/>
      <c r="M667" s="92"/>
    </row>
    <row r="668" spans="1:13" s="45" customFormat="1" ht="8.5500000000000007" customHeight="1" x14ac:dyDescent="0.2">
      <c r="A668" s="98"/>
      <c r="B668" s="158"/>
      <c r="C668" s="158"/>
      <c r="D668" s="158"/>
      <c r="E668" s="158"/>
      <c r="F668" s="159"/>
      <c r="G668" s="166"/>
      <c r="H668" s="168"/>
      <c r="I668" s="161"/>
      <c r="J668" s="248"/>
      <c r="K668" s="235"/>
      <c r="L668" s="91"/>
      <c r="M668" s="92"/>
    </row>
    <row r="669" spans="1:13" s="45" customFormat="1" ht="8.5500000000000007" customHeight="1" x14ac:dyDescent="0.2">
      <c r="A669" s="98"/>
      <c r="B669" s="156" t="s">
        <v>1728</v>
      </c>
      <c r="C669" s="156"/>
      <c r="D669" s="156"/>
      <c r="E669" s="156"/>
      <c r="F669" s="157"/>
      <c r="G669" s="166">
        <v>2019</v>
      </c>
      <c r="H669" s="167" t="s">
        <v>1630</v>
      </c>
      <c r="I669" s="160"/>
      <c r="J669" s="247"/>
      <c r="K669" s="234">
        <v>2</v>
      </c>
      <c r="L669" s="91"/>
      <c r="M669" s="92"/>
    </row>
    <row r="670" spans="1:13" s="45" customFormat="1" ht="8.5500000000000007" customHeight="1" x14ac:dyDescent="0.2">
      <c r="A670" s="98"/>
      <c r="B670" s="158"/>
      <c r="C670" s="158"/>
      <c r="D670" s="158"/>
      <c r="E670" s="158"/>
      <c r="F670" s="159"/>
      <c r="G670" s="166"/>
      <c r="H670" s="168"/>
      <c r="I670" s="161"/>
      <c r="J670" s="248"/>
      <c r="K670" s="235"/>
      <c r="L670" s="91"/>
      <c r="M670" s="92"/>
    </row>
    <row r="671" spans="1:13" s="45" customFormat="1" ht="8.5500000000000007" customHeight="1" x14ac:dyDescent="0.2">
      <c r="A671" s="98"/>
      <c r="B671" s="156" t="s">
        <v>1728</v>
      </c>
      <c r="C671" s="156"/>
      <c r="D671" s="156"/>
      <c r="E671" s="156"/>
      <c r="F671" s="157"/>
      <c r="G671" s="166">
        <v>2020</v>
      </c>
      <c r="H671" s="167" t="s">
        <v>299</v>
      </c>
      <c r="I671" s="160"/>
      <c r="J671" s="247"/>
      <c r="K671" s="234">
        <v>6</v>
      </c>
      <c r="L671" s="91"/>
      <c r="M671" s="92"/>
    </row>
    <row r="672" spans="1:13" s="45" customFormat="1" ht="8.5500000000000007" customHeight="1" x14ac:dyDescent="0.2">
      <c r="A672" s="98"/>
      <c r="B672" s="158"/>
      <c r="C672" s="158"/>
      <c r="D672" s="158"/>
      <c r="E672" s="158"/>
      <c r="F672" s="159"/>
      <c r="G672" s="166"/>
      <c r="H672" s="168"/>
      <c r="I672" s="161"/>
      <c r="J672" s="248"/>
      <c r="K672" s="235"/>
      <c r="L672" s="91"/>
      <c r="M672" s="92"/>
    </row>
    <row r="673" spans="1:13" s="45" customFormat="1" ht="8.5500000000000007" customHeight="1" x14ac:dyDescent="0.2">
      <c r="A673" s="98"/>
      <c r="B673" s="156" t="s">
        <v>1728</v>
      </c>
      <c r="C673" s="156"/>
      <c r="D673" s="156"/>
      <c r="E673" s="156"/>
      <c r="F673" s="157"/>
      <c r="G673" s="166">
        <v>2021</v>
      </c>
      <c r="H673" s="167"/>
      <c r="I673" s="160"/>
      <c r="J673" s="247"/>
      <c r="K673" s="234">
        <v>1</v>
      </c>
      <c r="L673" s="91"/>
      <c r="M673" s="92"/>
    </row>
    <row r="674" spans="1:13" s="45" customFormat="1" ht="8.5500000000000007" customHeight="1" x14ac:dyDescent="0.2">
      <c r="A674" s="98"/>
      <c r="B674" s="158"/>
      <c r="C674" s="158"/>
      <c r="D674" s="158"/>
      <c r="E674" s="158"/>
      <c r="F674" s="159"/>
      <c r="G674" s="166"/>
      <c r="H674" s="168"/>
      <c r="I674" s="161"/>
      <c r="J674" s="248"/>
      <c r="K674" s="235"/>
      <c r="L674" s="91"/>
      <c r="M674" s="92"/>
    </row>
    <row r="675" spans="1:13" s="45" customFormat="1" ht="8.5500000000000007" customHeight="1" x14ac:dyDescent="0.2">
      <c r="A675" s="98"/>
      <c r="B675" s="156" t="s">
        <v>1996</v>
      </c>
      <c r="C675" s="156"/>
      <c r="D675" s="156"/>
      <c r="E675" s="156"/>
      <c r="F675" s="157"/>
      <c r="G675" s="166">
        <v>2021</v>
      </c>
      <c r="H675" s="167"/>
      <c r="I675" s="160"/>
      <c r="J675" s="247"/>
      <c r="K675" s="234">
        <v>1</v>
      </c>
      <c r="L675" s="91"/>
      <c r="M675" s="92"/>
    </row>
    <row r="676" spans="1:13" s="45" customFormat="1" ht="8.5500000000000007" customHeight="1" x14ac:dyDescent="0.2">
      <c r="A676" s="98"/>
      <c r="B676" s="158"/>
      <c r="C676" s="158"/>
      <c r="D676" s="158"/>
      <c r="E676" s="158"/>
      <c r="F676" s="159"/>
      <c r="G676" s="166"/>
      <c r="H676" s="168"/>
      <c r="I676" s="161"/>
      <c r="J676" s="248"/>
      <c r="K676" s="235"/>
      <c r="L676" s="91"/>
      <c r="M676" s="92"/>
    </row>
    <row r="677" spans="1:13" s="45" customFormat="1" ht="8.5500000000000007" customHeight="1" x14ac:dyDescent="0.2">
      <c r="A677" s="98"/>
      <c r="B677" s="156" t="s">
        <v>1198</v>
      </c>
      <c r="C677" s="156"/>
      <c r="D677" s="156"/>
      <c r="E677" s="156"/>
      <c r="F677" s="157"/>
      <c r="G677" s="166">
        <v>1996</v>
      </c>
      <c r="H677" s="167" t="s">
        <v>688</v>
      </c>
      <c r="I677" s="160"/>
      <c r="J677" s="247">
        <v>16.5</v>
      </c>
      <c r="K677" s="234">
        <v>1</v>
      </c>
      <c r="L677" s="91"/>
      <c r="M677" s="92"/>
    </row>
    <row r="678" spans="1:13" s="45" customFormat="1" ht="8.5500000000000007" customHeight="1" x14ac:dyDescent="0.2">
      <c r="A678" s="98"/>
      <c r="B678" s="158"/>
      <c r="C678" s="158"/>
      <c r="D678" s="158"/>
      <c r="E678" s="158"/>
      <c r="F678" s="159"/>
      <c r="G678" s="166"/>
      <c r="H678" s="168"/>
      <c r="I678" s="161"/>
      <c r="J678" s="248"/>
      <c r="K678" s="235"/>
      <c r="L678" s="91"/>
      <c r="M678" s="92"/>
    </row>
    <row r="679" spans="1:13" s="45" customFormat="1" ht="8.5500000000000007" customHeight="1" x14ac:dyDescent="0.2">
      <c r="A679" s="98"/>
      <c r="B679" s="156" t="s">
        <v>1198</v>
      </c>
      <c r="C679" s="156"/>
      <c r="D679" s="156"/>
      <c r="E679" s="156"/>
      <c r="F679" s="157"/>
      <c r="G679" s="166">
        <v>1999</v>
      </c>
      <c r="H679" s="167" t="s">
        <v>61</v>
      </c>
      <c r="I679" s="160"/>
      <c r="J679" s="247"/>
      <c r="K679" s="234">
        <v>1</v>
      </c>
      <c r="L679" s="91"/>
      <c r="M679" s="92"/>
    </row>
    <row r="680" spans="1:13" s="45" customFormat="1" ht="8.5500000000000007" customHeight="1" x14ac:dyDescent="0.2">
      <c r="A680" s="98"/>
      <c r="B680" s="158"/>
      <c r="C680" s="158"/>
      <c r="D680" s="158"/>
      <c r="E680" s="158"/>
      <c r="F680" s="159"/>
      <c r="G680" s="166"/>
      <c r="H680" s="168"/>
      <c r="I680" s="161"/>
      <c r="J680" s="248"/>
      <c r="K680" s="235"/>
      <c r="L680" s="91"/>
      <c r="M680" s="92"/>
    </row>
    <row r="681" spans="1:13" s="45" customFormat="1" ht="8.5500000000000007" customHeight="1" x14ac:dyDescent="0.2">
      <c r="A681" s="98"/>
      <c r="B681" s="156" t="s">
        <v>1197</v>
      </c>
      <c r="C681" s="156"/>
      <c r="D681" s="156"/>
      <c r="E681" s="156"/>
      <c r="F681" s="157"/>
      <c r="G681" s="166">
        <v>1988</v>
      </c>
      <c r="H681" s="167">
        <v>87</v>
      </c>
      <c r="I681" s="160"/>
      <c r="J681" s="247"/>
      <c r="K681" s="234">
        <v>1</v>
      </c>
      <c r="L681" s="91"/>
      <c r="M681" s="92"/>
    </row>
    <row r="682" spans="1:13" s="45" customFormat="1" ht="8.5500000000000007" customHeight="1" x14ac:dyDescent="0.2">
      <c r="A682" s="98"/>
      <c r="B682" s="158"/>
      <c r="C682" s="158"/>
      <c r="D682" s="158"/>
      <c r="E682" s="158"/>
      <c r="F682" s="159"/>
      <c r="G682" s="166"/>
      <c r="H682" s="168"/>
      <c r="I682" s="161"/>
      <c r="J682" s="248"/>
      <c r="K682" s="235"/>
      <c r="L682" s="91"/>
      <c r="M682" s="92"/>
    </row>
    <row r="683" spans="1:13" s="45" customFormat="1" ht="8.5500000000000007" customHeight="1" x14ac:dyDescent="0.2">
      <c r="A683" s="98"/>
      <c r="B683" s="170" t="s">
        <v>272</v>
      </c>
      <c r="C683" s="170"/>
      <c r="D683" s="170"/>
      <c r="E683" s="170"/>
      <c r="F683" s="170"/>
      <c r="G683" s="62"/>
      <c r="H683" s="62"/>
      <c r="I683" s="62"/>
      <c r="J683" s="115"/>
      <c r="K683" s="164"/>
      <c r="L683" s="91"/>
      <c r="M683" s="92"/>
    </row>
    <row r="684" spans="1:13" s="45" customFormat="1" ht="8.5500000000000007" customHeight="1" x14ac:dyDescent="0.2">
      <c r="A684" s="98"/>
      <c r="B684" s="171"/>
      <c r="C684" s="171"/>
      <c r="D684" s="171"/>
      <c r="E684" s="171"/>
      <c r="F684" s="171"/>
      <c r="G684" s="63"/>
      <c r="H684" s="63"/>
      <c r="I684" s="63"/>
      <c r="J684" s="116"/>
      <c r="K684" s="165"/>
      <c r="L684" s="91"/>
      <c r="M684" s="92"/>
    </row>
    <row r="685" spans="1:13" s="45" customFormat="1" ht="8.5500000000000007" customHeight="1" x14ac:dyDescent="0.2">
      <c r="A685" s="98"/>
      <c r="B685" s="156" t="s">
        <v>1197</v>
      </c>
      <c r="C685" s="156"/>
      <c r="D685" s="156"/>
      <c r="E685" s="156"/>
      <c r="F685" s="157"/>
      <c r="G685" s="166">
        <v>1999</v>
      </c>
      <c r="H685" s="167" t="s">
        <v>3</v>
      </c>
      <c r="I685" s="160"/>
      <c r="J685" s="247">
        <v>16.5</v>
      </c>
      <c r="K685" s="234">
        <v>1</v>
      </c>
      <c r="L685" s="91"/>
      <c r="M685" s="92"/>
    </row>
    <row r="686" spans="1:13" s="45" customFormat="1" ht="8.5500000000000007" customHeight="1" x14ac:dyDescent="0.2">
      <c r="A686" s="98"/>
      <c r="B686" s="158"/>
      <c r="C686" s="158"/>
      <c r="D686" s="158"/>
      <c r="E686" s="158"/>
      <c r="F686" s="159"/>
      <c r="G686" s="166"/>
      <c r="H686" s="168"/>
      <c r="I686" s="161"/>
      <c r="J686" s="248"/>
      <c r="K686" s="235"/>
      <c r="L686" s="91"/>
      <c r="M686" s="92"/>
    </row>
    <row r="687" spans="1:13" s="45" customFormat="1" ht="8.5500000000000007" customHeight="1" x14ac:dyDescent="0.2">
      <c r="A687" s="98"/>
      <c r="B687" s="156" t="s">
        <v>1267</v>
      </c>
      <c r="C687" s="156"/>
      <c r="D687" s="156"/>
      <c r="E687" s="156"/>
      <c r="F687" s="157"/>
      <c r="G687" s="166">
        <v>2005</v>
      </c>
      <c r="H687" s="167">
        <v>93</v>
      </c>
      <c r="I687" s="160"/>
      <c r="J687" s="247"/>
      <c r="K687" s="234">
        <v>2</v>
      </c>
      <c r="L687" s="91"/>
      <c r="M687" s="92"/>
    </row>
    <row r="688" spans="1:13" s="45" customFormat="1" ht="8.5500000000000007" customHeight="1" x14ac:dyDescent="0.2">
      <c r="A688" s="98"/>
      <c r="B688" s="158"/>
      <c r="C688" s="158"/>
      <c r="D688" s="158"/>
      <c r="E688" s="158"/>
      <c r="F688" s="159"/>
      <c r="G688" s="166"/>
      <c r="H688" s="168"/>
      <c r="I688" s="161"/>
      <c r="J688" s="248"/>
      <c r="K688" s="235"/>
      <c r="L688" s="91"/>
      <c r="M688" s="92"/>
    </row>
    <row r="689" spans="1:13" s="45" customFormat="1" ht="8.5500000000000007" customHeight="1" x14ac:dyDescent="0.2">
      <c r="A689" s="98"/>
      <c r="B689" s="156" t="s">
        <v>1267</v>
      </c>
      <c r="C689" s="156"/>
      <c r="D689" s="156"/>
      <c r="E689" s="156"/>
      <c r="F689" s="157"/>
      <c r="G689" s="166">
        <v>2006</v>
      </c>
      <c r="H689" s="167">
        <v>94</v>
      </c>
      <c r="I689" s="160"/>
      <c r="J689" s="247">
        <v>18.5</v>
      </c>
      <c r="K689" s="234">
        <v>1</v>
      </c>
      <c r="L689" s="91"/>
      <c r="M689" s="92"/>
    </row>
    <row r="690" spans="1:13" s="45" customFormat="1" ht="8.5500000000000007" customHeight="1" x14ac:dyDescent="0.2">
      <c r="A690" s="98"/>
      <c r="B690" s="158"/>
      <c r="C690" s="158"/>
      <c r="D690" s="158"/>
      <c r="E690" s="158"/>
      <c r="F690" s="159"/>
      <c r="G690" s="166"/>
      <c r="H690" s="168"/>
      <c r="I690" s="161"/>
      <c r="J690" s="248"/>
      <c r="K690" s="235"/>
      <c r="L690" s="91"/>
      <c r="M690" s="92"/>
    </row>
    <row r="691" spans="1:13" s="45" customFormat="1" ht="8.5500000000000007" customHeight="1" x14ac:dyDescent="0.2">
      <c r="A691" s="98"/>
      <c r="B691" s="156" t="s">
        <v>1267</v>
      </c>
      <c r="C691" s="156"/>
      <c r="D691" s="156"/>
      <c r="E691" s="156"/>
      <c r="F691" s="157"/>
      <c r="G691" s="166">
        <v>2008</v>
      </c>
      <c r="H691" s="167">
        <v>94</v>
      </c>
      <c r="I691" s="160"/>
      <c r="J691" s="247">
        <v>16</v>
      </c>
      <c r="K691" s="234">
        <v>1</v>
      </c>
      <c r="L691" s="91"/>
      <c r="M691" s="92"/>
    </row>
    <row r="692" spans="1:13" s="45" customFormat="1" ht="8.5500000000000007" customHeight="1" x14ac:dyDescent="0.2">
      <c r="A692" s="98"/>
      <c r="B692" s="158"/>
      <c r="C692" s="158"/>
      <c r="D692" s="158"/>
      <c r="E692" s="158"/>
      <c r="F692" s="159"/>
      <c r="G692" s="166"/>
      <c r="H692" s="168"/>
      <c r="I692" s="161"/>
      <c r="J692" s="248"/>
      <c r="K692" s="235"/>
      <c r="L692" s="91"/>
      <c r="M692" s="92"/>
    </row>
    <row r="693" spans="1:13" s="45" customFormat="1" ht="8.5500000000000007" customHeight="1" x14ac:dyDescent="0.2">
      <c r="A693" s="98"/>
      <c r="B693" s="156" t="s">
        <v>1267</v>
      </c>
      <c r="C693" s="156"/>
      <c r="D693" s="156"/>
      <c r="E693" s="156"/>
      <c r="F693" s="157"/>
      <c r="G693" s="166">
        <v>2019</v>
      </c>
      <c r="H693" s="167" t="s">
        <v>633</v>
      </c>
      <c r="I693" s="160"/>
      <c r="J693" s="247"/>
      <c r="K693" s="234">
        <v>1</v>
      </c>
      <c r="L693" s="91"/>
      <c r="M693" s="92"/>
    </row>
    <row r="694" spans="1:13" s="45" customFormat="1" ht="8.5500000000000007" customHeight="1" x14ac:dyDescent="0.2">
      <c r="A694" s="98"/>
      <c r="B694" s="158"/>
      <c r="C694" s="158"/>
      <c r="D694" s="158"/>
      <c r="E694" s="158"/>
      <c r="F694" s="159"/>
      <c r="G694" s="166"/>
      <c r="H694" s="168"/>
      <c r="I694" s="161"/>
      <c r="J694" s="248"/>
      <c r="K694" s="235"/>
      <c r="L694" s="91"/>
      <c r="M694" s="92"/>
    </row>
    <row r="695" spans="1:13" s="45" customFormat="1" ht="8.5500000000000007" customHeight="1" x14ac:dyDescent="0.2">
      <c r="A695" s="98"/>
      <c r="B695" s="156" t="s">
        <v>1848</v>
      </c>
      <c r="C695" s="156"/>
      <c r="D695" s="156"/>
      <c r="E695" s="156"/>
      <c r="F695" s="157"/>
      <c r="G695" s="166">
        <v>2005</v>
      </c>
      <c r="H695" s="167"/>
      <c r="I695" s="160"/>
      <c r="J695" s="247"/>
      <c r="K695" s="234">
        <v>1</v>
      </c>
      <c r="L695" s="91"/>
      <c r="M695" s="92"/>
    </row>
    <row r="696" spans="1:13" s="45" customFormat="1" ht="8.5500000000000007" customHeight="1" x14ac:dyDescent="0.2">
      <c r="A696" s="98"/>
      <c r="B696" s="158"/>
      <c r="C696" s="158"/>
      <c r="D696" s="158"/>
      <c r="E696" s="158"/>
      <c r="F696" s="159"/>
      <c r="G696" s="166"/>
      <c r="H696" s="168"/>
      <c r="I696" s="161"/>
      <c r="J696" s="248"/>
      <c r="K696" s="235"/>
      <c r="L696" s="91"/>
      <c r="M696" s="92"/>
    </row>
    <row r="697" spans="1:13" s="45" customFormat="1" ht="8.5500000000000007" customHeight="1" x14ac:dyDescent="0.2">
      <c r="A697" s="98"/>
      <c r="B697" s="156" t="s">
        <v>1848</v>
      </c>
      <c r="C697" s="156"/>
      <c r="D697" s="156"/>
      <c r="E697" s="156"/>
      <c r="F697" s="157"/>
      <c r="G697" s="166">
        <v>2019</v>
      </c>
      <c r="H697" s="167"/>
      <c r="I697" s="160"/>
      <c r="J697" s="247"/>
      <c r="K697" s="234">
        <v>1</v>
      </c>
      <c r="L697" s="91"/>
      <c r="M697" s="92"/>
    </row>
    <row r="698" spans="1:13" s="45" customFormat="1" ht="8.5500000000000007" customHeight="1" x14ac:dyDescent="0.2">
      <c r="A698" s="98"/>
      <c r="B698" s="158"/>
      <c r="C698" s="158"/>
      <c r="D698" s="158"/>
      <c r="E698" s="158"/>
      <c r="F698" s="159"/>
      <c r="G698" s="166"/>
      <c r="H698" s="168"/>
      <c r="I698" s="161"/>
      <c r="J698" s="248"/>
      <c r="K698" s="235"/>
      <c r="L698" s="91"/>
      <c r="M698" s="92"/>
    </row>
    <row r="699" spans="1:13" s="45" customFormat="1" ht="8.5500000000000007" customHeight="1" x14ac:dyDescent="0.2">
      <c r="A699" s="98"/>
      <c r="B699" s="156" t="s">
        <v>1848</v>
      </c>
      <c r="C699" s="156"/>
      <c r="D699" s="156"/>
      <c r="E699" s="156"/>
      <c r="F699" s="157"/>
      <c r="G699" s="166">
        <v>2021</v>
      </c>
      <c r="H699" s="167"/>
      <c r="I699" s="160"/>
      <c r="J699" s="247"/>
      <c r="K699" s="234">
        <v>1</v>
      </c>
      <c r="L699" s="91"/>
      <c r="M699" s="92"/>
    </row>
    <row r="700" spans="1:13" s="45" customFormat="1" ht="8.5500000000000007" customHeight="1" x14ac:dyDescent="0.2">
      <c r="A700" s="98"/>
      <c r="B700" s="158"/>
      <c r="C700" s="158"/>
      <c r="D700" s="158"/>
      <c r="E700" s="158"/>
      <c r="F700" s="159"/>
      <c r="G700" s="166"/>
      <c r="H700" s="168"/>
      <c r="I700" s="161"/>
      <c r="J700" s="248"/>
      <c r="K700" s="235"/>
      <c r="L700" s="91"/>
      <c r="M700" s="92"/>
    </row>
    <row r="701" spans="1:13" s="45" customFormat="1" ht="8.5500000000000007" customHeight="1" x14ac:dyDescent="0.2">
      <c r="A701" s="98"/>
      <c r="B701" s="156" t="s">
        <v>1194</v>
      </c>
      <c r="C701" s="156"/>
      <c r="D701" s="156"/>
      <c r="E701" s="156"/>
      <c r="F701" s="157"/>
      <c r="G701" s="166">
        <v>1999</v>
      </c>
      <c r="H701" s="167" t="s">
        <v>865</v>
      </c>
      <c r="I701" s="160"/>
      <c r="J701" s="247">
        <v>16.5</v>
      </c>
      <c r="K701" s="234">
        <v>1</v>
      </c>
      <c r="L701" s="91"/>
      <c r="M701" s="92"/>
    </row>
    <row r="702" spans="1:13" s="45" customFormat="1" ht="8.5500000000000007" customHeight="1" x14ac:dyDescent="0.2">
      <c r="A702" s="98"/>
      <c r="B702" s="158"/>
      <c r="C702" s="158"/>
      <c r="D702" s="158"/>
      <c r="E702" s="158"/>
      <c r="F702" s="159"/>
      <c r="G702" s="166"/>
      <c r="H702" s="168"/>
      <c r="I702" s="161"/>
      <c r="J702" s="248"/>
      <c r="K702" s="235"/>
      <c r="L702" s="91"/>
      <c r="M702" s="92"/>
    </row>
    <row r="703" spans="1:13" s="45" customFormat="1" ht="8.5500000000000007" customHeight="1" x14ac:dyDescent="0.2">
      <c r="A703" s="98"/>
      <c r="B703" s="156" t="s">
        <v>1424</v>
      </c>
      <c r="C703" s="156"/>
      <c r="D703" s="156"/>
      <c r="E703" s="156"/>
      <c r="F703" s="157"/>
      <c r="G703" s="166">
        <v>2019</v>
      </c>
      <c r="H703" s="167">
        <v>94</v>
      </c>
      <c r="I703" s="160"/>
      <c r="J703" s="247"/>
      <c r="K703" s="234">
        <v>1</v>
      </c>
      <c r="L703" s="91"/>
      <c r="M703" s="92"/>
    </row>
    <row r="704" spans="1:13" s="45" customFormat="1" ht="8.5500000000000007" customHeight="1" x14ac:dyDescent="0.2">
      <c r="A704" s="98"/>
      <c r="B704" s="158"/>
      <c r="C704" s="158"/>
      <c r="D704" s="158"/>
      <c r="E704" s="158"/>
      <c r="F704" s="159"/>
      <c r="G704" s="166"/>
      <c r="H704" s="168"/>
      <c r="I704" s="161"/>
      <c r="J704" s="248"/>
      <c r="K704" s="235"/>
      <c r="L704" s="91"/>
      <c r="M704" s="92"/>
    </row>
    <row r="705" spans="1:13" s="45" customFormat="1" ht="8.5500000000000007" customHeight="1" x14ac:dyDescent="0.2">
      <c r="A705" s="98"/>
      <c r="B705" s="156" t="s">
        <v>1424</v>
      </c>
      <c r="C705" s="156"/>
      <c r="D705" s="156"/>
      <c r="E705" s="156"/>
      <c r="F705" s="157"/>
      <c r="G705" s="166">
        <v>2021</v>
      </c>
      <c r="H705" s="167"/>
      <c r="I705" s="160"/>
      <c r="J705" s="247"/>
      <c r="K705" s="234">
        <v>1</v>
      </c>
      <c r="L705" s="91"/>
      <c r="M705" s="92"/>
    </row>
    <row r="706" spans="1:13" s="45" customFormat="1" ht="8.5500000000000007" customHeight="1" x14ac:dyDescent="0.2">
      <c r="A706" s="98"/>
      <c r="B706" s="158"/>
      <c r="C706" s="158"/>
      <c r="D706" s="158"/>
      <c r="E706" s="158"/>
      <c r="F706" s="159"/>
      <c r="G706" s="166"/>
      <c r="H706" s="168"/>
      <c r="I706" s="161"/>
      <c r="J706" s="248"/>
      <c r="K706" s="235"/>
      <c r="L706" s="91"/>
      <c r="M706" s="92"/>
    </row>
    <row r="707" spans="1:13" s="45" customFormat="1" ht="8.5500000000000007" customHeight="1" x14ac:dyDescent="0.2">
      <c r="A707" s="98"/>
      <c r="B707" s="172" t="s">
        <v>1775</v>
      </c>
      <c r="C707" s="172"/>
      <c r="D707" s="172"/>
      <c r="E707" s="172"/>
      <c r="F707" s="173"/>
      <c r="G707" s="166">
        <v>2019</v>
      </c>
      <c r="H707" s="167"/>
      <c r="I707" s="160"/>
      <c r="J707" s="247"/>
      <c r="K707" s="234">
        <v>1</v>
      </c>
      <c r="L707" s="91"/>
      <c r="M707" s="92"/>
    </row>
    <row r="708" spans="1:13" s="45" customFormat="1" ht="8.5500000000000007" customHeight="1" x14ac:dyDescent="0.2">
      <c r="A708" s="98"/>
      <c r="B708" s="174"/>
      <c r="C708" s="174"/>
      <c r="D708" s="174"/>
      <c r="E708" s="174"/>
      <c r="F708" s="175"/>
      <c r="G708" s="166"/>
      <c r="H708" s="168"/>
      <c r="I708" s="161"/>
      <c r="J708" s="248"/>
      <c r="K708" s="235"/>
      <c r="L708" s="91"/>
      <c r="M708" s="92"/>
    </row>
    <row r="709" spans="1:13" s="45" customFormat="1" ht="8.5500000000000007" customHeight="1" x14ac:dyDescent="0.2">
      <c r="A709" s="98"/>
      <c r="B709" s="156" t="s">
        <v>1199</v>
      </c>
      <c r="C709" s="156"/>
      <c r="D709" s="156"/>
      <c r="E709" s="156"/>
      <c r="F709" s="157"/>
      <c r="G709" s="166">
        <v>1993</v>
      </c>
      <c r="H709" s="167">
        <v>93</v>
      </c>
      <c r="I709" s="160"/>
      <c r="J709" s="247">
        <v>17.5</v>
      </c>
      <c r="K709" s="234">
        <v>1</v>
      </c>
      <c r="L709" s="91"/>
      <c r="M709" s="92"/>
    </row>
    <row r="710" spans="1:13" s="45" customFormat="1" ht="8.5500000000000007" customHeight="1" x14ac:dyDescent="0.2">
      <c r="A710" s="98"/>
      <c r="B710" s="158"/>
      <c r="C710" s="158"/>
      <c r="D710" s="158"/>
      <c r="E710" s="158"/>
      <c r="F710" s="159"/>
      <c r="G710" s="166"/>
      <c r="H710" s="168"/>
      <c r="I710" s="161"/>
      <c r="J710" s="248"/>
      <c r="K710" s="235"/>
      <c r="L710" s="91"/>
      <c r="M710" s="92"/>
    </row>
    <row r="711" spans="1:13" s="45" customFormat="1" ht="8.5500000000000007" customHeight="1" x14ac:dyDescent="0.2">
      <c r="A711" s="98"/>
      <c r="B711" s="156" t="s">
        <v>1199</v>
      </c>
      <c r="C711" s="156"/>
      <c r="D711" s="156"/>
      <c r="E711" s="156"/>
      <c r="F711" s="157"/>
      <c r="G711" s="166">
        <v>2005</v>
      </c>
      <c r="H711" s="167" t="s">
        <v>68</v>
      </c>
      <c r="I711" s="160"/>
      <c r="J711" s="247"/>
      <c r="K711" s="234">
        <v>1</v>
      </c>
      <c r="L711" s="91"/>
      <c r="M711" s="92"/>
    </row>
    <row r="712" spans="1:13" s="45" customFormat="1" ht="8.5500000000000007" customHeight="1" x14ac:dyDescent="0.2">
      <c r="A712" s="98"/>
      <c r="B712" s="158"/>
      <c r="C712" s="158"/>
      <c r="D712" s="158"/>
      <c r="E712" s="158"/>
      <c r="F712" s="159"/>
      <c r="G712" s="166"/>
      <c r="H712" s="168"/>
      <c r="I712" s="161"/>
      <c r="J712" s="248"/>
      <c r="K712" s="235"/>
      <c r="L712" s="91"/>
      <c r="M712" s="92"/>
    </row>
    <row r="713" spans="1:13" s="45" customFormat="1" ht="8.5500000000000007" customHeight="1" x14ac:dyDescent="0.2">
      <c r="A713" s="98"/>
      <c r="B713" s="172" t="s">
        <v>1200</v>
      </c>
      <c r="C713" s="172"/>
      <c r="D713" s="172"/>
      <c r="E713" s="172"/>
      <c r="F713" s="173"/>
      <c r="G713" s="166">
        <v>1987</v>
      </c>
      <c r="H713" s="167">
        <v>88</v>
      </c>
      <c r="I713" s="160"/>
      <c r="J713" s="247"/>
      <c r="K713" s="234">
        <v>1</v>
      </c>
      <c r="L713" s="91"/>
      <c r="M713" s="92"/>
    </row>
    <row r="714" spans="1:13" s="45" customFormat="1" ht="8.5500000000000007" customHeight="1" x14ac:dyDescent="0.2">
      <c r="A714" s="98"/>
      <c r="B714" s="174"/>
      <c r="C714" s="174"/>
      <c r="D714" s="174"/>
      <c r="E714" s="174"/>
      <c r="F714" s="175"/>
      <c r="G714" s="166"/>
      <c r="H714" s="168"/>
      <c r="I714" s="161"/>
      <c r="J714" s="248"/>
      <c r="K714" s="235"/>
      <c r="L714" s="91"/>
      <c r="M714" s="92"/>
    </row>
    <row r="715" spans="1:13" s="45" customFormat="1" ht="8.5500000000000007" customHeight="1" x14ac:dyDescent="0.2">
      <c r="A715" s="98"/>
      <c r="B715" s="156" t="s">
        <v>1200</v>
      </c>
      <c r="C715" s="156"/>
      <c r="D715" s="156"/>
      <c r="E715" s="156"/>
      <c r="F715" s="157"/>
      <c r="G715" s="166">
        <v>1997</v>
      </c>
      <c r="H715" s="167">
        <v>95</v>
      </c>
      <c r="I715" s="160"/>
      <c r="J715" s="247"/>
      <c r="K715" s="234">
        <v>1</v>
      </c>
      <c r="L715" s="91"/>
      <c r="M715" s="92"/>
    </row>
    <row r="716" spans="1:13" s="45" customFormat="1" ht="8.5500000000000007" customHeight="1" x14ac:dyDescent="0.2">
      <c r="A716" s="98"/>
      <c r="B716" s="158"/>
      <c r="C716" s="158"/>
      <c r="D716" s="158"/>
      <c r="E716" s="158"/>
      <c r="F716" s="159"/>
      <c r="G716" s="166"/>
      <c r="H716" s="168"/>
      <c r="I716" s="161"/>
      <c r="J716" s="248"/>
      <c r="K716" s="235"/>
      <c r="L716" s="91"/>
      <c r="M716" s="92"/>
    </row>
    <row r="717" spans="1:13" s="45" customFormat="1" ht="8.5500000000000007" customHeight="1" x14ac:dyDescent="0.2">
      <c r="A717" s="98"/>
      <c r="B717" s="156" t="s">
        <v>1200</v>
      </c>
      <c r="C717" s="156"/>
      <c r="D717" s="156"/>
      <c r="E717" s="156"/>
      <c r="F717" s="157"/>
      <c r="G717" s="166">
        <v>2002</v>
      </c>
      <c r="H717" s="167">
        <v>96</v>
      </c>
      <c r="I717" s="160"/>
      <c r="J717" s="247"/>
      <c r="K717" s="234">
        <v>1</v>
      </c>
      <c r="L717" s="91"/>
      <c r="M717" s="92"/>
    </row>
    <row r="718" spans="1:13" s="45" customFormat="1" ht="8.5500000000000007" customHeight="1" x14ac:dyDescent="0.2">
      <c r="A718" s="98"/>
      <c r="B718" s="158"/>
      <c r="C718" s="158"/>
      <c r="D718" s="158"/>
      <c r="E718" s="158"/>
      <c r="F718" s="159"/>
      <c r="G718" s="166"/>
      <c r="H718" s="168"/>
      <c r="I718" s="161"/>
      <c r="J718" s="248"/>
      <c r="K718" s="235"/>
      <c r="L718" s="91"/>
      <c r="M718" s="92"/>
    </row>
    <row r="719" spans="1:13" s="45" customFormat="1" ht="8.5500000000000007" customHeight="1" x14ac:dyDescent="0.2">
      <c r="A719" s="98"/>
      <c r="B719" s="156" t="s">
        <v>1200</v>
      </c>
      <c r="C719" s="156"/>
      <c r="D719" s="156"/>
      <c r="E719" s="156"/>
      <c r="F719" s="157"/>
      <c r="G719" s="166">
        <v>2005</v>
      </c>
      <c r="H719" s="167">
        <v>95</v>
      </c>
      <c r="I719" s="160"/>
      <c r="J719" s="247"/>
      <c r="K719" s="234">
        <v>1</v>
      </c>
      <c r="L719" s="91"/>
      <c r="M719" s="92"/>
    </row>
    <row r="720" spans="1:13" s="45" customFormat="1" ht="8.5500000000000007" customHeight="1" x14ac:dyDescent="0.2">
      <c r="A720" s="98"/>
      <c r="B720" s="158"/>
      <c r="C720" s="158"/>
      <c r="D720" s="158"/>
      <c r="E720" s="158"/>
      <c r="F720" s="159"/>
      <c r="G720" s="166"/>
      <c r="H720" s="168"/>
      <c r="I720" s="161"/>
      <c r="J720" s="248"/>
      <c r="K720" s="235"/>
      <c r="L720" s="91"/>
      <c r="M720" s="92"/>
    </row>
    <row r="721" spans="1:13" s="45" customFormat="1" ht="8.5500000000000007" customHeight="1" x14ac:dyDescent="0.2">
      <c r="A721" s="98"/>
      <c r="B721" s="156" t="s">
        <v>1288</v>
      </c>
      <c r="C721" s="156"/>
      <c r="D721" s="156"/>
      <c r="E721" s="156"/>
      <c r="F721" s="157"/>
      <c r="G721" s="166">
        <v>1996</v>
      </c>
      <c r="H721" s="167">
        <v>86</v>
      </c>
      <c r="I721" s="160"/>
      <c r="J721" s="247">
        <v>18.5</v>
      </c>
      <c r="K721" s="234">
        <v>1</v>
      </c>
      <c r="L721" s="91"/>
      <c r="M721" s="92"/>
    </row>
    <row r="722" spans="1:13" s="45" customFormat="1" ht="8.5500000000000007" customHeight="1" x14ac:dyDescent="0.2">
      <c r="A722" s="98"/>
      <c r="B722" s="158"/>
      <c r="C722" s="158"/>
      <c r="D722" s="158"/>
      <c r="E722" s="158"/>
      <c r="F722" s="159"/>
      <c r="G722" s="166"/>
      <c r="H722" s="168"/>
      <c r="I722" s="161"/>
      <c r="J722" s="248"/>
      <c r="K722" s="235"/>
      <c r="L722" s="91"/>
      <c r="M722" s="92"/>
    </row>
    <row r="723" spans="1:13" s="45" customFormat="1" ht="8.5500000000000007" customHeight="1" x14ac:dyDescent="0.2">
      <c r="A723" s="98"/>
      <c r="B723" s="156" t="s">
        <v>1641</v>
      </c>
      <c r="C723" s="156"/>
      <c r="D723" s="156"/>
      <c r="E723" s="156"/>
      <c r="F723" s="157"/>
      <c r="G723" s="166">
        <v>2002</v>
      </c>
      <c r="H723" s="167"/>
      <c r="I723" s="160"/>
      <c r="J723" s="247"/>
      <c r="K723" s="234">
        <v>1</v>
      </c>
      <c r="L723" s="91"/>
      <c r="M723" s="92"/>
    </row>
    <row r="724" spans="1:13" s="45" customFormat="1" ht="8.5500000000000007" customHeight="1" x14ac:dyDescent="0.2">
      <c r="A724" s="98"/>
      <c r="B724" s="158"/>
      <c r="C724" s="158"/>
      <c r="D724" s="158"/>
      <c r="E724" s="158"/>
      <c r="F724" s="159"/>
      <c r="G724" s="166"/>
      <c r="H724" s="168"/>
      <c r="I724" s="161"/>
      <c r="J724" s="248"/>
      <c r="K724" s="235"/>
      <c r="L724" s="91"/>
      <c r="M724" s="92"/>
    </row>
    <row r="725" spans="1:13" s="45" customFormat="1" ht="8.5500000000000007" customHeight="1" x14ac:dyDescent="0.2">
      <c r="A725" s="98"/>
      <c r="B725" s="156" t="s">
        <v>1201</v>
      </c>
      <c r="C725" s="156"/>
      <c r="D725" s="156"/>
      <c r="E725" s="156"/>
      <c r="F725" s="157"/>
      <c r="G725" s="166">
        <v>1998</v>
      </c>
      <c r="H725" s="167"/>
      <c r="I725" s="160"/>
      <c r="J725" s="247"/>
      <c r="K725" s="234">
        <v>2</v>
      </c>
      <c r="L725" s="91"/>
      <c r="M725" s="92"/>
    </row>
    <row r="726" spans="1:13" s="45" customFormat="1" ht="8.5500000000000007" customHeight="1" x14ac:dyDescent="0.2">
      <c r="A726" s="98"/>
      <c r="B726" s="158"/>
      <c r="C726" s="158"/>
      <c r="D726" s="158"/>
      <c r="E726" s="158"/>
      <c r="F726" s="159"/>
      <c r="G726" s="166"/>
      <c r="H726" s="168"/>
      <c r="I726" s="161"/>
      <c r="J726" s="248"/>
      <c r="K726" s="235"/>
      <c r="L726" s="91"/>
      <c r="M726" s="92"/>
    </row>
    <row r="727" spans="1:13" s="45" customFormat="1" ht="8.5500000000000007" customHeight="1" x14ac:dyDescent="0.2">
      <c r="A727" s="98"/>
      <c r="B727" s="156" t="s">
        <v>1201</v>
      </c>
      <c r="C727" s="156"/>
      <c r="D727" s="156"/>
      <c r="E727" s="156"/>
      <c r="F727" s="157"/>
      <c r="G727" s="166">
        <v>2003</v>
      </c>
      <c r="H727" s="167">
        <v>93</v>
      </c>
      <c r="I727" s="160"/>
      <c r="J727" s="247"/>
      <c r="K727" s="234">
        <v>1</v>
      </c>
      <c r="L727" s="91"/>
      <c r="M727" s="92"/>
    </row>
    <row r="728" spans="1:13" s="45" customFormat="1" ht="8.5500000000000007" customHeight="1" x14ac:dyDescent="0.2">
      <c r="A728" s="98"/>
      <c r="B728" s="158"/>
      <c r="C728" s="158"/>
      <c r="D728" s="158"/>
      <c r="E728" s="158"/>
      <c r="F728" s="159"/>
      <c r="G728" s="166"/>
      <c r="H728" s="168"/>
      <c r="I728" s="161"/>
      <c r="J728" s="248"/>
      <c r="K728" s="235"/>
      <c r="L728" s="91"/>
      <c r="M728" s="92"/>
    </row>
    <row r="729" spans="1:13" s="45" customFormat="1" ht="8.5500000000000007" customHeight="1" x14ac:dyDescent="0.2">
      <c r="A729" s="98"/>
      <c r="B729" s="172" t="s">
        <v>1202</v>
      </c>
      <c r="C729" s="172"/>
      <c r="D729" s="172"/>
      <c r="E729" s="172"/>
      <c r="F729" s="173"/>
      <c r="G729" s="166">
        <v>1985</v>
      </c>
      <c r="H729" s="167"/>
      <c r="I729" s="160"/>
      <c r="J729" s="247"/>
      <c r="K729" s="234">
        <v>1</v>
      </c>
      <c r="L729" s="91"/>
      <c r="M729" s="92"/>
    </row>
    <row r="730" spans="1:13" s="45" customFormat="1" ht="8.5500000000000007" customHeight="1" x14ac:dyDescent="0.2">
      <c r="A730" s="98"/>
      <c r="B730" s="174"/>
      <c r="C730" s="174"/>
      <c r="D730" s="174"/>
      <c r="E730" s="174"/>
      <c r="F730" s="175"/>
      <c r="G730" s="166"/>
      <c r="H730" s="168"/>
      <c r="I730" s="161"/>
      <c r="J730" s="248"/>
      <c r="K730" s="235"/>
      <c r="L730" s="91"/>
      <c r="M730" s="92"/>
    </row>
    <row r="731" spans="1:13" s="45" customFormat="1" ht="8.5500000000000007" customHeight="1" x14ac:dyDescent="0.2">
      <c r="A731" s="98"/>
      <c r="B731" s="156" t="s">
        <v>1389</v>
      </c>
      <c r="C731" s="156"/>
      <c r="D731" s="156"/>
      <c r="E731" s="156"/>
      <c r="F731" s="157"/>
      <c r="G731" s="166">
        <v>1983</v>
      </c>
      <c r="H731" s="167"/>
      <c r="I731" s="160"/>
      <c r="J731" s="247"/>
      <c r="K731" s="234">
        <v>1</v>
      </c>
      <c r="L731" s="91"/>
      <c r="M731" s="92"/>
    </row>
    <row r="732" spans="1:13" s="45" customFormat="1" ht="8.5500000000000007" customHeight="1" x14ac:dyDescent="0.2">
      <c r="A732" s="98"/>
      <c r="B732" s="158"/>
      <c r="C732" s="158"/>
      <c r="D732" s="158"/>
      <c r="E732" s="158"/>
      <c r="F732" s="159"/>
      <c r="G732" s="166"/>
      <c r="H732" s="168"/>
      <c r="I732" s="161"/>
      <c r="J732" s="248"/>
      <c r="K732" s="235"/>
      <c r="L732" s="91"/>
      <c r="M732" s="92"/>
    </row>
    <row r="733" spans="1:13" s="45" customFormat="1" ht="8.5500000000000007" customHeight="1" x14ac:dyDescent="0.2">
      <c r="A733" s="98"/>
      <c r="B733" s="172" t="s">
        <v>1289</v>
      </c>
      <c r="C733" s="172"/>
      <c r="D733" s="172"/>
      <c r="E733" s="172"/>
      <c r="F733" s="173"/>
      <c r="G733" s="166">
        <v>1993</v>
      </c>
      <c r="H733" s="167">
        <v>96</v>
      </c>
      <c r="I733" s="160"/>
      <c r="J733" s="247"/>
      <c r="K733" s="234">
        <v>1</v>
      </c>
      <c r="L733" s="91"/>
      <c r="M733" s="92"/>
    </row>
    <row r="734" spans="1:13" s="45" customFormat="1" ht="8.5500000000000007" customHeight="1" x14ac:dyDescent="0.2">
      <c r="A734" s="98"/>
      <c r="B734" s="174"/>
      <c r="C734" s="174"/>
      <c r="D734" s="174"/>
      <c r="E734" s="174"/>
      <c r="F734" s="175"/>
      <c r="G734" s="166"/>
      <c r="H734" s="168"/>
      <c r="I734" s="161"/>
      <c r="J734" s="248"/>
      <c r="K734" s="235"/>
      <c r="L734" s="91"/>
      <c r="M734" s="92"/>
    </row>
    <row r="735" spans="1:13" s="45" customFormat="1" ht="8.5500000000000007" customHeight="1" x14ac:dyDescent="0.2">
      <c r="A735" s="98"/>
      <c r="B735" s="156" t="s">
        <v>1289</v>
      </c>
      <c r="C735" s="156"/>
      <c r="D735" s="156"/>
      <c r="E735" s="156"/>
      <c r="F735" s="157"/>
      <c r="G735" s="166">
        <v>1996</v>
      </c>
      <c r="H735" s="167" t="s">
        <v>74</v>
      </c>
      <c r="I735" s="160"/>
      <c r="J735" s="247"/>
      <c r="K735" s="234">
        <v>1</v>
      </c>
      <c r="L735" s="91"/>
      <c r="M735" s="92"/>
    </row>
    <row r="736" spans="1:13" s="45" customFormat="1" ht="8.5500000000000007" customHeight="1" x14ac:dyDescent="0.2">
      <c r="A736" s="98"/>
      <c r="B736" s="158"/>
      <c r="C736" s="158"/>
      <c r="D736" s="158"/>
      <c r="E736" s="158"/>
      <c r="F736" s="159"/>
      <c r="G736" s="166"/>
      <c r="H736" s="168"/>
      <c r="I736" s="161"/>
      <c r="J736" s="248"/>
      <c r="K736" s="235"/>
      <c r="L736" s="91"/>
      <c r="M736" s="92"/>
    </row>
    <row r="737" spans="1:13" s="45" customFormat="1" ht="8.5500000000000007" customHeight="1" x14ac:dyDescent="0.2">
      <c r="A737" s="98"/>
      <c r="B737" s="172" t="s">
        <v>1203</v>
      </c>
      <c r="C737" s="172"/>
      <c r="D737" s="172"/>
      <c r="E737" s="172"/>
      <c r="F737" s="173"/>
      <c r="G737" s="166">
        <v>2005</v>
      </c>
      <c r="H737" s="167" t="s">
        <v>1969</v>
      </c>
      <c r="I737" s="160"/>
      <c r="J737" s="247"/>
      <c r="K737" s="234">
        <v>2</v>
      </c>
      <c r="L737" s="91"/>
      <c r="M737" s="92"/>
    </row>
    <row r="738" spans="1:13" s="45" customFormat="1" ht="8.5500000000000007" customHeight="1" x14ac:dyDescent="0.2">
      <c r="A738" s="98"/>
      <c r="B738" s="174"/>
      <c r="C738" s="174"/>
      <c r="D738" s="174"/>
      <c r="E738" s="174"/>
      <c r="F738" s="175"/>
      <c r="G738" s="166"/>
      <c r="H738" s="168"/>
      <c r="I738" s="161"/>
      <c r="J738" s="248"/>
      <c r="K738" s="235"/>
      <c r="L738" s="91"/>
      <c r="M738" s="92"/>
    </row>
    <row r="739" spans="1:13" s="45" customFormat="1" ht="8.5500000000000007" customHeight="1" x14ac:dyDescent="0.2">
      <c r="A739" s="98"/>
      <c r="B739" s="170" t="s">
        <v>272</v>
      </c>
      <c r="C739" s="170"/>
      <c r="D739" s="170"/>
      <c r="E739" s="170"/>
      <c r="F739" s="170"/>
      <c r="G739" s="62"/>
      <c r="H739" s="62"/>
      <c r="I739" s="62"/>
      <c r="J739" s="115"/>
      <c r="K739" s="164"/>
      <c r="L739" s="91"/>
      <c r="M739" s="92"/>
    </row>
    <row r="740" spans="1:13" s="45" customFormat="1" ht="8.5500000000000007" customHeight="1" x14ac:dyDescent="0.2">
      <c r="A740" s="98"/>
      <c r="B740" s="171"/>
      <c r="C740" s="171"/>
      <c r="D740" s="171"/>
      <c r="E740" s="171"/>
      <c r="F740" s="171"/>
      <c r="G740" s="63"/>
      <c r="H740" s="63"/>
      <c r="I740" s="63"/>
      <c r="J740" s="116"/>
      <c r="K740" s="165"/>
      <c r="L740" s="91"/>
      <c r="M740" s="92"/>
    </row>
    <row r="741" spans="1:13" s="45" customFormat="1" ht="8.5500000000000007" customHeight="1" x14ac:dyDescent="0.2">
      <c r="A741" s="98"/>
      <c r="B741" s="156" t="s">
        <v>1204</v>
      </c>
      <c r="C741" s="156"/>
      <c r="D741" s="156"/>
      <c r="E741" s="156"/>
      <c r="F741" s="157"/>
      <c r="G741" s="166">
        <v>2005</v>
      </c>
      <c r="H741" s="167" t="s">
        <v>985</v>
      </c>
      <c r="I741" s="160"/>
      <c r="J741" s="247"/>
      <c r="K741" s="234">
        <v>3</v>
      </c>
      <c r="L741" s="91"/>
      <c r="M741" s="92"/>
    </row>
    <row r="742" spans="1:13" s="45" customFormat="1" ht="8.5500000000000007" customHeight="1" x14ac:dyDescent="0.2">
      <c r="A742" s="98"/>
      <c r="B742" s="158"/>
      <c r="C742" s="158"/>
      <c r="D742" s="158"/>
      <c r="E742" s="158"/>
      <c r="F742" s="159"/>
      <c r="G742" s="166"/>
      <c r="H742" s="168"/>
      <c r="I742" s="161"/>
      <c r="J742" s="248"/>
      <c r="K742" s="235"/>
      <c r="L742" s="91"/>
      <c r="M742" s="92"/>
    </row>
    <row r="743" spans="1:13" s="45" customFormat="1" ht="8.5500000000000007" customHeight="1" x14ac:dyDescent="0.2">
      <c r="A743" s="98"/>
      <c r="B743" s="156" t="s">
        <v>1281</v>
      </c>
      <c r="C743" s="156"/>
      <c r="D743" s="156"/>
      <c r="E743" s="156"/>
      <c r="F743" s="157"/>
      <c r="G743" s="166">
        <v>2012</v>
      </c>
      <c r="H743" s="167" t="s">
        <v>68</v>
      </c>
      <c r="I743" s="160"/>
      <c r="J743" s="247"/>
      <c r="K743" s="234">
        <v>1</v>
      </c>
      <c r="L743" s="91"/>
      <c r="M743" s="92"/>
    </row>
    <row r="744" spans="1:13" s="45" customFormat="1" ht="8.5500000000000007" customHeight="1" x14ac:dyDescent="0.2">
      <c r="A744" s="98"/>
      <c r="B744" s="158"/>
      <c r="C744" s="158"/>
      <c r="D744" s="158"/>
      <c r="E744" s="158"/>
      <c r="F744" s="159"/>
      <c r="G744" s="166"/>
      <c r="H744" s="168"/>
      <c r="I744" s="161"/>
      <c r="J744" s="248"/>
      <c r="K744" s="235"/>
      <c r="L744" s="91"/>
      <c r="M744" s="92"/>
    </row>
    <row r="745" spans="1:13" s="45" customFormat="1" ht="8.5500000000000007" customHeight="1" x14ac:dyDescent="0.2">
      <c r="A745" s="98"/>
      <c r="B745" s="156" t="s">
        <v>1206</v>
      </c>
      <c r="C745" s="156"/>
      <c r="D745" s="156"/>
      <c r="E745" s="156"/>
      <c r="F745" s="157"/>
      <c r="G745" s="166">
        <v>2005</v>
      </c>
      <c r="H745" s="167" t="s">
        <v>44</v>
      </c>
      <c r="I745" s="160"/>
      <c r="J745" s="247"/>
      <c r="K745" s="234">
        <v>2</v>
      </c>
      <c r="L745" s="91"/>
      <c r="M745" s="92"/>
    </row>
    <row r="746" spans="1:13" s="45" customFormat="1" ht="8.5500000000000007" customHeight="1" x14ac:dyDescent="0.2">
      <c r="A746" s="98"/>
      <c r="B746" s="158"/>
      <c r="C746" s="158"/>
      <c r="D746" s="158"/>
      <c r="E746" s="158"/>
      <c r="F746" s="159"/>
      <c r="G746" s="166"/>
      <c r="H746" s="168"/>
      <c r="I746" s="161"/>
      <c r="J746" s="248"/>
      <c r="K746" s="235"/>
      <c r="L746" s="91"/>
      <c r="M746" s="92"/>
    </row>
    <row r="747" spans="1:13" s="45" customFormat="1" ht="8.5500000000000007" customHeight="1" x14ac:dyDescent="0.2">
      <c r="A747" s="98"/>
      <c r="B747" s="156" t="s">
        <v>1205</v>
      </c>
      <c r="C747" s="156"/>
      <c r="D747" s="156"/>
      <c r="E747" s="156"/>
      <c r="F747" s="157"/>
      <c r="G747" s="166">
        <v>2005</v>
      </c>
      <c r="H747" s="167" t="s">
        <v>10</v>
      </c>
      <c r="I747" s="160"/>
      <c r="J747" s="247"/>
      <c r="K747" s="234">
        <v>1</v>
      </c>
      <c r="L747" s="91"/>
      <c r="M747" s="92"/>
    </row>
    <row r="748" spans="1:13" s="45" customFormat="1" ht="8.5500000000000007" customHeight="1" x14ac:dyDescent="0.2">
      <c r="A748" s="98"/>
      <c r="B748" s="158"/>
      <c r="C748" s="158"/>
      <c r="D748" s="158"/>
      <c r="E748" s="158"/>
      <c r="F748" s="159"/>
      <c r="G748" s="166"/>
      <c r="H748" s="168"/>
      <c r="I748" s="161"/>
      <c r="J748" s="248"/>
      <c r="K748" s="235"/>
      <c r="L748" s="91"/>
      <c r="M748" s="92"/>
    </row>
    <row r="749" spans="1:13" s="45" customFormat="1" ht="8.5500000000000007" customHeight="1" x14ac:dyDescent="0.2">
      <c r="A749" s="98"/>
      <c r="B749" s="156" t="s">
        <v>1205</v>
      </c>
      <c r="C749" s="156"/>
      <c r="D749" s="156"/>
      <c r="E749" s="156"/>
      <c r="F749" s="157"/>
      <c r="G749" s="166">
        <v>2012</v>
      </c>
      <c r="H749" s="167" t="s">
        <v>68</v>
      </c>
      <c r="I749" s="160"/>
      <c r="J749" s="247"/>
      <c r="K749" s="234">
        <v>2</v>
      </c>
      <c r="L749" s="91"/>
      <c r="M749" s="92"/>
    </row>
    <row r="750" spans="1:13" s="45" customFormat="1" ht="8.5500000000000007" customHeight="1" x14ac:dyDescent="0.2">
      <c r="A750" s="98"/>
      <c r="B750" s="158"/>
      <c r="C750" s="158"/>
      <c r="D750" s="158"/>
      <c r="E750" s="158"/>
      <c r="F750" s="159"/>
      <c r="G750" s="166"/>
      <c r="H750" s="168"/>
      <c r="I750" s="161"/>
      <c r="J750" s="248"/>
      <c r="K750" s="235"/>
      <c r="L750" s="91"/>
      <c r="M750" s="92"/>
    </row>
    <row r="751" spans="1:13" s="45" customFormat="1" ht="8.5500000000000007" customHeight="1" x14ac:dyDescent="0.2">
      <c r="A751" s="98"/>
      <c r="B751" s="156" t="s">
        <v>1434</v>
      </c>
      <c r="C751" s="156"/>
      <c r="D751" s="156"/>
      <c r="E751" s="156"/>
      <c r="F751" s="157"/>
      <c r="G751" s="166">
        <v>2010</v>
      </c>
      <c r="H751" s="167"/>
      <c r="I751" s="160"/>
      <c r="J751" s="247"/>
      <c r="K751" s="234">
        <v>2</v>
      </c>
      <c r="L751" s="91"/>
      <c r="M751" s="92"/>
    </row>
    <row r="752" spans="1:13" s="45" customFormat="1" ht="8.5500000000000007" customHeight="1" x14ac:dyDescent="0.2">
      <c r="A752" s="98"/>
      <c r="B752" s="158"/>
      <c r="C752" s="158"/>
      <c r="D752" s="158"/>
      <c r="E752" s="158"/>
      <c r="F752" s="159"/>
      <c r="G752" s="166"/>
      <c r="H752" s="168"/>
      <c r="I752" s="161"/>
      <c r="J752" s="248"/>
      <c r="K752" s="235"/>
      <c r="L752" s="91"/>
      <c r="M752" s="92"/>
    </row>
    <row r="753" spans="1:13" s="45" customFormat="1" ht="8.5500000000000007" customHeight="1" x14ac:dyDescent="0.2">
      <c r="A753" s="98"/>
      <c r="B753" s="156" t="s">
        <v>1268</v>
      </c>
      <c r="C753" s="156"/>
      <c r="D753" s="156"/>
      <c r="E753" s="156"/>
      <c r="F753" s="157"/>
      <c r="G753" s="166">
        <v>2005</v>
      </c>
      <c r="H753" s="167"/>
      <c r="I753" s="160"/>
      <c r="J753" s="247"/>
      <c r="K753" s="234">
        <v>2</v>
      </c>
      <c r="L753" s="91"/>
      <c r="M753" s="92"/>
    </row>
    <row r="754" spans="1:13" s="45" customFormat="1" ht="8.5500000000000007" customHeight="1" x14ac:dyDescent="0.2">
      <c r="A754" s="98"/>
      <c r="B754" s="158"/>
      <c r="C754" s="158"/>
      <c r="D754" s="158"/>
      <c r="E754" s="158"/>
      <c r="F754" s="159"/>
      <c r="G754" s="166"/>
      <c r="H754" s="168"/>
      <c r="I754" s="161"/>
      <c r="J754" s="248"/>
      <c r="K754" s="235"/>
      <c r="L754" s="91"/>
      <c r="M754" s="92"/>
    </row>
    <row r="755" spans="1:13" s="45" customFormat="1" ht="8.5500000000000007" customHeight="1" x14ac:dyDescent="0.2">
      <c r="A755" s="98"/>
      <c r="B755" s="156" t="s">
        <v>1269</v>
      </c>
      <c r="C755" s="156"/>
      <c r="D755" s="156"/>
      <c r="E755" s="156"/>
      <c r="F755" s="157"/>
      <c r="G755" s="166">
        <v>2005</v>
      </c>
      <c r="H755" s="167"/>
      <c r="I755" s="160"/>
      <c r="J755" s="247"/>
      <c r="K755" s="234">
        <v>2</v>
      </c>
      <c r="L755" s="91"/>
      <c r="M755" s="92"/>
    </row>
    <row r="756" spans="1:13" s="45" customFormat="1" ht="8.5500000000000007" customHeight="1" x14ac:dyDescent="0.2">
      <c r="A756" s="98"/>
      <c r="B756" s="158"/>
      <c r="C756" s="158"/>
      <c r="D756" s="158"/>
      <c r="E756" s="158"/>
      <c r="F756" s="159"/>
      <c r="G756" s="166"/>
      <c r="H756" s="168"/>
      <c r="I756" s="161"/>
      <c r="J756" s="248"/>
      <c r="K756" s="235"/>
      <c r="L756" s="91"/>
      <c r="M756" s="92"/>
    </row>
    <row r="757" spans="1:13" s="45" customFormat="1" ht="8.5500000000000007" customHeight="1" x14ac:dyDescent="0.2">
      <c r="A757" s="98"/>
      <c r="B757" s="172" t="s">
        <v>1207</v>
      </c>
      <c r="C757" s="172"/>
      <c r="D757" s="172"/>
      <c r="E757" s="172"/>
      <c r="F757" s="173"/>
      <c r="G757" s="166">
        <v>2009</v>
      </c>
      <c r="H757" s="167"/>
      <c r="I757" s="160"/>
      <c r="J757" s="247"/>
      <c r="K757" s="234">
        <v>2</v>
      </c>
      <c r="L757" s="91"/>
      <c r="M757" s="92"/>
    </row>
    <row r="758" spans="1:13" s="45" customFormat="1" ht="8.5500000000000007" customHeight="1" x14ac:dyDescent="0.2">
      <c r="A758" s="98"/>
      <c r="B758" s="174"/>
      <c r="C758" s="174"/>
      <c r="D758" s="174"/>
      <c r="E758" s="174"/>
      <c r="F758" s="175"/>
      <c r="G758" s="166"/>
      <c r="H758" s="168"/>
      <c r="I758" s="161"/>
      <c r="J758" s="248"/>
      <c r="K758" s="235"/>
      <c r="L758" s="91"/>
      <c r="M758" s="92"/>
    </row>
    <row r="759" spans="1:13" s="45" customFormat="1" ht="8.5500000000000007" customHeight="1" x14ac:dyDescent="0.2">
      <c r="A759" s="98"/>
      <c r="B759" s="172" t="s">
        <v>1208</v>
      </c>
      <c r="C759" s="172"/>
      <c r="D759" s="172"/>
      <c r="E759" s="172"/>
      <c r="F759" s="173"/>
      <c r="G759" s="166">
        <v>1991</v>
      </c>
      <c r="H759" s="167"/>
      <c r="I759" s="160"/>
      <c r="J759" s="247">
        <v>17.5</v>
      </c>
      <c r="K759" s="234">
        <v>2</v>
      </c>
      <c r="L759" s="91"/>
      <c r="M759" s="92"/>
    </row>
    <row r="760" spans="1:13" s="45" customFormat="1" ht="8.5500000000000007" customHeight="1" x14ac:dyDescent="0.2">
      <c r="A760" s="98"/>
      <c r="B760" s="174"/>
      <c r="C760" s="174"/>
      <c r="D760" s="174"/>
      <c r="E760" s="174"/>
      <c r="F760" s="175"/>
      <c r="G760" s="166"/>
      <c r="H760" s="168"/>
      <c r="I760" s="161"/>
      <c r="J760" s="248"/>
      <c r="K760" s="235"/>
      <c r="L760" s="91"/>
      <c r="M760" s="92"/>
    </row>
    <row r="761" spans="1:13" s="45" customFormat="1" ht="8.5500000000000007" customHeight="1" x14ac:dyDescent="0.2">
      <c r="A761" s="98"/>
      <c r="B761" s="156" t="s">
        <v>1209</v>
      </c>
      <c r="C761" s="156"/>
      <c r="D761" s="156"/>
      <c r="E761" s="156"/>
      <c r="F761" s="157"/>
      <c r="G761" s="166">
        <v>2002</v>
      </c>
      <c r="H761" s="167"/>
      <c r="I761" s="160"/>
      <c r="J761" s="247">
        <v>18.5</v>
      </c>
      <c r="K761" s="234">
        <v>2</v>
      </c>
      <c r="L761" s="91"/>
      <c r="M761" s="92"/>
    </row>
    <row r="762" spans="1:13" s="45" customFormat="1" ht="8.5500000000000007" customHeight="1" x14ac:dyDescent="0.2">
      <c r="A762" s="98"/>
      <c r="B762" s="158"/>
      <c r="C762" s="158"/>
      <c r="D762" s="158"/>
      <c r="E762" s="158"/>
      <c r="F762" s="159"/>
      <c r="G762" s="166"/>
      <c r="H762" s="168"/>
      <c r="I762" s="161"/>
      <c r="J762" s="248"/>
      <c r="K762" s="235"/>
      <c r="L762" s="91"/>
      <c r="M762" s="92"/>
    </row>
    <row r="763" spans="1:13" s="45" customFormat="1" ht="8.5500000000000007" customHeight="1" x14ac:dyDescent="0.2">
      <c r="A763" s="98"/>
      <c r="B763" s="156" t="s">
        <v>1538</v>
      </c>
      <c r="C763" s="156"/>
      <c r="D763" s="156"/>
      <c r="E763" s="156"/>
      <c r="F763" s="157"/>
      <c r="G763" s="166">
        <v>2004</v>
      </c>
      <c r="H763" s="167"/>
      <c r="I763" s="160"/>
      <c r="J763" s="247"/>
      <c r="K763" s="234">
        <v>2</v>
      </c>
      <c r="L763" s="91"/>
      <c r="M763" s="92"/>
    </row>
    <row r="764" spans="1:13" s="45" customFormat="1" ht="8.5500000000000007" customHeight="1" x14ac:dyDescent="0.2">
      <c r="A764" s="98"/>
      <c r="B764" s="158"/>
      <c r="C764" s="158"/>
      <c r="D764" s="158"/>
      <c r="E764" s="158"/>
      <c r="F764" s="159"/>
      <c r="G764" s="166"/>
      <c r="H764" s="168"/>
      <c r="I764" s="161"/>
      <c r="J764" s="248"/>
      <c r="K764" s="235"/>
      <c r="L764" s="91"/>
      <c r="M764" s="92"/>
    </row>
    <row r="765" spans="1:13" s="45" customFormat="1" ht="8.5500000000000007" customHeight="1" x14ac:dyDescent="0.2">
      <c r="A765" s="98"/>
      <c r="B765" s="156" t="s">
        <v>1209</v>
      </c>
      <c r="C765" s="156"/>
      <c r="D765" s="156"/>
      <c r="E765" s="156"/>
      <c r="F765" s="157"/>
      <c r="G765" s="166">
        <v>2005</v>
      </c>
      <c r="H765" s="167" t="s">
        <v>299</v>
      </c>
      <c r="I765" s="160"/>
      <c r="J765" s="247">
        <v>18</v>
      </c>
      <c r="K765" s="234">
        <v>3</v>
      </c>
      <c r="L765" s="91"/>
      <c r="M765" s="92"/>
    </row>
    <row r="766" spans="1:13" s="45" customFormat="1" ht="8.5500000000000007" customHeight="1" x14ac:dyDescent="0.2">
      <c r="A766" s="98"/>
      <c r="B766" s="158"/>
      <c r="C766" s="158"/>
      <c r="D766" s="158"/>
      <c r="E766" s="158"/>
      <c r="F766" s="159"/>
      <c r="G766" s="166"/>
      <c r="H766" s="168"/>
      <c r="I766" s="161"/>
      <c r="J766" s="248"/>
      <c r="K766" s="235"/>
      <c r="L766" s="91"/>
      <c r="M766" s="92"/>
    </row>
    <row r="767" spans="1:13" s="45" customFormat="1" ht="8.5500000000000007" customHeight="1" x14ac:dyDescent="0.2">
      <c r="A767" s="98"/>
      <c r="B767" s="156" t="s">
        <v>1209</v>
      </c>
      <c r="C767" s="156"/>
      <c r="D767" s="156"/>
      <c r="E767" s="156"/>
      <c r="F767" s="157"/>
      <c r="G767" s="166">
        <v>2008</v>
      </c>
      <c r="H767" s="167" t="s">
        <v>865</v>
      </c>
      <c r="I767" s="160"/>
      <c r="J767" s="247">
        <v>17.5</v>
      </c>
      <c r="K767" s="234">
        <v>1</v>
      </c>
      <c r="L767" s="91"/>
      <c r="M767" s="92"/>
    </row>
    <row r="768" spans="1:13" s="45" customFormat="1" ht="8.5500000000000007" customHeight="1" x14ac:dyDescent="0.2">
      <c r="A768" s="98"/>
      <c r="B768" s="158"/>
      <c r="C768" s="158"/>
      <c r="D768" s="158"/>
      <c r="E768" s="158"/>
      <c r="F768" s="159"/>
      <c r="G768" s="166"/>
      <c r="H768" s="168"/>
      <c r="I768" s="161"/>
      <c r="J768" s="248"/>
      <c r="K768" s="235"/>
      <c r="L768" s="91"/>
      <c r="M768" s="92"/>
    </row>
    <row r="769" spans="1:13" s="45" customFormat="1" ht="8.5500000000000007" customHeight="1" x14ac:dyDescent="0.2">
      <c r="A769" s="98"/>
      <c r="B769" s="156" t="s">
        <v>1210</v>
      </c>
      <c r="C769" s="156"/>
      <c r="D769" s="156"/>
      <c r="E769" s="156"/>
      <c r="F769" s="157"/>
      <c r="G769" s="166">
        <v>2005</v>
      </c>
      <c r="H769" s="167"/>
      <c r="I769" s="160"/>
      <c r="J769" s="247"/>
      <c r="K769" s="234">
        <v>1</v>
      </c>
      <c r="L769" s="91"/>
      <c r="M769" s="92"/>
    </row>
    <row r="770" spans="1:13" s="45" customFormat="1" ht="8.5500000000000007" customHeight="1" x14ac:dyDescent="0.2">
      <c r="A770" s="98"/>
      <c r="B770" s="158"/>
      <c r="C770" s="158"/>
      <c r="D770" s="158"/>
      <c r="E770" s="158"/>
      <c r="F770" s="159"/>
      <c r="G770" s="166"/>
      <c r="H770" s="168"/>
      <c r="I770" s="161"/>
      <c r="J770" s="248"/>
      <c r="K770" s="235"/>
      <c r="L770" s="91"/>
      <c r="M770" s="92"/>
    </row>
    <row r="771" spans="1:13" s="45" customFormat="1" ht="8.5500000000000007" customHeight="1" x14ac:dyDescent="0.2">
      <c r="A771" s="98"/>
      <c r="B771" s="156" t="s">
        <v>1211</v>
      </c>
      <c r="C771" s="156"/>
      <c r="D771" s="156"/>
      <c r="E771" s="156"/>
      <c r="F771" s="157"/>
      <c r="G771" s="166">
        <v>2004</v>
      </c>
      <c r="H771" s="167"/>
      <c r="I771" s="160"/>
      <c r="J771" s="247"/>
      <c r="K771" s="234">
        <v>2</v>
      </c>
      <c r="L771" s="91"/>
      <c r="M771" s="92"/>
    </row>
    <row r="772" spans="1:13" s="45" customFormat="1" ht="8.5500000000000007" customHeight="1" x14ac:dyDescent="0.2">
      <c r="A772" s="98"/>
      <c r="B772" s="158"/>
      <c r="C772" s="158"/>
      <c r="D772" s="158"/>
      <c r="E772" s="158"/>
      <c r="F772" s="159"/>
      <c r="G772" s="166"/>
      <c r="H772" s="168"/>
      <c r="I772" s="161"/>
      <c r="J772" s="248"/>
      <c r="K772" s="235"/>
      <c r="L772" s="91"/>
      <c r="M772" s="92"/>
    </row>
    <row r="773" spans="1:13" s="45" customFormat="1" ht="8.5500000000000007" customHeight="1" x14ac:dyDescent="0.2">
      <c r="A773" s="98"/>
      <c r="B773" s="156" t="s">
        <v>1211</v>
      </c>
      <c r="C773" s="156"/>
      <c r="D773" s="156"/>
      <c r="E773" s="156"/>
      <c r="F773" s="157"/>
      <c r="G773" s="166">
        <v>2005</v>
      </c>
      <c r="H773" s="167" t="s">
        <v>61</v>
      </c>
      <c r="I773" s="160"/>
      <c r="J773" s="247"/>
      <c r="K773" s="234">
        <v>1</v>
      </c>
      <c r="L773" s="91"/>
      <c r="M773" s="92"/>
    </row>
    <row r="774" spans="1:13" s="45" customFormat="1" ht="8.5500000000000007" customHeight="1" x14ac:dyDescent="0.2">
      <c r="A774" s="98"/>
      <c r="B774" s="158"/>
      <c r="C774" s="158"/>
      <c r="D774" s="158"/>
      <c r="E774" s="158"/>
      <c r="F774" s="159"/>
      <c r="G774" s="166"/>
      <c r="H774" s="168"/>
      <c r="I774" s="161"/>
      <c r="J774" s="248"/>
      <c r="K774" s="235"/>
      <c r="L774" s="91"/>
      <c r="M774" s="92"/>
    </row>
    <row r="775" spans="1:13" s="45" customFormat="1" ht="8.5500000000000007" customHeight="1" x14ac:dyDescent="0.2">
      <c r="A775" s="98"/>
      <c r="B775" s="156" t="s">
        <v>1213</v>
      </c>
      <c r="C775" s="156"/>
      <c r="D775" s="156"/>
      <c r="E775" s="156"/>
      <c r="F775" s="157"/>
      <c r="G775" s="166">
        <v>2002</v>
      </c>
      <c r="H775" s="167"/>
      <c r="I775" s="160"/>
      <c r="J775" s="247">
        <v>17.5</v>
      </c>
      <c r="K775" s="234">
        <v>2</v>
      </c>
      <c r="L775" s="91"/>
      <c r="M775" s="92"/>
    </row>
    <row r="776" spans="1:13" s="45" customFormat="1" ht="8.5500000000000007" customHeight="1" x14ac:dyDescent="0.2">
      <c r="A776" s="98"/>
      <c r="B776" s="158"/>
      <c r="C776" s="158"/>
      <c r="D776" s="158"/>
      <c r="E776" s="158"/>
      <c r="F776" s="159"/>
      <c r="G776" s="166"/>
      <c r="H776" s="168"/>
      <c r="I776" s="161"/>
      <c r="J776" s="248"/>
      <c r="K776" s="235"/>
      <c r="L776" s="91"/>
      <c r="M776" s="92"/>
    </row>
    <row r="777" spans="1:13" s="45" customFormat="1" ht="8.5500000000000007" customHeight="1" x14ac:dyDescent="0.2">
      <c r="A777" s="98"/>
      <c r="B777" s="156" t="s">
        <v>1213</v>
      </c>
      <c r="C777" s="156"/>
      <c r="D777" s="156"/>
      <c r="E777" s="156"/>
      <c r="F777" s="157"/>
      <c r="G777" s="166">
        <v>2005</v>
      </c>
      <c r="H777" s="167" t="s">
        <v>662</v>
      </c>
      <c r="I777" s="160"/>
      <c r="J777" s="247">
        <v>17.5</v>
      </c>
      <c r="K777" s="234">
        <v>2</v>
      </c>
      <c r="L777" s="91"/>
      <c r="M777" s="92"/>
    </row>
    <row r="778" spans="1:13" s="45" customFormat="1" ht="8.5500000000000007" customHeight="1" x14ac:dyDescent="0.2">
      <c r="A778" s="98"/>
      <c r="B778" s="158"/>
      <c r="C778" s="158"/>
      <c r="D778" s="158"/>
      <c r="E778" s="158"/>
      <c r="F778" s="159"/>
      <c r="G778" s="166"/>
      <c r="H778" s="168"/>
      <c r="I778" s="161"/>
      <c r="J778" s="248"/>
      <c r="K778" s="235"/>
      <c r="L778" s="91"/>
      <c r="M778" s="92"/>
    </row>
    <row r="779" spans="1:13" s="45" customFormat="1" ht="8.5500000000000007" customHeight="1" x14ac:dyDescent="0.2">
      <c r="A779" s="98"/>
      <c r="B779" s="156" t="s">
        <v>1213</v>
      </c>
      <c r="C779" s="156"/>
      <c r="D779" s="156"/>
      <c r="E779" s="156"/>
      <c r="F779" s="157"/>
      <c r="G779" s="166">
        <v>2008</v>
      </c>
      <c r="H779" s="167">
        <v>91</v>
      </c>
      <c r="I779" s="160"/>
      <c r="J779" s="247"/>
      <c r="K779" s="234">
        <v>1</v>
      </c>
      <c r="L779" s="91"/>
      <c r="M779" s="92"/>
    </row>
    <row r="780" spans="1:13" s="45" customFormat="1" ht="8.5500000000000007" customHeight="1" x14ac:dyDescent="0.2">
      <c r="A780" s="98"/>
      <c r="B780" s="158"/>
      <c r="C780" s="158"/>
      <c r="D780" s="158"/>
      <c r="E780" s="158"/>
      <c r="F780" s="159"/>
      <c r="G780" s="166"/>
      <c r="H780" s="168"/>
      <c r="I780" s="161"/>
      <c r="J780" s="248"/>
      <c r="K780" s="235"/>
      <c r="L780" s="91"/>
      <c r="M780" s="92"/>
    </row>
    <row r="781" spans="1:13" s="45" customFormat="1" ht="8.5500000000000007" customHeight="1" x14ac:dyDescent="0.2">
      <c r="A781" s="98"/>
      <c r="B781" s="156" t="s">
        <v>1214</v>
      </c>
      <c r="C781" s="156"/>
      <c r="D781" s="156"/>
      <c r="E781" s="156"/>
      <c r="F781" s="157"/>
      <c r="G781" s="166">
        <v>2009</v>
      </c>
      <c r="H781" s="167">
        <v>94</v>
      </c>
      <c r="I781" s="160"/>
      <c r="J781" s="247">
        <v>15</v>
      </c>
      <c r="K781" s="234">
        <v>1</v>
      </c>
      <c r="L781" s="91"/>
      <c r="M781" s="92"/>
    </row>
    <row r="782" spans="1:13" s="45" customFormat="1" ht="8.5500000000000007" customHeight="1" x14ac:dyDescent="0.2">
      <c r="A782" s="98"/>
      <c r="B782" s="158"/>
      <c r="C782" s="158"/>
      <c r="D782" s="158"/>
      <c r="E782" s="158"/>
      <c r="F782" s="159"/>
      <c r="G782" s="166"/>
      <c r="H782" s="168"/>
      <c r="I782" s="161"/>
      <c r="J782" s="248"/>
      <c r="K782" s="235"/>
      <c r="L782" s="91"/>
      <c r="M782" s="92"/>
    </row>
    <row r="783" spans="1:13" s="45" customFormat="1" ht="8.5500000000000007" customHeight="1" x14ac:dyDescent="0.2">
      <c r="A783" s="98"/>
      <c r="B783" s="156" t="s">
        <v>1212</v>
      </c>
      <c r="C783" s="156"/>
      <c r="D783" s="156"/>
      <c r="E783" s="156"/>
      <c r="F783" s="157"/>
      <c r="G783" s="166">
        <v>2005</v>
      </c>
      <c r="H783" s="167"/>
      <c r="I783" s="160"/>
      <c r="J783" s="247"/>
      <c r="K783" s="234">
        <v>2</v>
      </c>
      <c r="L783" s="91"/>
      <c r="M783" s="92"/>
    </row>
    <row r="784" spans="1:13" s="45" customFormat="1" ht="8.5500000000000007" customHeight="1" x14ac:dyDescent="0.2">
      <c r="A784" s="98"/>
      <c r="B784" s="158"/>
      <c r="C784" s="158"/>
      <c r="D784" s="158"/>
      <c r="E784" s="158"/>
      <c r="F784" s="159"/>
      <c r="G784" s="166"/>
      <c r="H784" s="168"/>
      <c r="I784" s="161"/>
      <c r="J784" s="248"/>
      <c r="K784" s="235"/>
      <c r="L784" s="91"/>
      <c r="M784" s="92"/>
    </row>
    <row r="785" spans="1:13" s="45" customFormat="1" ht="8.5500000000000007" customHeight="1" x14ac:dyDescent="0.2">
      <c r="A785" s="98"/>
      <c r="B785" s="156" t="s">
        <v>1212</v>
      </c>
      <c r="C785" s="156"/>
      <c r="D785" s="156"/>
      <c r="E785" s="156"/>
      <c r="F785" s="157"/>
      <c r="G785" s="166">
        <v>2008</v>
      </c>
      <c r="H785" s="167" t="s">
        <v>3</v>
      </c>
      <c r="I785" s="160"/>
      <c r="J785" s="247"/>
      <c r="K785" s="234">
        <v>1</v>
      </c>
      <c r="L785" s="91"/>
      <c r="M785" s="92"/>
    </row>
    <row r="786" spans="1:13" s="45" customFormat="1" ht="8.5500000000000007" customHeight="1" x14ac:dyDescent="0.2">
      <c r="A786" s="98"/>
      <c r="B786" s="158"/>
      <c r="C786" s="158"/>
      <c r="D786" s="158"/>
      <c r="E786" s="158"/>
      <c r="F786" s="159"/>
      <c r="G786" s="166"/>
      <c r="H786" s="168"/>
      <c r="I786" s="161"/>
      <c r="J786" s="248"/>
      <c r="K786" s="235"/>
      <c r="L786" s="91"/>
      <c r="M786" s="92"/>
    </row>
    <row r="787" spans="1:13" s="45" customFormat="1" ht="8.5500000000000007" customHeight="1" x14ac:dyDescent="0.2">
      <c r="A787" s="98"/>
      <c r="B787" s="156" t="s">
        <v>1427</v>
      </c>
      <c r="C787" s="156"/>
      <c r="D787" s="156"/>
      <c r="E787" s="156"/>
      <c r="F787" s="157"/>
      <c r="G787" s="166">
        <v>1999</v>
      </c>
      <c r="H787" s="167"/>
      <c r="I787" s="160"/>
      <c r="J787" s="247"/>
      <c r="K787" s="234">
        <v>3</v>
      </c>
      <c r="L787" s="91"/>
      <c r="M787" s="92"/>
    </row>
    <row r="788" spans="1:13" s="45" customFormat="1" ht="8.5500000000000007" customHeight="1" x14ac:dyDescent="0.2">
      <c r="A788" s="98"/>
      <c r="B788" s="158"/>
      <c r="C788" s="158"/>
      <c r="D788" s="158"/>
      <c r="E788" s="158"/>
      <c r="F788" s="159"/>
      <c r="G788" s="166"/>
      <c r="H788" s="168"/>
      <c r="I788" s="161"/>
      <c r="J788" s="248"/>
      <c r="K788" s="235"/>
      <c r="L788" s="91"/>
      <c r="M788" s="92"/>
    </row>
    <row r="789" spans="1:13" s="45" customFormat="1" ht="8.5500000000000007" customHeight="1" x14ac:dyDescent="0.2">
      <c r="A789" s="98"/>
      <c r="B789" s="172" t="s">
        <v>1215</v>
      </c>
      <c r="C789" s="172"/>
      <c r="D789" s="172"/>
      <c r="E789" s="172"/>
      <c r="F789" s="173"/>
      <c r="G789" s="166">
        <v>2005</v>
      </c>
      <c r="H789" s="167" t="s">
        <v>68</v>
      </c>
      <c r="I789" s="160"/>
      <c r="J789" s="247">
        <v>19</v>
      </c>
      <c r="K789" s="234">
        <v>1</v>
      </c>
      <c r="L789" s="91"/>
      <c r="M789" s="92"/>
    </row>
    <row r="790" spans="1:13" s="45" customFormat="1" ht="8.5500000000000007" customHeight="1" x14ac:dyDescent="0.2">
      <c r="A790" s="98"/>
      <c r="B790" s="174"/>
      <c r="C790" s="174"/>
      <c r="D790" s="174"/>
      <c r="E790" s="174"/>
      <c r="F790" s="175"/>
      <c r="G790" s="166"/>
      <c r="H790" s="168"/>
      <c r="I790" s="161"/>
      <c r="J790" s="248"/>
      <c r="K790" s="235"/>
      <c r="L790" s="91"/>
      <c r="M790" s="92"/>
    </row>
    <row r="791" spans="1:13" s="45" customFormat="1" ht="8.5500000000000007" customHeight="1" x14ac:dyDescent="0.2">
      <c r="A791" s="98"/>
      <c r="B791" s="156" t="s">
        <v>1215</v>
      </c>
      <c r="C791" s="156"/>
      <c r="D791" s="156"/>
      <c r="E791" s="156"/>
      <c r="F791" s="157"/>
      <c r="G791" s="166">
        <v>2006</v>
      </c>
      <c r="H791" s="167">
        <v>95</v>
      </c>
      <c r="I791" s="160"/>
      <c r="J791" s="247">
        <v>19</v>
      </c>
      <c r="K791" s="234">
        <v>1</v>
      </c>
      <c r="L791" s="91"/>
      <c r="M791" s="92"/>
    </row>
    <row r="792" spans="1:13" s="45" customFormat="1" ht="8.5500000000000007" customHeight="1" x14ac:dyDescent="0.2">
      <c r="A792" s="98"/>
      <c r="B792" s="158"/>
      <c r="C792" s="158"/>
      <c r="D792" s="158"/>
      <c r="E792" s="158"/>
      <c r="F792" s="159"/>
      <c r="G792" s="166"/>
      <c r="H792" s="168"/>
      <c r="I792" s="161"/>
      <c r="J792" s="248"/>
      <c r="K792" s="235"/>
      <c r="L792" s="91"/>
      <c r="M792" s="92"/>
    </row>
    <row r="793" spans="1:13" s="45" customFormat="1" ht="8.5500000000000007" customHeight="1" x14ac:dyDescent="0.2">
      <c r="A793" s="98"/>
      <c r="B793" s="156" t="s">
        <v>1290</v>
      </c>
      <c r="C793" s="156"/>
      <c r="D793" s="156"/>
      <c r="E793" s="156"/>
      <c r="F793" s="157"/>
      <c r="G793" s="166">
        <v>2006</v>
      </c>
      <c r="H793" s="167">
        <v>94</v>
      </c>
      <c r="I793" s="160"/>
      <c r="J793" s="247">
        <v>18.5</v>
      </c>
      <c r="K793" s="234">
        <v>2</v>
      </c>
      <c r="L793" s="91"/>
      <c r="M793" s="92"/>
    </row>
    <row r="794" spans="1:13" s="45" customFormat="1" ht="8.5500000000000007" customHeight="1" x14ac:dyDescent="0.2">
      <c r="A794" s="98"/>
      <c r="B794" s="158"/>
      <c r="C794" s="158"/>
      <c r="D794" s="158"/>
      <c r="E794" s="158"/>
      <c r="F794" s="159"/>
      <c r="G794" s="166"/>
      <c r="H794" s="168"/>
      <c r="I794" s="161"/>
      <c r="J794" s="248"/>
      <c r="K794" s="235"/>
      <c r="L794" s="91"/>
      <c r="M794" s="92"/>
    </row>
    <row r="795" spans="1:13" s="45" customFormat="1" ht="8.5500000000000007" customHeight="1" x14ac:dyDescent="0.2">
      <c r="A795" s="98"/>
      <c r="B795" s="170" t="s">
        <v>272</v>
      </c>
      <c r="C795" s="170"/>
      <c r="D795" s="170"/>
      <c r="E795" s="170"/>
      <c r="F795" s="170"/>
      <c r="G795" s="62"/>
      <c r="H795" s="62"/>
      <c r="I795" s="62"/>
      <c r="J795" s="115"/>
      <c r="K795" s="164"/>
      <c r="L795" s="91"/>
      <c r="M795" s="92"/>
    </row>
    <row r="796" spans="1:13" s="45" customFormat="1" ht="8.5500000000000007" customHeight="1" x14ac:dyDescent="0.2">
      <c r="A796" s="98"/>
      <c r="B796" s="171"/>
      <c r="C796" s="171"/>
      <c r="D796" s="171"/>
      <c r="E796" s="171"/>
      <c r="F796" s="171"/>
      <c r="G796" s="63"/>
      <c r="H796" s="63"/>
      <c r="I796" s="63"/>
      <c r="J796" s="116"/>
      <c r="K796" s="165"/>
      <c r="L796" s="91"/>
      <c r="M796" s="92"/>
    </row>
    <row r="797" spans="1:13" s="45" customFormat="1" ht="8.5500000000000007" customHeight="1" x14ac:dyDescent="0.2">
      <c r="A797" s="98"/>
      <c r="B797" s="156" t="s">
        <v>1510</v>
      </c>
      <c r="C797" s="156"/>
      <c r="D797" s="156"/>
      <c r="E797" s="156"/>
      <c r="F797" s="157"/>
      <c r="G797" s="166">
        <v>2009</v>
      </c>
      <c r="H797" s="167"/>
      <c r="I797" s="160"/>
      <c r="J797" s="247"/>
      <c r="K797" s="234">
        <v>1</v>
      </c>
      <c r="L797" s="91"/>
      <c r="M797" s="92"/>
    </row>
    <row r="798" spans="1:13" s="45" customFormat="1" ht="8.5500000000000007" customHeight="1" x14ac:dyDescent="0.2">
      <c r="A798" s="98"/>
      <c r="B798" s="158"/>
      <c r="C798" s="158"/>
      <c r="D798" s="158"/>
      <c r="E798" s="158"/>
      <c r="F798" s="159"/>
      <c r="G798" s="166"/>
      <c r="H798" s="168"/>
      <c r="I798" s="161"/>
      <c r="J798" s="248"/>
      <c r="K798" s="235"/>
      <c r="L798" s="91"/>
      <c r="M798" s="92"/>
    </row>
    <row r="799" spans="1:13" s="45" customFormat="1" ht="8.5500000000000007" customHeight="1" x14ac:dyDescent="0.2">
      <c r="A799" s="98"/>
      <c r="B799" s="172" t="s">
        <v>1509</v>
      </c>
      <c r="C799" s="172"/>
      <c r="D799" s="172"/>
      <c r="E799" s="172"/>
      <c r="F799" s="173"/>
      <c r="G799" s="166">
        <v>2011</v>
      </c>
      <c r="H799" s="167"/>
      <c r="I799" s="160"/>
      <c r="J799" s="247"/>
      <c r="K799" s="234">
        <v>1</v>
      </c>
      <c r="L799" s="91"/>
      <c r="M799" s="92"/>
    </row>
    <row r="800" spans="1:13" s="45" customFormat="1" ht="8.5500000000000007" customHeight="1" x14ac:dyDescent="0.2">
      <c r="A800" s="98"/>
      <c r="B800" s="174"/>
      <c r="C800" s="174"/>
      <c r="D800" s="174"/>
      <c r="E800" s="174"/>
      <c r="F800" s="175"/>
      <c r="G800" s="166"/>
      <c r="H800" s="168"/>
      <c r="I800" s="161"/>
      <c r="J800" s="248"/>
      <c r="K800" s="235"/>
      <c r="L800" s="91"/>
      <c r="M800" s="92"/>
    </row>
    <row r="801" spans="1:13" s="45" customFormat="1" ht="8.5500000000000007" customHeight="1" x14ac:dyDescent="0.2">
      <c r="A801" s="98"/>
      <c r="B801" s="156" t="s">
        <v>1509</v>
      </c>
      <c r="C801" s="156"/>
      <c r="D801" s="156"/>
      <c r="E801" s="156"/>
      <c r="F801" s="157"/>
      <c r="G801" s="166">
        <v>2013</v>
      </c>
      <c r="H801" s="167"/>
      <c r="I801" s="160"/>
      <c r="J801" s="247"/>
      <c r="K801" s="234">
        <v>2</v>
      </c>
      <c r="L801" s="91"/>
      <c r="M801" s="92"/>
    </row>
    <row r="802" spans="1:13" s="45" customFormat="1" ht="8.5500000000000007" customHeight="1" x14ac:dyDescent="0.2">
      <c r="A802" s="98"/>
      <c r="B802" s="158"/>
      <c r="C802" s="158"/>
      <c r="D802" s="158"/>
      <c r="E802" s="158"/>
      <c r="F802" s="159"/>
      <c r="G802" s="166"/>
      <c r="H802" s="168"/>
      <c r="I802" s="161"/>
      <c r="J802" s="248"/>
      <c r="K802" s="235"/>
      <c r="L802" s="91"/>
      <c r="M802" s="92"/>
    </row>
    <row r="803" spans="1:13" s="45" customFormat="1" ht="8.5500000000000007" customHeight="1" x14ac:dyDescent="0.2">
      <c r="A803" s="98"/>
      <c r="B803" s="156" t="s">
        <v>1216</v>
      </c>
      <c r="C803" s="156"/>
      <c r="D803" s="156"/>
      <c r="E803" s="156"/>
      <c r="F803" s="157"/>
      <c r="G803" s="166">
        <v>2012</v>
      </c>
      <c r="H803" s="167"/>
      <c r="I803" s="160"/>
      <c r="J803" s="247"/>
      <c r="K803" s="234">
        <v>1</v>
      </c>
      <c r="L803" s="91"/>
      <c r="M803" s="92"/>
    </row>
    <row r="804" spans="1:13" s="45" customFormat="1" ht="8.5500000000000007" customHeight="1" x14ac:dyDescent="0.2">
      <c r="A804" s="98"/>
      <c r="B804" s="158"/>
      <c r="C804" s="158"/>
      <c r="D804" s="158"/>
      <c r="E804" s="158"/>
      <c r="F804" s="159"/>
      <c r="G804" s="166"/>
      <c r="H804" s="168"/>
      <c r="I804" s="161"/>
      <c r="J804" s="248"/>
      <c r="K804" s="235"/>
      <c r="L804" s="91"/>
      <c r="M804" s="92"/>
    </row>
    <row r="805" spans="1:13" s="45" customFormat="1" ht="8.5500000000000007" customHeight="1" x14ac:dyDescent="0.2">
      <c r="A805" s="98"/>
      <c r="B805" s="156" t="s">
        <v>1291</v>
      </c>
      <c r="C805" s="156"/>
      <c r="D805" s="156"/>
      <c r="E805" s="156"/>
      <c r="F805" s="157"/>
      <c r="G805" s="166">
        <v>2003</v>
      </c>
      <c r="H805" s="167"/>
      <c r="I805" s="160"/>
      <c r="J805" s="247"/>
      <c r="K805" s="234">
        <v>3</v>
      </c>
      <c r="L805" s="91"/>
      <c r="M805" s="92"/>
    </row>
    <row r="806" spans="1:13" s="45" customFormat="1" ht="8.5500000000000007" customHeight="1" x14ac:dyDescent="0.2">
      <c r="A806" s="98"/>
      <c r="B806" s="158"/>
      <c r="C806" s="158"/>
      <c r="D806" s="158"/>
      <c r="E806" s="158"/>
      <c r="F806" s="159"/>
      <c r="G806" s="166"/>
      <c r="H806" s="168"/>
      <c r="I806" s="161"/>
      <c r="J806" s="248"/>
      <c r="K806" s="235"/>
      <c r="L806" s="91"/>
      <c r="M806" s="92"/>
    </row>
    <row r="807" spans="1:13" s="45" customFormat="1" ht="8.5500000000000007" customHeight="1" x14ac:dyDescent="0.2">
      <c r="A807" s="98"/>
      <c r="B807" s="156" t="s">
        <v>1292</v>
      </c>
      <c r="C807" s="156"/>
      <c r="D807" s="156"/>
      <c r="E807" s="156"/>
      <c r="F807" s="157"/>
      <c r="G807" s="166">
        <v>2014</v>
      </c>
      <c r="H807" s="167"/>
      <c r="I807" s="160"/>
      <c r="J807" s="247"/>
      <c r="K807" s="234">
        <v>2</v>
      </c>
      <c r="L807" s="91"/>
      <c r="M807" s="92"/>
    </row>
    <row r="808" spans="1:13" s="45" customFormat="1" ht="8.5500000000000007" customHeight="1" x14ac:dyDescent="0.2">
      <c r="A808" s="98"/>
      <c r="B808" s="158"/>
      <c r="C808" s="158"/>
      <c r="D808" s="158"/>
      <c r="E808" s="158"/>
      <c r="F808" s="159"/>
      <c r="G808" s="166"/>
      <c r="H808" s="168"/>
      <c r="I808" s="161"/>
      <c r="J808" s="248"/>
      <c r="K808" s="235"/>
      <c r="L808" s="91"/>
      <c r="M808" s="92"/>
    </row>
    <row r="809" spans="1:13" s="45" customFormat="1" ht="8.5500000000000007" customHeight="1" x14ac:dyDescent="0.2">
      <c r="A809" s="98"/>
      <c r="B809" s="156" t="s">
        <v>1435</v>
      </c>
      <c r="C809" s="156"/>
      <c r="D809" s="156"/>
      <c r="E809" s="156"/>
      <c r="F809" s="157"/>
      <c r="G809" s="166">
        <v>1996</v>
      </c>
      <c r="H809" s="167"/>
      <c r="I809" s="160"/>
      <c r="J809" s="247"/>
      <c r="K809" s="234">
        <v>1</v>
      </c>
      <c r="L809" s="91"/>
      <c r="M809" s="92"/>
    </row>
    <row r="810" spans="1:13" s="45" customFormat="1" ht="8.5500000000000007" customHeight="1" x14ac:dyDescent="0.2">
      <c r="A810" s="98"/>
      <c r="B810" s="158"/>
      <c r="C810" s="158"/>
      <c r="D810" s="158"/>
      <c r="E810" s="158"/>
      <c r="F810" s="159"/>
      <c r="G810" s="166"/>
      <c r="H810" s="168"/>
      <c r="I810" s="161"/>
      <c r="J810" s="248"/>
      <c r="K810" s="235"/>
      <c r="L810" s="91"/>
      <c r="M810" s="92"/>
    </row>
    <row r="811" spans="1:13" s="45" customFormat="1" ht="8.5500000000000007" customHeight="1" x14ac:dyDescent="0.2">
      <c r="A811" s="98"/>
      <c r="B811" s="156" t="s">
        <v>1432</v>
      </c>
      <c r="C811" s="156"/>
      <c r="D811" s="156"/>
      <c r="E811" s="156"/>
      <c r="F811" s="157"/>
      <c r="G811" s="166">
        <v>1998</v>
      </c>
      <c r="H811" s="167"/>
      <c r="I811" s="160"/>
      <c r="J811" s="247"/>
      <c r="K811" s="234">
        <v>1</v>
      </c>
      <c r="L811" s="91"/>
      <c r="M811" s="92"/>
    </row>
    <row r="812" spans="1:13" s="45" customFormat="1" ht="8.5500000000000007" customHeight="1" x14ac:dyDescent="0.2">
      <c r="A812" s="98"/>
      <c r="B812" s="158"/>
      <c r="C812" s="158"/>
      <c r="D812" s="158"/>
      <c r="E812" s="158"/>
      <c r="F812" s="159"/>
      <c r="G812" s="166"/>
      <c r="H812" s="168"/>
      <c r="I812" s="161"/>
      <c r="J812" s="248"/>
      <c r="K812" s="235"/>
      <c r="L812" s="91"/>
      <c r="M812" s="92"/>
    </row>
    <row r="813" spans="1:13" s="45" customFormat="1" ht="8.5500000000000007" customHeight="1" x14ac:dyDescent="0.2">
      <c r="A813" s="98"/>
      <c r="B813" s="156" t="s">
        <v>1430</v>
      </c>
      <c r="C813" s="156"/>
      <c r="D813" s="156"/>
      <c r="E813" s="156"/>
      <c r="F813" s="157"/>
      <c r="G813" s="166">
        <v>1999</v>
      </c>
      <c r="H813" s="167"/>
      <c r="I813" s="160"/>
      <c r="J813" s="247"/>
      <c r="K813" s="234">
        <v>1</v>
      </c>
      <c r="L813" s="91"/>
      <c r="M813" s="92"/>
    </row>
    <row r="814" spans="1:13" s="45" customFormat="1" ht="8.5500000000000007" customHeight="1" x14ac:dyDescent="0.2">
      <c r="A814" s="98"/>
      <c r="B814" s="158"/>
      <c r="C814" s="158"/>
      <c r="D814" s="158"/>
      <c r="E814" s="158"/>
      <c r="F814" s="159"/>
      <c r="G814" s="166"/>
      <c r="H814" s="168"/>
      <c r="I814" s="161"/>
      <c r="J814" s="248"/>
      <c r="K814" s="235"/>
      <c r="L814" s="91"/>
      <c r="M814" s="92"/>
    </row>
    <row r="815" spans="1:13" s="45" customFormat="1" ht="8.5500000000000007" customHeight="1" x14ac:dyDescent="0.2">
      <c r="A815" s="98"/>
      <c r="B815" s="156" t="s">
        <v>1428</v>
      </c>
      <c r="C815" s="156"/>
      <c r="D815" s="156"/>
      <c r="E815" s="156"/>
      <c r="F815" s="157"/>
      <c r="G815" s="166">
        <v>2005</v>
      </c>
      <c r="H815" s="167"/>
      <c r="I815" s="160"/>
      <c r="J815" s="247"/>
      <c r="K815" s="234">
        <v>2</v>
      </c>
      <c r="L815" s="91"/>
      <c r="M815" s="92"/>
    </row>
    <row r="816" spans="1:13" s="45" customFormat="1" ht="8.5500000000000007" customHeight="1" x14ac:dyDescent="0.2">
      <c r="A816" s="98"/>
      <c r="B816" s="158"/>
      <c r="C816" s="158"/>
      <c r="D816" s="158"/>
      <c r="E816" s="158"/>
      <c r="F816" s="159"/>
      <c r="G816" s="166"/>
      <c r="H816" s="168"/>
      <c r="I816" s="161"/>
      <c r="J816" s="248"/>
      <c r="K816" s="235"/>
      <c r="L816" s="91"/>
      <c r="M816" s="92"/>
    </row>
    <row r="817" spans="1:13" s="45" customFormat="1" ht="8.5500000000000007" customHeight="1" x14ac:dyDescent="0.2">
      <c r="A817" s="98"/>
      <c r="B817" s="156" t="s">
        <v>1433</v>
      </c>
      <c r="C817" s="156"/>
      <c r="D817" s="156"/>
      <c r="E817" s="156"/>
      <c r="F817" s="157"/>
      <c r="G817" s="166">
        <v>2009</v>
      </c>
      <c r="H817" s="167">
        <v>92</v>
      </c>
      <c r="I817" s="160"/>
      <c r="J817" s="247"/>
      <c r="K817" s="234">
        <v>1</v>
      </c>
      <c r="L817" s="91"/>
      <c r="M817" s="92"/>
    </row>
    <row r="818" spans="1:13" s="45" customFormat="1" ht="8.5500000000000007" customHeight="1" x14ac:dyDescent="0.2">
      <c r="A818" s="98"/>
      <c r="B818" s="158"/>
      <c r="C818" s="158"/>
      <c r="D818" s="158"/>
      <c r="E818" s="158"/>
      <c r="F818" s="159"/>
      <c r="G818" s="166"/>
      <c r="H818" s="168"/>
      <c r="I818" s="161"/>
      <c r="J818" s="248"/>
      <c r="K818" s="235"/>
      <c r="L818" s="91"/>
      <c r="M818" s="92"/>
    </row>
    <row r="819" spans="1:13" s="45" customFormat="1" ht="8.5500000000000007" customHeight="1" x14ac:dyDescent="0.2">
      <c r="A819" s="98"/>
      <c r="B819" s="156" t="s">
        <v>1431</v>
      </c>
      <c r="C819" s="156"/>
      <c r="D819" s="156"/>
      <c r="E819" s="156"/>
      <c r="F819" s="157"/>
      <c r="G819" s="166">
        <v>2009</v>
      </c>
      <c r="H819" s="167" t="s">
        <v>638</v>
      </c>
      <c r="I819" s="160"/>
      <c r="J819" s="247"/>
      <c r="K819" s="234">
        <v>1</v>
      </c>
      <c r="L819" s="91"/>
      <c r="M819" s="92"/>
    </row>
    <row r="820" spans="1:13" s="45" customFormat="1" ht="8.5500000000000007" customHeight="1" x14ac:dyDescent="0.2">
      <c r="A820" s="98"/>
      <c r="B820" s="158"/>
      <c r="C820" s="158"/>
      <c r="D820" s="158"/>
      <c r="E820" s="158"/>
      <c r="F820" s="159"/>
      <c r="G820" s="166"/>
      <c r="H820" s="168"/>
      <c r="I820" s="161"/>
      <c r="J820" s="248"/>
      <c r="K820" s="235"/>
      <c r="L820" s="91"/>
      <c r="M820" s="92"/>
    </row>
    <row r="821" spans="1:13" s="45" customFormat="1" ht="8.5500000000000007" customHeight="1" x14ac:dyDescent="0.2">
      <c r="A821" s="98"/>
      <c r="B821" s="156" t="s">
        <v>1535</v>
      </c>
      <c r="C821" s="156"/>
      <c r="D821" s="156"/>
      <c r="E821" s="156"/>
      <c r="F821" s="157"/>
      <c r="G821" s="166">
        <v>2014</v>
      </c>
      <c r="H821" s="167" t="s">
        <v>74</v>
      </c>
      <c r="I821" s="160"/>
      <c r="J821" s="247"/>
      <c r="K821" s="234">
        <v>2</v>
      </c>
      <c r="L821" s="91"/>
      <c r="M821" s="92"/>
    </row>
    <row r="822" spans="1:13" s="45" customFormat="1" ht="8.5500000000000007" customHeight="1" x14ac:dyDescent="0.2">
      <c r="A822" s="98"/>
      <c r="B822" s="158"/>
      <c r="C822" s="158"/>
      <c r="D822" s="158"/>
      <c r="E822" s="158"/>
      <c r="F822" s="159"/>
      <c r="G822" s="166"/>
      <c r="H822" s="168"/>
      <c r="I822" s="161"/>
      <c r="J822" s="248"/>
      <c r="K822" s="235"/>
      <c r="L822" s="91"/>
      <c r="M822" s="92"/>
    </row>
    <row r="823" spans="1:13" s="45" customFormat="1" ht="8.5500000000000007" customHeight="1" x14ac:dyDescent="0.2">
      <c r="A823" s="98"/>
      <c r="B823" s="172" t="s">
        <v>1455</v>
      </c>
      <c r="C823" s="172"/>
      <c r="D823" s="172"/>
      <c r="E823" s="172"/>
      <c r="F823" s="173"/>
      <c r="G823" s="166">
        <v>2015</v>
      </c>
      <c r="H823" s="167"/>
      <c r="I823" s="160"/>
      <c r="J823" s="247"/>
      <c r="K823" s="234">
        <v>2</v>
      </c>
      <c r="L823" s="91"/>
      <c r="M823" s="92"/>
    </row>
    <row r="824" spans="1:13" s="45" customFormat="1" ht="8.5500000000000007" customHeight="1" x14ac:dyDescent="0.2">
      <c r="A824" s="98"/>
      <c r="B824" s="174"/>
      <c r="C824" s="174"/>
      <c r="D824" s="174"/>
      <c r="E824" s="174"/>
      <c r="F824" s="175"/>
      <c r="G824" s="166"/>
      <c r="H824" s="168"/>
      <c r="I824" s="161"/>
      <c r="J824" s="248"/>
      <c r="K824" s="235"/>
      <c r="L824" s="91"/>
      <c r="M824" s="92"/>
    </row>
    <row r="825" spans="1:13" s="45" customFormat="1" ht="8.5500000000000007" customHeight="1" x14ac:dyDescent="0.2">
      <c r="A825" s="98"/>
      <c r="B825" s="156" t="s">
        <v>1456</v>
      </c>
      <c r="C825" s="156"/>
      <c r="D825" s="156"/>
      <c r="E825" s="156"/>
      <c r="F825" s="157"/>
      <c r="G825" s="166">
        <v>2018</v>
      </c>
      <c r="H825" s="167">
        <v>92</v>
      </c>
      <c r="I825" s="160"/>
      <c r="J825" s="247"/>
      <c r="K825" s="234">
        <v>1</v>
      </c>
      <c r="L825" s="91"/>
      <c r="M825" s="92"/>
    </row>
    <row r="826" spans="1:13" s="45" customFormat="1" ht="8.5500000000000007" customHeight="1" x14ac:dyDescent="0.2">
      <c r="A826" s="98"/>
      <c r="B826" s="158"/>
      <c r="C826" s="158"/>
      <c r="D826" s="158"/>
      <c r="E826" s="158"/>
      <c r="F826" s="159"/>
      <c r="G826" s="166"/>
      <c r="H826" s="168"/>
      <c r="I826" s="161"/>
      <c r="J826" s="248"/>
      <c r="K826" s="235"/>
      <c r="L826" s="91"/>
      <c r="M826" s="92"/>
    </row>
    <row r="827" spans="1:13" s="45" customFormat="1" ht="8.5500000000000007" customHeight="1" x14ac:dyDescent="0.2">
      <c r="A827" s="98"/>
      <c r="B827" s="156" t="s">
        <v>1456</v>
      </c>
      <c r="C827" s="156"/>
      <c r="D827" s="156"/>
      <c r="E827" s="156"/>
      <c r="F827" s="157"/>
      <c r="G827" s="166">
        <v>2019</v>
      </c>
      <c r="H827" s="167" t="s">
        <v>628</v>
      </c>
      <c r="I827" s="160"/>
      <c r="J827" s="247"/>
      <c r="K827" s="234">
        <v>1</v>
      </c>
      <c r="L827" s="91"/>
      <c r="M827" s="92"/>
    </row>
    <row r="828" spans="1:13" s="45" customFormat="1" ht="8.5500000000000007" customHeight="1" x14ac:dyDescent="0.2">
      <c r="A828" s="98"/>
      <c r="B828" s="158"/>
      <c r="C828" s="158"/>
      <c r="D828" s="158"/>
      <c r="E828" s="158"/>
      <c r="F828" s="159"/>
      <c r="G828" s="166"/>
      <c r="H828" s="168"/>
      <c r="I828" s="161"/>
      <c r="J828" s="248"/>
      <c r="K828" s="235"/>
      <c r="L828" s="91"/>
      <c r="M828" s="92"/>
    </row>
    <row r="829" spans="1:13" s="45" customFormat="1" ht="8.5500000000000007" customHeight="1" x14ac:dyDescent="0.2">
      <c r="A829" s="98"/>
      <c r="B829" s="156" t="s">
        <v>1797</v>
      </c>
      <c r="C829" s="156"/>
      <c r="D829" s="156"/>
      <c r="E829" s="156"/>
      <c r="F829" s="157"/>
      <c r="G829" s="166">
        <v>2020</v>
      </c>
      <c r="H829" s="167"/>
      <c r="I829" s="160"/>
      <c r="J829" s="247"/>
      <c r="K829" s="234">
        <v>2</v>
      </c>
      <c r="L829" s="91"/>
      <c r="M829" s="92"/>
    </row>
    <row r="830" spans="1:13" s="45" customFormat="1" ht="8.5500000000000007" customHeight="1" x14ac:dyDescent="0.2">
      <c r="A830" s="98"/>
      <c r="B830" s="158"/>
      <c r="C830" s="158"/>
      <c r="D830" s="158"/>
      <c r="E830" s="158"/>
      <c r="F830" s="159"/>
      <c r="G830" s="166"/>
      <c r="H830" s="168"/>
      <c r="I830" s="161"/>
      <c r="J830" s="248"/>
      <c r="K830" s="235"/>
      <c r="L830" s="91"/>
      <c r="M830" s="92"/>
    </row>
    <row r="831" spans="1:13" s="45" customFormat="1" ht="8.5500000000000007" customHeight="1" x14ac:dyDescent="0.2">
      <c r="A831" s="98"/>
      <c r="B831" s="156" t="s">
        <v>1718</v>
      </c>
      <c r="C831" s="156"/>
      <c r="D831" s="156"/>
      <c r="E831" s="156"/>
      <c r="F831" s="157"/>
      <c r="G831" s="166">
        <v>2016</v>
      </c>
      <c r="H831" s="167"/>
      <c r="I831" s="160"/>
      <c r="J831" s="247"/>
      <c r="K831" s="234">
        <v>3</v>
      </c>
      <c r="L831" s="91"/>
      <c r="M831" s="92"/>
    </row>
    <row r="832" spans="1:13" s="45" customFormat="1" ht="8.5500000000000007" customHeight="1" x14ac:dyDescent="0.2">
      <c r="A832" s="98"/>
      <c r="B832" s="158"/>
      <c r="C832" s="158"/>
      <c r="D832" s="158"/>
      <c r="E832" s="158"/>
      <c r="F832" s="159"/>
      <c r="G832" s="166"/>
      <c r="H832" s="168"/>
      <c r="I832" s="161"/>
      <c r="J832" s="248"/>
      <c r="K832" s="235"/>
      <c r="L832" s="91"/>
      <c r="M832" s="92"/>
    </row>
    <row r="833" spans="1:13" s="45" customFormat="1" ht="8.5500000000000007" customHeight="1" x14ac:dyDescent="0.2">
      <c r="A833" s="98"/>
      <c r="B833" s="156" t="s">
        <v>1844</v>
      </c>
      <c r="C833" s="156"/>
      <c r="D833" s="156"/>
      <c r="E833" s="156"/>
      <c r="F833" s="157"/>
      <c r="G833" s="166">
        <v>2022</v>
      </c>
      <c r="H833" s="167" t="s">
        <v>556</v>
      </c>
      <c r="I833" s="160"/>
      <c r="J833" s="247"/>
      <c r="K833" s="234">
        <v>2</v>
      </c>
      <c r="L833" s="91"/>
      <c r="M833" s="92"/>
    </row>
    <row r="834" spans="1:13" s="45" customFormat="1" ht="8.5500000000000007" customHeight="1" x14ac:dyDescent="0.2">
      <c r="A834" s="98"/>
      <c r="B834" s="158"/>
      <c r="C834" s="158"/>
      <c r="D834" s="158"/>
      <c r="E834" s="158"/>
      <c r="F834" s="159"/>
      <c r="G834" s="166"/>
      <c r="H834" s="168"/>
      <c r="I834" s="161"/>
      <c r="J834" s="248"/>
      <c r="K834" s="235"/>
      <c r="L834" s="91"/>
      <c r="M834" s="92"/>
    </row>
    <row r="835" spans="1:13" s="45" customFormat="1" ht="8.5500000000000007" customHeight="1" x14ac:dyDescent="0.2">
      <c r="A835" s="98"/>
      <c r="B835" s="156" t="s">
        <v>1845</v>
      </c>
      <c r="C835" s="156"/>
      <c r="D835" s="156"/>
      <c r="E835" s="156"/>
      <c r="F835" s="157"/>
      <c r="G835" s="166">
        <v>2022</v>
      </c>
      <c r="H835" s="167"/>
      <c r="I835" s="160"/>
      <c r="J835" s="247"/>
      <c r="K835" s="234">
        <v>2</v>
      </c>
      <c r="L835" s="91"/>
      <c r="M835" s="92"/>
    </row>
    <row r="836" spans="1:13" s="45" customFormat="1" ht="8.5500000000000007" customHeight="1" x14ac:dyDescent="0.2">
      <c r="A836" s="98"/>
      <c r="B836" s="158"/>
      <c r="C836" s="158"/>
      <c r="D836" s="158"/>
      <c r="E836" s="158"/>
      <c r="F836" s="159"/>
      <c r="G836" s="166"/>
      <c r="H836" s="168"/>
      <c r="I836" s="161"/>
      <c r="J836" s="248"/>
      <c r="K836" s="235"/>
      <c r="L836" s="91"/>
      <c r="M836" s="92"/>
    </row>
    <row r="837" spans="1:13" s="45" customFormat="1" ht="8.5500000000000007" customHeight="1" x14ac:dyDescent="0.2">
      <c r="A837" s="98"/>
      <c r="B837" s="156" t="s">
        <v>1826</v>
      </c>
      <c r="C837" s="156"/>
      <c r="D837" s="156"/>
      <c r="E837" s="156"/>
      <c r="F837" s="157"/>
      <c r="G837" s="166">
        <v>2022</v>
      </c>
      <c r="H837" s="167"/>
      <c r="I837" s="160"/>
      <c r="J837" s="247"/>
      <c r="K837" s="234">
        <v>2</v>
      </c>
      <c r="L837" s="91"/>
      <c r="M837" s="92"/>
    </row>
    <row r="838" spans="1:13" s="45" customFormat="1" ht="8.5500000000000007" customHeight="1" x14ac:dyDescent="0.2">
      <c r="A838" s="98"/>
      <c r="B838" s="158"/>
      <c r="C838" s="158"/>
      <c r="D838" s="158"/>
      <c r="E838" s="158"/>
      <c r="F838" s="159"/>
      <c r="G838" s="166"/>
      <c r="H838" s="168"/>
      <c r="I838" s="161"/>
      <c r="J838" s="248"/>
      <c r="K838" s="235"/>
      <c r="L838" s="91"/>
      <c r="M838" s="92"/>
    </row>
    <row r="839" spans="1:13" s="45" customFormat="1" ht="8.5500000000000007" customHeight="1" x14ac:dyDescent="0.2">
      <c r="A839" s="98"/>
      <c r="B839" s="156" t="s">
        <v>1825</v>
      </c>
      <c r="C839" s="156"/>
      <c r="D839" s="156"/>
      <c r="E839" s="156"/>
      <c r="F839" s="157"/>
      <c r="G839" s="166">
        <v>2022</v>
      </c>
      <c r="H839" s="167"/>
      <c r="I839" s="160"/>
      <c r="J839" s="247"/>
      <c r="K839" s="234">
        <v>2</v>
      </c>
      <c r="L839" s="91"/>
      <c r="M839" s="92"/>
    </row>
    <row r="840" spans="1:13" s="45" customFormat="1" ht="8.5500000000000007" customHeight="1" x14ac:dyDescent="0.2">
      <c r="A840" s="98"/>
      <c r="B840" s="158"/>
      <c r="C840" s="158"/>
      <c r="D840" s="158"/>
      <c r="E840" s="158"/>
      <c r="F840" s="159"/>
      <c r="G840" s="166"/>
      <c r="H840" s="168"/>
      <c r="I840" s="161"/>
      <c r="J840" s="248"/>
      <c r="K840" s="235"/>
      <c r="L840" s="91"/>
      <c r="M840" s="92"/>
    </row>
    <row r="841" spans="1:13" s="45" customFormat="1" ht="8.5500000000000007" customHeight="1" x14ac:dyDescent="0.2">
      <c r="A841" s="98"/>
      <c r="B841" s="156" t="s">
        <v>1824</v>
      </c>
      <c r="C841" s="156"/>
      <c r="D841" s="156"/>
      <c r="E841" s="156"/>
      <c r="F841" s="157"/>
      <c r="G841" s="166">
        <v>2022</v>
      </c>
      <c r="H841" s="167"/>
      <c r="I841" s="160"/>
      <c r="J841" s="247"/>
      <c r="K841" s="234">
        <v>2</v>
      </c>
      <c r="L841" s="91"/>
      <c r="M841" s="92"/>
    </row>
    <row r="842" spans="1:13" s="45" customFormat="1" ht="8.5500000000000007" customHeight="1" x14ac:dyDescent="0.2">
      <c r="A842" s="98"/>
      <c r="B842" s="158"/>
      <c r="C842" s="158"/>
      <c r="D842" s="158"/>
      <c r="E842" s="158"/>
      <c r="F842" s="159"/>
      <c r="G842" s="166"/>
      <c r="H842" s="168"/>
      <c r="I842" s="161"/>
      <c r="J842" s="248"/>
      <c r="K842" s="235"/>
      <c r="L842" s="91"/>
      <c r="M842" s="92"/>
    </row>
    <row r="843" spans="1:13" s="45" customFormat="1" ht="8.5500000000000007" customHeight="1" x14ac:dyDescent="0.2">
      <c r="A843" s="98"/>
      <c r="B843" s="170" t="s">
        <v>787</v>
      </c>
      <c r="C843" s="170"/>
      <c r="D843" s="170"/>
      <c r="E843" s="170"/>
      <c r="F843" s="170"/>
      <c r="G843" s="47"/>
      <c r="H843" s="47"/>
      <c r="I843" s="48"/>
      <c r="J843" s="117"/>
      <c r="K843" s="224">
        <v>567</v>
      </c>
      <c r="L843" s="230">
        <f>SUM(L11:L832)</f>
        <v>0</v>
      </c>
      <c r="M843" s="230">
        <f>SUM(M11:M832)</f>
        <v>0</v>
      </c>
    </row>
    <row r="844" spans="1:13" s="45" customFormat="1" ht="8.5500000000000007" customHeight="1" x14ac:dyDescent="0.2">
      <c r="A844" s="98"/>
      <c r="B844" s="171"/>
      <c r="C844" s="171"/>
      <c r="D844" s="171"/>
      <c r="E844" s="171"/>
      <c r="F844" s="171"/>
      <c r="G844" s="54"/>
      <c r="H844" s="54"/>
      <c r="I844" s="49"/>
      <c r="J844" s="118"/>
      <c r="K844" s="225"/>
      <c r="L844" s="231"/>
      <c r="M844" s="231"/>
    </row>
    <row r="845" spans="1:13" ht="8.5500000000000007" customHeight="1" x14ac:dyDescent="0.25">
      <c r="H845" s="8"/>
      <c r="K845" s="7"/>
    </row>
    <row r="846" spans="1:13" ht="8.5500000000000007" customHeight="1" x14ac:dyDescent="0.25">
      <c r="H846" s="8"/>
      <c r="K846" s="7"/>
    </row>
    <row r="847" spans="1:13" ht="8.5500000000000007" customHeight="1" x14ac:dyDescent="0.25">
      <c r="D847" s="87" t="s">
        <v>792</v>
      </c>
      <c r="H847" s="8"/>
      <c r="L847" s="241">
        <f>(SUM(K11:K842))</f>
        <v>567</v>
      </c>
    </row>
    <row r="848" spans="1:13" ht="8.5500000000000007" customHeight="1" x14ac:dyDescent="0.25">
      <c r="D848" s="87" t="s">
        <v>848</v>
      </c>
      <c r="H848" s="8"/>
      <c r="L848" s="231"/>
    </row>
    <row r="849" spans="1:13" x14ac:dyDescent="0.25">
      <c r="H849" s="8"/>
      <c r="K849" s="88"/>
    </row>
    <row r="850" spans="1:13" x14ac:dyDescent="0.25">
      <c r="H850" s="8"/>
    </row>
    <row r="851" spans="1:13" x14ac:dyDescent="0.25">
      <c r="H851" s="8"/>
    </row>
    <row r="852" spans="1:13" x14ac:dyDescent="0.25">
      <c r="H852" s="8"/>
    </row>
    <row r="853" spans="1:13" ht="12.6" x14ac:dyDescent="0.25">
      <c r="A853" s="1"/>
      <c r="H853" s="8"/>
      <c r="L853" s="1"/>
      <c r="M853" s="1"/>
    </row>
    <row r="854" spans="1:13" ht="12.6" x14ac:dyDescent="0.25">
      <c r="A854" s="1"/>
      <c r="H854" s="8"/>
      <c r="L854" s="1"/>
      <c r="M854" s="1"/>
    </row>
    <row r="855" spans="1:13" ht="12.6" x14ac:dyDescent="0.25">
      <c r="A855" s="1"/>
      <c r="H855" s="8"/>
      <c r="L855" s="1"/>
      <c r="M855" s="1"/>
    </row>
    <row r="856" spans="1:13" ht="12.6" x14ac:dyDescent="0.25">
      <c r="A856" s="1"/>
      <c r="H856" s="8"/>
      <c r="L856" s="1"/>
      <c r="M856" s="1"/>
    </row>
    <row r="857" spans="1:13" ht="12.6" x14ac:dyDescent="0.25">
      <c r="A857" s="1"/>
      <c r="H857" s="8"/>
      <c r="L857" s="1"/>
      <c r="M857" s="1"/>
    </row>
    <row r="858" spans="1:13" ht="12.6" x14ac:dyDescent="0.25">
      <c r="A858" s="1"/>
      <c r="H858" s="8"/>
      <c r="L858" s="1"/>
      <c r="M858" s="1"/>
    </row>
    <row r="859" spans="1:13" ht="12.6" x14ac:dyDescent="0.25">
      <c r="A859" s="1"/>
      <c r="H859" s="8"/>
      <c r="L859" s="1"/>
      <c r="M859" s="1"/>
    </row>
    <row r="860" spans="1:13" ht="12.6" x14ac:dyDescent="0.25">
      <c r="A860" s="1"/>
      <c r="H860" s="8"/>
      <c r="L860" s="1"/>
      <c r="M860" s="1"/>
    </row>
  </sheetData>
  <autoFilter ref="A11:M844" xr:uid="{00000000-0009-0000-0000-000003000000}">
    <filterColumn colId="1" showButton="0"/>
    <filterColumn colId="2" showButton="0"/>
    <filterColumn colId="3" showButton="0"/>
    <filterColumn colId="4" showButton="0"/>
  </autoFilter>
  <mergeCells count="2461">
    <mergeCell ref="B605:F606"/>
    <mergeCell ref="J659:J660"/>
    <mergeCell ref="J609:J610"/>
    <mergeCell ref="J611:J612"/>
    <mergeCell ref="H625:H626"/>
    <mergeCell ref="H619:H620"/>
    <mergeCell ref="J639:J640"/>
    <mergeCell ref="I649:I650"/>
    <mergeCell ref="J567:J568"/>
    <mergeCell ref="B609:F610"/>
    <mergeCell ref="B575:F576"/>
    <mergeCell ref="J591:J592"/>
    <mergeCell ref="I641:I642"/>
    <mergeCell ref="G609:G610"/>
    <mergeCell ref="G611:G612"/>
    <mergeCell ref="B617:F618"/>
    <mergeCell ref="J585:J586"/>
    <mergeCell ref="J573:J574"/>
    <mergeCell ref="B381:F382"/>
    <mergeCell ref="B387:F388"/>
    <mergeCell ref="I381:I382"/>
    <mergeCell ref="G393:G394"/>
    <mergeCell ref="G395:G396"/>
    <mergeCell ref="B393:F394"/>
    <mergeCell ref="I567:I568"/>
    <mergeCell ref="B553:F554"/>
    <mergeCell ref="J589:J590"/>
    <mergeCell ref="B547:F548"/>
    <mergeCell ref="B531:F532"/>
    <mergeCell ref="B527:F528"/>
    <mergeCell ref="B525:F526"/>
    <mergeCell ref="B535:F536"/>
    <mergeCell ref="B533:F534"/>
    <mergeCell ref="I601:I602"/>
    <mergeCell ref="H601:H602"/>
    <mergeCell ref="B565:F566"/>
    <mergeCell ref="G565:G566"/>
    <mergeCell ref="J531:J532"/>
    <mergeCell ref="B383:F384"/>
    <mergeCell ref="G383:G384"/>
    <mergeCell ref="H383:H384"/>
    <mergeCell ref="B385:F386"/>
    <mergeCell ref="G371:G372"/>
    <mergeCell ref="J373:J374"/>
    <mergeCell ref="I371:I372"/>
    <mergeCell ref="G377:G378"/>
    <mergeCell ref="I383:I384"/>
    <mergeCell ref="H381:H382"/>
    <mergeCell ref="K577:K578"/>
    <mergeCell ref="K567:K568"/>
    <mergeCell ref="K565:K566"/>
    <mergeCell ref="K575:K576"/>
    <mergeCell ref="G389:G390"/>
    <mergeCell ref="I387:I388"/>
    <mergeCell ref="J379:J380"/>
    <mergeCell ref="B375:F376"/>
    <mergeCell ref="I385:I386"/>
    <mergeCell ref="J385:J386"/>
    <mergeCell ref="I375:I376"/>
    <mergeCell ref="I389:I390"/>
    <mergeCell ref="B395:F396"/>
    <mergeCell ref="B389:F390"/>
    <mergeCell ref="J395:J396"/>
    <mergeCell ref="J377:J378"/>
    <mergeCell ref="G375:G376"/>
    <mergeCell ref="B377:F378"/>
    <mergeCell ref="G385:G386"/>
    <mergeCell ref="J381:J382"/>
    <mergeCell ref="J383:J384"/>
    <mergeCell ref="I391:I392"/>
    <mergeCell ref="K517:K518"/>
    <mergeCell ref="J545:J546"/>
    <mergeCell ref="J527:J528"/>
    <mergeCell ref="K549:K550"/>
    <mergeCell ref="K551:K552"/>
    <mergeCell ref="K507:K508"/>
    <mergeCell ref="K503:K504"/>
    <mergeCell ref="K541:K542"/>
    <mergeCell ref="K543:K544"/>
    <mergeCell ref="H545:H546"/>
    <mergeCell ref="K515:K516"/>
    <mergeCell ref="H529:H530"/>
    <mergeCell ref="K513:K514"/>
    <mergeCell ref="J533:J534"/>
    <mergeCell ref="J529:J530"/>
    <mergeCell ref="J517:J518"/>
    <mergeCell ref="K511:K512"/>
    <mergeCell ref="K505:K506"/>
    <mergeCell ref="K547:K548"/>
    <mergeCell ref="I529:I530"/>
    <mergeCell ref="K521:K522"/>
    <mergeCell ref="K531:K532"/>
    <mergeCell ref="K527:K528"/>
    <mergeCell ref="K545:K546"/>
    <mergeCell ref="J519:J520"/>
    <mergeCell ref="I535:I536"/>
    <mergeCell ref="K509:K510"/>
    <mergeCell ref="K537:K538"/>
    <mergeCell ref="I525:I526"/>
    <mergeCell ref="K533:K534"/>
    <mergeCell ref="J541:J542"/>
    <mergeCell ref="J547:J548"/>
    <mergeCell ref="K525:K526"/>
    <mergeCell ref="J535:J536"/>
    <mergeCell ref="I547:I548"/>
    <mergeCell ref="K529:K530"/>
    <mergeCell ref="I549:I550"/>
    <mergeCell ref="I543:I544"/>
    <mergeCell ref="J543:J544"/>
    <mergeCell ref="J539:J540"/>
    <mergeCell ref="H605:H606"/>
    <mergeCell ref="H551:H552"/>
    <mergeCell ref="J549:J550"/>
    <mergeCell ref="H537:H538"/>
    <mergeCell ref="I553:I554"/>
    <mergeCell ref="K539:K540"/>
    <mergeCell ref="I537:I538"/>
    <mergeCell ref="K589:K590"/>
    <mergeCell ref="I605:I606"/>
    <mergeCell ref="J577:J578"/>
    <mergeCell ref="J599:J600"/>
    <mergeCell ref="J581:J582"/>
    <mergeCell ref="J583:J584"/>
    <mergeCell ref="K535:K536"/>
    <mergeCell ref="H531:H532"/>
    <mergeCell ref="I531:I532"/>
    <mergeCell ref="I557:I558"/>
    <mergeCell ref="G601:G602"/>
    <mergeCell ref="J561:J562"/>
    <mergeCell ref="K561:K562"/>
    <mergeCell ref="K563:K564"/>
    <mergeCell ref="G555:G556"/>
    <mergeCell ref="G563:G564"/>
    <mergeCell ref="K619:K620"/>
    <mergeCell ref="J677:J678"/>
    <mergeCell ref="K703:K704"/>
    <mergeCell ref="J619:J620"/>
    <mergeCell ref="J703:J704"/>
    <mergeCell ref="K611:K612"/>
    <mergeCell ref="K647:K648"/>
    <mergeCell ref="K631:K632"/>
    <mergeCell ref="K629:K630"/>
    <mergeCell ref="J641:J642"/>
    <mergeCell ref="K633:K634"/>
    <mergeCell ref="K643:K644"/>
    <mergeCell ref="K651:K652"/>
    <mergeCell ref="J637:J638"/>
    <mergeCell ref="J617:J618"/>
    <mergeCell ref="K657:K658"/>
    <mergeCell ref="J657:J658"/>
    <mergeCell ref="K661:K662"/>
    <mergeCell ref="K653:K654"/>
    <mergeCell ref="J651:J652"/>
    <mergeCell ref="J653:J654"/>
    <mergeCell ref="K649:K650"/>
    <mergeCell ref="K617:K618"/>
    <mergeCell ref="K637:K638"/>
    <mergeCell ref="K625:K626"/>
    <mergeCell ref="K621:K622"/>
    <mergeCell ref="K553:K554"/>
    <mergeCell ref="I539:I540"/>
    <mergeCell ref="G543:G544"/>
    <mergeCell ref="H549:H550"/>
    <mergeCell ref="G545:G546"/>
    <mergeCell ref="I545:I546"/>
    <mergeCell ref="G541:G542"/>
    <mergeCell ref="H541:H542"/>
    <mergeCell ref="H543:H544"/>
    <mergeCell ref="B611:F612"/>
    <mergeCell ref="K559:K560"/>
    <mergeCell ref="B557:F558"/>
    <mergeCell ref="J555:J556"/>
    <mergeCell ref="I597:I598"/>
    <mergeCell ref="H597:H598"/>
    <mergeCell ref="I611:I612"/>
    <mergeCell ref="B607:F608"/>
    <mergeCell ref="B571:F572"/>
    <mergeCell ref="B569:F570"/>
    <mergeCell ref="J579:J580"/>
    <mergeCell ref="K555:K556"/>
    <mergeCell ref="K571:K572"/>
    <mergeCell ref="J601:J602"/>
    <mergeCell ref="B555:F556"/>
    <mergeCell ref="I555:I556"/>
    <mergeCell ref="I559:I560"/>
    <mergeCell ref="B563:F564"/>
    <mergeCell ref="B577:F578"/>
    <mergeCell ref="G599:G600"/>
    <mergeCell ref="J603:J604"/>
    <mergeCell ref="K557:K558"/>
    <mergeCell ref="G573:G574"/>
    <mergeCell ref="I533:I534"/>
    <mergeCell ref="G531:G532"/>
    <mergeCell ref="H535:H536"/>
    <mergeCell ref="H533:H534"/>
    <mergeCell ref="I503:I504"/>
    <mergeCell ref="G527:G528"/>
    <mergeCell ref="H495:H496"/>
    <mergeCell ref="J509:J510"/>
    <mergeCell ref="J495:J496"/>
    <mergeCell ref="G559:G560"/>
    <mergeCell ref="B551:F552"/>
    <mergeCell ref="G551:G552"/>
    <mergeCell ref="J563:J564"/>
    <mergeCell ref="J551:J552"/>
    <mergeCell ref="J553:J554"/>
    <mergeCell ref="J559:J560"/>
    <mergeCell ref="G553:G554"/>
    <mergeCell ref="H553:H554"/>
    <mergeCell ref="H557:H558"/>
    <mergeCell ref="H559:H560"/>
    <mergeCell ref="J557:J558"/>
    <mergeCell ref="I551:I552"/>
    <mergeCell ref="J537:J538"/>
    <mergeCell ref="I541:I542"/>
    <mergeCell ref="H509:H510"/>
    <mergeCell ref="J505:J506"/>
    <mergeCell ref="J521:J522"/>
    <mergeCell ref="I497:I498"/>
    <mergeCell ref="J497:J498"/>
    <mergeCell ref="H503:H504"/>
    <mergeCell ref="J523:J524"/>
    <mergeCell ref="G499:G500"/>
    <mergeCell ref="B507:F508"/>
    <mergeCell ref="G491:G492"/>
    <mergeCell ref="H491:H492"/>
    <mergeCell ref="B495:F496"/>
    <mergeCell ref="H527:H528"/>
    <mergeCell ref="J525:J526"/>
    <mergeCell ref="H497:H498"/>
    <mergeCell ref="J491:J492"/>
    <mergeCell ref="J493:J494"/>
    <mergeCell ref="J501:J502"/>
    <mergeCell ref="B511:F512"/>
    <mergeCell ref="G511:G512"/>
    <mergeCell ref="H511:H512"/>
    <mergeCell ref="I511:I512"/>
    <mergeCell ref="J511:J512"/>
    <mergeCell ref="B513:F514"/>
    <mergeCell ref="B517:F518"/>
    <mergeCell ref="J507:J508"/>
    <mergeCell ref="H493:H494"/>
    <mergeCell ref="G501:G502"/>
    <mergeCell ref="B501:F502"/>
    <mergeCell ref="G523:G524"/>
    <mergeCell ref="G517:G518"/>
    <mergeCell ref="G521:G522"/>
    <mergeCell ref="G509:G510"/>
    <mergeCell ref="H525:H526"/>
    <mergeCell ref="H517:H518"/>
    <mergeCell ref="I509:I510"/>
    <mergeCell ref="H505:H506"/>
    <mergeCell ref="J513:J514"/>
    <mergeCell ref="J503:J504"/>
    <mergeCell ref="G507:G508"/>
    <mergeCell ref="B489:F490"/>
    <mergeCell ref="J481:J482"/>
    <mergeCell ref="B493:F494"/>
    <mergeCell ref="I505:I506"/>
    <mergeCell ref="I501:I502"/>
    <mergeCell ref="G481:G482"/>
    <mergeCell ref="G497:G498"/>
    <mergeCell ref="G493:G494"/>
    <mergeCell ref="H499:H500"/>
    <mergeCell ref="G483:G484"/>
    <mergeCell ref="H483:H484"/>
    <mergeCell ref="I483:I484"/>
    <mergeCell ref="B481:F482"/>
    <mergeCell ref="I481:I482"/>
    <mergeCell ref="H481:H482"/>
    <mergeCell ref="G487:G488"/>
    <mergeCell ref="H487:H488"/>
    <mergeCell ref="I499:I500"/>
    <mergeCell ref="B505:F506"/>
    <mergeCell ref="B483:F484"/>
    <mergeCell ref="G503:G504"/>
    <mergeCell ref="I485:I486"/>
    <mergeCell ref="G489:G490"/>
    <mergeCell ref="J485:J486"/>
    <mergeCell ref="H473:H474"/>
    <mergeCell ref="H489:H490"/>
    <mergeCell ref="I507:I508"/>
    <mergeCell ref="K487:K488"/>
    <mergeCell ref="I491:I492"/>
    <mergeCell ref="J483:J484"/>
    <mergeCell ref="K477:K478"/>
    <mergeCell ref="J499:J500"/>
    <mergeCell ref="K471:K472"/>
    <mergeCell ref="H477:H478"/>
    <mergeCell ref="I477:I478"/>
    <mergeCell ref="I489:I490"/>
    <mergeCell ref="J489:J490"/>
    <mergeCell ref="J487:J488"/>
    <mergeCell ref="K495:K496"/>
    <mergeCell ref="H507:H508"/>
    <mergeCell ref="K501:K502"/>
    <mergeCell ref="K493:K494"/>
    <mergeCell ref="K473:K474"/>
    <mergeCell ref="I473:I474"/>
    <mergeCell ref="J479:J480"/>
    <mergeCell ref="K481:K482"/>
    <mergeCell ref="K489:K490"/>
    <mergeCell ref="K497:K498"/>
    <mergeCell ref="K491:K492"/>
    <mergeCell ref="K499:K500"/>
    <mergeCell ref="K483:K484"/>
    <mergeCell ref="K479:K480"/>
    <mergeCell ref="J477:J478"/>
    <mergeCell ref="K485:K486"/>
    <mergeCell ref="J475:J476"/>
    <mergeCell ref="J647:J648"/>
    <mergeCell ref="H615:H616"/>
    <mergeCell ref="I615:I616"/>
    <mergeCell ref="I613:I614"/>
    <mergeCell ref="J613:J614"/>
    <mergeCell ref="J621:J622"/>
    <mergeCell ref="J587:J588"/>
    <mergeCell ref="I599:I600"/>
    <mergeCell ref="J575:J576"/>
    <mergeCell ref="J565:J566"/>
    <mergeCell ref="I573:I574"/>
    <mergeCell ref="K569:K570"/>
    <mergeCell ref="J595:J596"/>
    <mergeCell ref="K601:K602"/>
    <mergeCell ref="I577:I578"/>
    <mergeCell ref="I591:I592"/>
    <mergeCell ref="I617:I618"/>
    <mergeCell ref="I603:I604"/>
    <mergeCell ref="K615:K616"/>
    <mergeCell ref="I623:I624"/>
    <mergeCell ref="J607:J608"/>
    <mergeCell ref="J593:J594"/>
    <mergeCell ref="J597:J598"/>
    <mergeCell ref="I595:I596"/>
    <mergeCell ref="I569:I570"/>
    <mergeCell ref="K603:K604"/>
    <mergeCell ref="H607:H608"/>
    <mergeCell ref="J631:J632"/>
    <mergeCell ref="K573:K574"/>
    <mergeCell ref="I607:I608"/>
    <mergeCell ref="J569:J570"/>
    <mergeCell ref="K607:K608"/>
    <mergeCell ref="K597:K598"/>
    <mergeCell ref="K587:K588"/>
    <mergeCell ref="K595:K596"/>
    <mergeCell ref="K579:K580"/>
    <mergeCell ref="K599:K600"/>
    <mergeCell ref="K593:K594"/>
    <mergeCell ref="K585:K586"/>
    <mergeCell ref="K583:K584"/>
    <mergeCell ref="K605:K606"/>
    <mergeCell ref="K635:K636"/>
    <mergeCell ref="K639:K640"/>
    <mergeCell ref="K645:K646"/>
    <mergeCell ref="K641:K642"/>
    <mergeCell ref="K623:K624"/>
    <mergeCell ref="K591:K592"/>
    <mergeCell ref="K581:K582"/>
    <mergeCell ref="J615:J616"/>
    <mergeCell ref="J625:J626"/>
    <mergeCell ref="J623:J624"/>
    <mergeCell ref="J645:J646"/>
    <mergeCell ref="J605:J606"/>
    <mergeCell ref="J633:J634"/>
    <mergeCell ref="H617:H618"/>
    <mergeCell ref="H623:H624"/>
    <mergeCell ref="J635:J636"/>
    <mergeCell ref="J643:J644"/>
    <mergeCell ref="H611:H612"/>
    <mergeCell ref="H609:H610"/>
    <mergeCell ref="J629:J630"/>
    <mergeCell ref="H643:H644"/>
    <mergeCell ref="H613:H614"/>
    <mergeCell ref="I631:I632"/>
    <mergeCell ref="I637:I638"/>
    <mergeCell ref="K669:K670"/>
    <mergeCell ref="J695:J696"/>
    <mergeCell ref="J669:J670"/>
    <mergeCell ref="I679:I680"/>
    <mergeCell ref="I661:I662"/>
    <mergeCell ref="I691:I692"/>
    <mergeCell ref="J667:J668"/>
    <mergeCell ref="K693:K694"/>
    <mergeCell ref="J655:J656"/>
    <mergeCell ref="H655:H656"/>
    <mergeCell ref="H657:H658"/>
    <mergeCell ref="I657:I658"/>
    <mergeCell ref="I643:I644"/>
    <mergeCell ref="K675:K676"/>
    <mergeCell ref="K685:K686"/>
    <mergeCell ref="H641:H642"/>
    <mergeCell ref="K655:K656"/>
    <mergeCell ref="K609:K610"/>
    <mergeCell ref="K627:K628"/>
    <mergeCell ref="I609:I610"/>
    <mergeCell ref="J649:J650"/>
    <mergeCell ref="K741:K742"/>
    <mergeCell ref="K743:K744"/>
    <mergeCell ref="K697:K698"/>
    <mergeCell ref="K689:K690"/>
    <mergeCell ref="J721:J722"/>
    <mergeCell ref="K659:K660"/>
    <mergeCell ref="H687:H688"/>
    <mergeCell ref="I687:I688"/>
    <mergeCell ref="K671:K672"/>
    <mergeCell ref="I689:I690"/>
    <mergeCell ref="H685:H686"/>
    <mergeCell ref="J681:J682"/>
    <mergeCell ref="I681:I682"/>
    <mergeCell ref="J709:J710"/>
    <mergeCell ref="J687:J688"/>
    <mergeCell ref="J697:J698"/>
    <mergeCell ref="J679:J680"/>
    <mergeCell ref="K681:K682"/>
    <mergeCell ref="K663:K664"/>
    <mergeCell ref="K683:K684"/>
    <mergeCell ref="K677:K678"/>
    <mergeCell ref="K679:K680"/>
    <mergeCell ref="K665:K666"/>
    <mergeCell ref="K691:K692"/>
    <mergeCell ref="K667:K668"/>
    <mergeCell ref="K739:K740"/>
    <mergeCell ref="J735:J736"/>
    <mergeCell ref="J663:J664"/>
    <mergeCell ref="J661:J662"/>
    <mergeCell ref="K727:K728"/>
    <mergeCell ref="I733:I734"/>
    <mergeCell ref="K729:K730"/>
    <mergeCell ref="J733:J734"/>
    <mergeCell ref="I729:I730"/>
    <mergeCell ref="J689:J690"/>
    <mergeCell ref="G687:G688"/>
    <mergeCell ref="H701:H702"/>
    <mergeCell ref="K715:K716"/>
    <mergeCell ref="J737:J738"/>
    <mergeCell ref="J717:J718"/>
    <mergeCell ref="H729:H730"/>
    <mergeCell ref="H737:H738"/>
    <mergeCell ref="J699:J700"/>
    <mergeCell ref="K713:K714"/>
    <mergeCell ref="I719:I720"/>
    <mergeCell ref="J729:J730"/>
    <mergeCell ref="K723:K724"/>
    <mergeCell ref="K719:K720"/>
    <mergeCell ref="J719:J720"/>
    <mergeCell ref="I735:I736"/>
    <mergeCell ref="H731:H732"/>
    <mergeCell ref="H735:H736"/>
    <mergeCell ref="H727:H728"/>
    <mergeCell ref="G733:G734"/>
    <mergeCell ref="K701:K702"/>
    <mergeCell ref="K695:K696"/>
    <mergeCell ref="K687:K688"/>
    <mergeCell ref="K737:K738"/>
    <mergeCell ref="K733:K734"/>
    <mergeCell ref="K731:K732"/>
    <mergeCell ref="K717:K718"/>
    <mergeCell ref="J753:J754"/>
    <mergeCell ref="K747:K748"/>
    <mergeCell ref="J731:J732"/>
    <mergeCell ref="B755:F756"/>
    <mergeCell ref="B759:F760"/>
    <mergeCell ref="B753:F754"/>
    <mergeCell ref="B749:F750"/>
    <mergeCell ref="G747:G748"/>
    <mergeCell ref="G741:G742"/>
    <mergeCell ref="G711:G712"/>
    <mergeCell ref="J723:J724"/>
    <mergeCell ref="G719:G720"/>
    <mergeCell ref="H719:H720"/>
    <mergeCell ref="G701:G702"/>
    <mergeCell ref="I701:I702"/>
    <mergeCell ref="H713:H714"/>
    <mergeCell ref="I713:I714"/>
    <mergeCell ref="H725:H726"/>
    <mergeCell ref="I725:I726"/>
    <mergeCell ref="H709:H710"/>
    <mergeCell ref="I709:I710"/>
    <mergeCell ref="I707:I708"/>
    <mergeCell ref="G713:G714"/>
    <mergeCell ref="G757:G758"/>
    <mergeCell ref="G755:G756"/>
    <mergeCell ref="H749:H750"/>
    <mergeCell ref="J725:J726"/>
    <mergeCell ref="B715:F716"/>
    <mergeCell ref="B733:F734"/>
    <mergeCell ref="B745:F746"/>
    <mergeCell ref="G721:G722"/>
    <mergeCell ref="H721:H722"/>
    <mergeCell ref="K799:K800"/>
    <mergeCell ref="K803:K804"/>
    <mergeCell ref="B781:F782"/>
    <mergeCell ref="G799:G800"/>
    <mergeCell ref="G797:G798"/>
    <mergeCell ref="H769:H770"/>
    <mergeCell ref="G767:G768"/>
    <mergeCell ref="H767:H768"/>
    <mergeCell ref="G693:G694"/>
    <mergeCell ref="H693:H694"/>
    <mergeCell ref="I697:I698"/>
    <mergeCell ref="K709:K710"/>
    <mergeCell ref="B735:F736"/>
    <mergeCell ref="I715:I716"/>
    <mergeCell ref="J715:J716"/>
    <mergeCell ref="B747:F748"/>
    <mergeCell ref="G743:G744"/>
    <mergeCell ref="B763:F764"/>
    <mergeCell ref="I773:I774"/>
    <mergeCell ref="J773:J774"/>
    <mergeCell ref="H759:H760"/>
    <mergeCell ref="I751:I752"/>
    <mergeCell ref="H765:H766"/>
    <mergeCell ref="B725:F726"/>
    <mergeCell ref="I727:I728"/>
    <mergeCell ref="H711:H712"/>
    <mergeCell ref="B721:F722"/>
    <mergeCell ref="I745:I746"/>
    <mergeCell ref="G737:G738"/>
    <mergeCell ref="I743:I744"/>
    <mergeCell ref="B769:F770"/>
    <mergeCell ref="H753:H754"/>
    <mergeCell ref="B801:F802"/>
    <mergeCell ref="G801:G802"/>
    <mergeCell ref="J805:J806"/>
    <mergeCell ref="J813:J814"/>
    <mergeCell ref="G805:G806"/>
    <mergeCell ref="B765:F766"/>
    <mergeCell ref="B779:F780"/>
    <mergeCell ref="G779:G780"/>
    <mergeCell ref="B777:F778"/>
    <mergeCell ref="J763:J764"/>
    <mergeCell ref="B803:F804"/>
    <mergeCell ref="I803:I804"/>
    <mergeCell ref="J803:J804"/>
    <mergeCell ref="J801:J802"/>
    <mergeCell ref="B795:F796"/>
    <mergeCell ref="H785:H786"/>
    <mergeCell ref="I785:I786"/>
    <mergeCell ref="I763:I764"/>
    <mergeCell ref="B767:F768"/>
    <mergeCell ref="B775:F776"/>
    <mergeCell ref="G765:G766"/>
    <mergeCell ref="I775:I776"/>
    <mergeCell ref="J775:J776"/>
    <mergeCell ref="H793:H794"/>
    <mergeCell ref="I793:I794"/>
    <mergeCell ref="J793:J794"/>
    <mergeCell ref="G781:G782"/>
    <mergeCell ref="L847:L848"/>
    <mergeCell ref="B843:F844"/>
    <mergeCell ref="K843:K844"/>
    <mergeCell ref="J797:J798"/>
    <mergeCell ref="K797:K798"/>
    <mergeCell ref="B827:F828"/>
    <mergeCell ref="K819:K820"/>
    <mergeCell ref="B811:F812"/>
    <mergeCell ref="G811:G812"/>
    <mergeCell ref="H811:H812"/>
    <mergeCell ref="I811:I812"/>
    <mergeCell ref="J811:J812"/>
    <mergeCell ref="I799:I800"/>
    <mergeCell ref="J799:J800"/>
    <mergeCell ref="I827:I828"/>
    <mergeCell ref="B809:F810"/>
    <mergeCell ref="K811:K812"/>
    <mergeCell ref="H809:H810"/>
    <mergeCell ref="K827:K828"/>
    <mergeCell ref="H817:H818"/>
    <mergeCell ref="G803:G804"/>
    <mergeCell ref="K813:K814"/>
    <mergeCell ref="I801:I802"/>
    <mergeCell ref="K801:K802"/>
    <mergeCell ref="B837:F838"/>
    <mergeCell ref="I829:I830"/>
    <mergeCell ref="J829:J830"/>
    <mergeCell ref="B833:F834"/>
    <mergeCell ref="G833:G834"/>
    <mergeCell ref="H833:H834"/>
    <mergeCell ref="I833:I834"/>
    <mergeCell ref="J833:J834"/>
    <mergeCell ref="M843:M844"/>
    <mergeCell ref="K789:K790"/>
    <mergeCell ref="B791:F792"/>
    <mergeCell ref="G791:G792"/>
    <mergeCell ref="H791:H792"/>
    <mergeCell ref="I791:I792"/>
    <mergeCell ref="J791:J792"/>
    <mergeCell ref="K791:K792"/>
    <mergeCell ref="B789:F790"/>
    <mergeCell ref="G789:G790"/>
    <mergeCell ref="H789:H790"/>
    <mergeCell ref="I789:I790"/>
    <mergeCell ref="J789:J790"/>
    <mergeCell ref="G817:G818"/>
    <mergeCell ref="B821:F822"/>
    <mergeCell ref="J817:J818"/>
    <mergeCell ref="J841:J842"/>
    <mergeCell ref="B805:F806"/>
    <mergeCell ref="G825:G826"/>
    <mergeCell ref="B819:F820"/>
    <mergeCell ref="B831:F832"/>
    <mergeCell ref="G831:G832"/>
    <mergeCell ref="H831:H832"/>
    <mergeCell ref="K793:K794"/>
    <mergeCell ref="H823:H824"/>
    <mergeCell ref="B813:F814"/>
    <mergeCell ref="G813:G814"/>
    <mergeCell ref="B829:F830"/>
    <mergeCell ref="B817:F818"/>
    <mergeCell ref="K841:K842"/>
    <mergeCell ref="K815:K816"/>
    <mergeCell ref="H815:H816"/>
    <mergeCell ref="B835:F836"/>
    <mergeCell ref="G835:G836"/>
    <mergeCell ref="H835:H836"/>
    <mergeCell ref="I835:I836"/>
    <mergeCell ref="J835:J836"/>
    <mergeCell ref="B839:F840"/>
    <mergeCell ref="K835:K836"/>
    <mergeCell ref="H829:H830"/>
    <mergeCell ref="I841:I842"/>
    <mergeCell ref="K839:K840"/>
    <mergeCell ref="G837:G838"/>
    <mergeCell ref="H837:H838"/>
    <mergeCell ref="I837:I838"/>
    <mergeCell ref="H825:H826"/>
    <mergeCell ref="I825:I826"/>
    <mergeCell ref="K825:K826"/>
    <mergeCell ref="I831:I832"/>
    <mergeCell ref="K831:K832"/>
    <mergeCell ref="G839:G840"/>
    <mergeCell ref="H839:H840"/>
    <mergeCell ref="I839:I840"/>
    <mergeCell ref="J839:J840"/>
    <mergeCell ref="B841:F842"/>
    <mergeCell ref="G841:G842"/>
    <mergeCell ref="H841:H842"/>
    <mergeCell ref="K829:K830"/>
    <mergeCell ref="G829:G830"/>
    <mergeCell ref="J837:J838"/>
    <mergeCell ref="K837:K838"/>
    <mergeCell ref="J825:J826"/>
    <mergeCell ref="G823:G824"/>
    <mergeCell ref="H819:H820"/>
    <mergeCell ref="I819:I820"/>
    <mergeCell ref="J819:J820"/>
    <mergeCell ref="I823:I824"/>
    <mergeCell ref="J823:J824"/>
    <mergeCell ref="I817:I818"/>
    <mergeCell ref="J831:J832"/>
    <mergeCell ref="G775:G776"/>
    <mergeCell ref="B793:F794"/>
    <mergeCell ref="B771:F772"/>
    <mergeCell ref="G771:G772"/>
    <mergeCell ref="H771:H772"/>
    <mergeCell ref="H787:H788"/>
    <mergeCell ref="I787:I788"/>
    <mergeCell ref="J787:J788"/>
    <mergeCell ref="B783:F784"/>
    <mergeCell ref="B785:F786"/>
    <mergeCell ref="J783:J784"/>
    <mergeCell ref="B797:F798"/>
    <mergeCell ref="H797:H798"/>
    <mergeCell ref="B799:F800"/>
    <mergeCell ref="H805:H806"/>
    <mergeCell ref="B807:F808"/>
    <mergeCell ref="J815:J816"/>
    <mergeCell ref="G815:G816"/>
    <mergeCell ref="K833:K834"/>
    <mergeCell ref="L843:L844"/>
    <mergeCell ref="K821:K822"/>
    <mergeCell ref="G827:G828"/>
    <mergeCell ref="H827:H828"/>
    <mergeCell ref="J827:J828"/>
    <mergeCell ref="I807:I808"/>
    <mergeCell ref="J807:J808"/>
    <mergeCell ref="K807:K808"/>
    <mergeCell ref="K805:K806"/>
    <mergeCell ref="G821:G822"/>
    <mergeCell ref="H821:H822"/>
    <mergeCell ref="I821:I822"/>
    <mergeCell ref="J821:J822"/>
    <mergeCell ref="G819:G820"/>
    <mergeCell ref="B773:F774"/>
    <mergeCell ref="G773:G774"/>
    <mergeCell ref="H813:H814"/>
    <mergeCell ref="I813:I814"/>
    <mergeCell ref="K823:K824"/>
    <mergeCell ref="J809:J810"/>
    <mergeCell ref="G809:G810"/>
    <mergeCell ref="I815:I816"/>
    <mergeCell ref="G807:G808"/>
    <mergeCell ref="B815:F816"/>
    <mergeCell ref="H801:H802"/>
    <mergeCell ref="G793:G794"/>
    <mergeCell ref="I783:I784"/>
    <mergeCell ref="G785:G786"/>
    <mergeCell ref="H799:H800"/>
    <mergeCell ref="B787:F788"/>
    <mergeCell ref="G787:G788"/>
    <mergeCell ref="H803:H804"/>
    <mergeCell ref="B823:F824"/>
    <mergeCell ref="B825:F826"/>
    <mergeCell ref="K773:K774"/>
    <mergeCell ref="H773:H774"/>
    <mergeCell ref="G777:G778"/>
    <mergeCell ref="H779:H780"/>
    <mergeCell ref="I779:I780"/>
    <mergeCell ref="G783:G784"/>
    <mergeCell ref="H783:H784"/>
    <mergeCell ref="H775:H776"/>
    <mergeCell ref="J779:J780"/>
    <mergeCell ref="H781:H782"/>
    <mergeCell ref="I781:I782"/>
    <mergeCell ref="K787:K788"/>
    <mergeCell ref="K795:K796"/>
    <mergeCell ref="K779:K780"/>
    <mergeCell ref="K777:K778"/>
    <mergeCell ref="J781:J782"/>
    <mergeCell ref="I797:I798"/>
    <mergeCell ref="I809:I810"/>
    <mergeCell ref="K785:K786"/>
    <mergeCell ref="J785:J786"/>
    <mergeCell ref="K783:K784"/>
    <mergeCell ref="K775:K776"/>
    <mergeCell ref="H777:H778"/>
    <mergeCell ref="J777:J778"/>
    <mergeCell ref="I777:I778"/>
    <mergeCell ref="K781:K782"/>
    <mergeCell ref="K817:K818"/>
    <mergeCell ref="K809:K810"/>
    <mergeCell ref="H807:H808"/>
    <mergeCell ref="I805:I806"/>
    <mergeCell ref="J771:J772"/>
    <mergeCell ref="I761:I762"/>
    <mergeCell ref="I765:I766"/>
    <mergeCell ref="J765:J766"/>
    <mergeCell ref="J769:J770"/>
    <mergeCell ref="I753:I754"/>
    <mergeCell ref="K771:K772"/>
    <mergeCell ref="I771:I772"/>
    <mergeCell ref="I759:I760"/>
    <mergeCell ref="J759:J760"/>
    <mergeCell ref="H757:H758"/>
    <mergeCell ref="I769:I770"/>
    <mergeCell ref="G769:G770"/>
    <mergeCell ref="J757:J758"/>
    <mergeCell ref="G753:G754"/>
    <mergeCell ref="K763:K764"/>
    <mergeCell ref="G763:G764"/>
    <mergeCell ref="K761:K762"/>
    <mergeCell ref="G759:G760"/>
    <mergeCell ref="H763:H764"/>
    <mergeCell ref="K757:K758"/>
    <mergeCell ref="K765:K766"/>
    <mergeCell ref="K759:K760"/>
    <mergeCell ref="K755:K756"/>
    <mergeCell ref="K769:K770"/>
    <mergeCell ref="I767:I768"/>
    <mergeCell ref="J767:J768"/>
    <mergeCell ref="K753:K754"/>
    <mergeCell ref="I755:I756"/>
    <mergeCell ref="J755:J756"/>
    <mergeCell ref="K767:K768"/>
    <mergeCell ref="I757:I758"/>
    <mergeCell ref="B761:F762"/>
    <mergeCell ref="G761:G762"/>
    <mergeCell ref="B757:F758"/>
    <mergeCell ref="J761:J762"/>
    <mergeCell ref="G709:G710"/>
    <mergeCell ref="B713:F714"/>
    <mergeCell ref="G727:G728"/>
    <mergeCell ref="I749:I750"/>
    <mergeCell ref="H755:H756"/>
    <mergeCell ref="H761:H762"/>
    <mergeCell ref="B669:F670"/>
    <mergeCell ref="G745:G746"/>
    <mergeCell ref="J749:J750"/>
    <mergeCell ref="K745:K746"/>
    <mergeCell ref="H745:H746"/>
    <mergeCell ref="B727:F728"/>
    <mergeCell ref="K721:K722"/>
    <mergeCell ref="B723:F724"/>
    <mergeCell ref="J707:J708"/>
    <mergeCell ref="K735:K736"/>
    <mergeCell ref="K725:K726"/>
    <mergeCell ref="J727:J728"/>
    <mergeCell ref="K711:K712"/>
    <mergeCell ref="K707:K708"/>
    <mergeCell ref="I711:I712"/>
    <mergeCell ref="J711:J712"/>
    <mergeCell ref="G707:G708"/>
    <mergeCell ref="G749:G750"/>
    <mergeCell ref="B751:F752"/>
    <mergeCell ref="G751:G752"/>
    <mergeCell ref="H751:H752"/>
    <mergeCell ref="J751:J752"/>
    <mergeCell ref="B729:F730"/>
    <mergeCell ref="B731:F732"/>
    <mergeCell ref="H733:H734"/>
    <mergeCell ref="J747:J748"/>
    <mergeCell ref="B741:F742"/>
    <mergeCell ref="B739:F740"/>
    <mergeCell ref="G731:G732"/>
    <mergeCell ref="J741:J742"/>
    <mergeCell ref="J743:J744"/>
    <mergeCell ref="H743:H744"/>
    <mergeCell ref="H741:H742"/>
    <mergeCell ref="H747:H748"/>
    <mergeCell ref="I747:I748"/>
    <mergeCell ref="I741:I742"/>
    <mergeCell ref="I723:I724"/>
    <mergeCell ref="B743:F744"/>
    <mergeCell ref="G669:G670"/>
    <mergeCell ref="J693:J694"/>
    <mergeCell ref="H691:H692"/>
    <mergeCell ref="I721:I722"/>
    <mergeCell ref="H703:H704"/>
    <mergeCell ref="I703:I704"/>
    <mergeCell ref="I731:I732"/>
    <mergeCell ref="H681:H682"/>
    <mergeCell ref="I677:I678"/>
    <mergeCell ref="B679:F680"/>
    <mergeCell ref="B691:F692"/>
    <mergeCell ref="B699:F700"/>
    <mergeCell ref="B737:F738"/>
    <mergeCell ref="G725:G726"/>
    <mergeCell ref="J701:J702"/>
    <mergeCell ref="G665:G666"/>
    <mergeCell ref="H665:H666"/>
    <mergeCell ref="J671:J672"/>
    <mergeCell ref="J685:J686"/>
    <mergeCell ref="H715:H716"/>
    <mergeCell ref="B657:F658"/>
    <mergeCell ref="B655:F656"/>
    <mergeCell ref="G645:G646"/>
    <mergeCell ref="H671:H672"/>
    <mergeCell ref="I671:I672"/>
    <mergeCell ref="G679:G680"/>
    <mergeCell ref="H679:H680"/>
    <mergeCell ref="I685:I686"/>
    <mergeCell ref="B667:F668"/>
    <mergeCell ref="B707:F708"/>
    <mergeCell ref="B711:F712"/>
    <mergeCell ref="H707:H708"/>
    <mergeCell ref="H647:H648"/>
    <mergeCell ref="G653:G654"/>
    <mergeCell ref="B647:F648"/>
    <mergeCell ref="I667:I668"/>
    <mergeCell ref="G661:G662"/>
    <mergeCell ref="H663:H664"/>
    <mergeCell ref="H653:H654"/>
    <mergeCell ref="I655:I656"/>
    <mergeCell ref="I653:I654"/>
    <mergeCell ref="B651:F652"/>
    <mergeCell ref="G651:G652"/>
    <mergeCell ref="H651:H652"/>
    <mergeCell ref="J691:J692"/>
    <mergeCell ref="B703:F704"/>
    <mergeCell ref="B683:F684"/>
    <mergeCell ref="K749:K750"/>
    <mergeCell ref="K751:K752"/>
    <mergeCell ref="J745:J746"/>
    <mergeCell ref="G723:G724"/>
    <mergeCell ref="H723:H724"/>
    <mergeCell ref="I737:I738"/>
    <mergeCell ref="B695:F696"/>
    <mergeCell ref="G703:G704"/>
    <mergeCell ref="G717:G718"/>
    <mergeCell ref="H717:H718"/>
    <mergeCell ref="B685:F686"/>
    <mergeCell ref="G735:G736"/>
    <mergeCell ref="H695:H696"/>
    <mergeCell ref="I659:I660"/>
    <mergeCell ref="I663:I664"/>
    <mergeCell ref="G649:G650"/>
    <mergeCell ref="B659:F660"/>
    <mergeCell ref="B663:F664"/>
    <mergeCell ref="J713:J714"/>
    <mergeCell ref="J665:J666"/>
    <mergeCell ref="G671:G672"/>
    <mergeCell ref="B681:F682"/>
    <mergeCell ref="G681:G682"/>
    <mergeCell ref="H669:H670"/>
    <mergeCell ref="I695:I696"/>
    <mergeCell ref="H697:H698"/>
    <mergeCell ref="B653:F654"/>
    <mergeCell ref="G691:G692"/>
    <mergeCell ref="G685:G686"/>
    <mergeCell ref="G677:G678"/>
    <mergeCell ref="H677:H678"/>
    <mergeCell ref="G667:G668"/>
    <mergeCell ref="G643:G644"/>
    <mergeCell ref="B689:F690"/>
    <mergeCell ref="G689:G690"/>
    <mergeCell ref="B677:F678"/>
    <mergeCell ref="G729:G730"/>
    <mergeCell ref="B719:F720"/>
    <mergeCell ref="B687:F688"/>
    <mergeCell ref="B717:F718"/>
    <mergeCell ref="G715:G716"/>
    <mergeCell ref="I717:I718"/>
    <mergeCell ref="H689:H690"/>
    <mergeCell ref="I665:I666"/>
    <mergeCell ref="G655:G656"/>
    <mergeCell ref="I693:I694"/>
    <mergeCell ref="B701:F702"/>
    <mergeCell ref="B671:F672"/>
    <mergeCell ref="B693:F694"/>
    <mergeCell ref="I651:I652"/>
    <mergeCell ref="B665:F666"/>
    <mergeCell ref="B709:F710"/>
    <mergeCell ref="B661:F662"/>
    <mergeCell ref="G663:G664"/>
    <mergeCell ref="B645:F646"/>
    <mergeCell ref="H661:H662"/>
    <mergeCell ref="H645:H646"/>
    <mergeCell ref="B643:F644"/>
    <mergeCell ref="G699:G700"/>
    <mergeCell ref="H699:H700"/>
    <mergeCell ref="I699:I700"/>
    <mergeCell ref="B649:F650"/>
    <mergeCell ref="G659:G660"/>
    <mergeCell ref="G647:G648"/>
    <mergeCell ref="G613:G614"/>
    <mergeCell ref="B633:F634"/>
    <mergeCell ref="H659:H660"/>
    <mergeCell ref="I647:I648"/>
    <mergeCell ref="I645:I646"/>
    <mergeCell ref="H649:H650"/>
    <mergeCell ref="B603:F604"/>
    <mergeCell ref="G603:G604"/>
    <mergeCell ref="B591:F592"/>
    <mergeCell ref="H599:H600"/>
    <mergeCell ref="G697:G698"/>
    <mergeCell ref="H667:H668"/>
    <mergeCell ref="I669:I670"/>
    <mergeCell ref="G695:G696"/>
    <mergeCell ref="B697:F698"/>
    <mergeCell ref="I619:I620"/>
    <mergeCell ref="H629:H630"/>
    <mergeCell ref="G607:G608"/>
    <mergeCell ref="G605:G606"/>
    <mergeCell ref="B601:F602"/>
    <mergeCell ref="H603:H604"/>
    <mergeCell ref="H593:H594"/>
    <mergeCell ref="I593:I594"/>
    <mergeCell ref="B599:F600"/>
    <mergeCell ref="B593:F594"/>
    <mergeCell ref="I639:I640"/>
    <mergeCell ref="G593:G594"/>
    <mergeCell ref="G597:G598"/>
    <mergeCell ref="B613:F614"/>
    <mergeCell ref="G641:G642"/>
    <mergeCell ref="G657:G658"/>
    <mergeCell ref="B641:F642"/>
    <mergeCell ref="G471:G472"/>
    <mergeCell ref="G533:G534"/>
    <mergeCell ref="G477:G478"/>
    <mergeCell ref="B579:F580"/>
    <mergeCell ref="G505:G506"/>
    <mergeCell ref="G589:G590"/>
    <mergeCell ref="G577:G578"/>
    <mergeCell ref="B515:F516"/>
    <mergeCell ref="G557:G558"/>
    <mergeCell ref="H581:H582"/>
    <mergeCell ref="B585:F586"/>
    <mergeCell ref="B503:F504"/>
    <mergeCell ref="B519:F520"/>
    <mergeCell ref="G519:G520"/>
    <mergeCell ref="H519:H520"/>
    <mergeCell ref="H513:H514"/>
    <mergeCell ref="B497:F498"/>
    <mergeCell ref="B499:F500"/>
    <mergeCell ref="H521:H522"/>
    <mergeCell ref="H547:H548"/>
    <mergeCell ref="G535:G536"/>
    <mergeCell ref="B537:F538"/>
    <mergeCell ref="B539:F540"/>
    <mergeCell ref="B543:F544"/>
    <mergeCell ref="H523:H524"/>
    <mergeCell ref="G525:G526"/>
    <mergeCell ref="B523:F524"/>
    <mergeCell ref="B529:F530"/>
    <mergeCell ref="H539:H540"/>
    <mergeCell ref="B487:F488"/>
    <mergeCell ref="H485:H486"/>
    <mergeCell ref="B485:F486"/>
    <mergeCell ref="B597:F598"/>
    <mergeCell ref="H595:H596"/>
    <mergeCell ref="G591:G592"/>
    <mergeCell ref="H589:H590"/>
    <mergeCell ref="I587:I588"/>
    <mergeCell ref="H563:H564"/>
    <mergeCell ref="H561:H562"/>
    <mergeCell ref="G561:G562"/>
    <mergeCell ref="B583:F584"/>
    <mergeCell ref="B595:F596"/>
    <mergeCell ref="H591:H592"/>
    <mergeCell ref="B589:F590"/>
    <mergeCell ref="G581:G582"/>
    <mergeCell ref="I579:I580"/>
    <mergeCell ref="B561:F562"/>
    <mergeCell ref="I565:I566"/>
    <mergeCell ref="B573:F574"/>
    <mergeCell ref="I575:I576"/>
    <mergeCell ref="G567:G568"/>
    <mergeCell ref="G587:G588"/>
    <mergeCell ref="G595:G596"/>
    <mergeCell ref="H583:H584"/>
    <mergeCell ref="I583:I584"/>
    <mergeCell ref="B587:F588"/>
    <mergeCell ref="G569:G570"/>
    <mergeCell ref="G583:G584"/>
    <mergeCell ref="I585:I586"/>
    <mergeCell ref="G585:G586"/>
    <mergeCell ref="H579:H580"/>
    <mergeCell ref="H569:H570"/>
    <mergeCell ref="H565:H566"/>
    <mergeCell ref="H567:H568"/>
    <mergeCell ref="G579:G580"/>
    <mergeCell ref="B491:F492"/>
    <mergeCell ref="H501:H502"/>
    <mergeCell ref="G513:G514"/>
    <mergeCell ref="G539:G540"/>
    <mergeCell ref="G529:G530"/>
    <mergeCell ref="B545:F546"/>
    <mergeCell ref="I561:I562"/>
    <mergeCell ref="B581:F582"/>
    <mergeCell ref="I581:I582"/>
    <mergeCell ref="I589:I590"/>
    <mergeCell ref="I493:I494"/>
    <mergeCell ref="I495:I496"/>
    <mergeCell ref="G485:G486"/>
    <mergeCell ref="H555:H556"/>
    <mergeCell ref="B567:F568"/>
    <mergeCell ref="G575:G576"/>
    <mergeCell ref="H585:H586"/>
    <mergeCell ref="H587:H588"/>
    <mergeCell ref="B559:F560"/>
    <mergeCell ref="H577:H578"/>
    <mergeCell ref="H575:H576"/>
    <mergeCell ref="B549:F550"/>
    <mergeCell ref="G549:G550"/>
    <mergeCell ref="B521:F522"/>
    <mergeCell ref="G495:G496"/>
    <mergeCell ref="G547:G548"/>
    <mergeCell ref="H573:H574"/>
    <mergeCell ref="G537:G538"/>
    <mergeCell ref="B541:F542"/>
    <mergeCell ref="I487:I488"/>
    <mergeCell ref="B509:F510"/>
    <mergeCell ref="B479:F480"/>
    <mergeCell ref="G479:G480"/>
    <mergeCell ref="H479:H480"/>
    <mergeCell ref="I479:I480"/>
    <mergeCell ref="B473:F474"/>
    <mergeCell ref="G473:G474"/>
    <mergeCell ref="B453:F454"/>
    <mergeCell ref="G453:G454"/>
    <mergeCell ref="B431:F432"/>
    <mergeCell ref="G431:G432"/>
    <mergeCell ref="G465:G466"/>
    <mergeCell ref="H465:H466"/>
    <mergeCell ref="B471:F472"/>
    <mergeCell ref="H461:H462"/>
    <mergeCell ref="I461:I462"/>
    <mergeCell ref="B433:F434"/>
    <mergeCell ref="G433:G434"/>
    <mergeCell ref="I439:I440"/>
    <mergeCell ref="H471:H472"/>
    <mergeCell ref="I471:I472"/>
    <mergeCell ref="H475:H476"/>
    <mergeCell ref="I475:I476"/>
    <mergeCell ref="B477:F478"/>
    <mergeCell ref="B467:F468"/>
    <mergeCell ref="G467:G468"/>
    <mergeCell ref="H467:H468"/>
    <mergeCell ref="B441:F442"/>
    <mergeCell ref="H447:H448"/>
    <mergeCell ref="I447:I448"/>
    <mergeCell ref="H449:H450"/>
    <mergeCell ref="I451:I452"/>
    <mergeCell ref="B449:F450"/>
    <mergeCell ref="G367:G368"/>
    <mergeCell ref="J427:J428"/>
    <mergeCell ref="H427:H428"/>
    <mergeCell ref="I427:I428"/>
    <mergeCell ref="H399:H400"/>
    <mergeCell ref="G397:G398"/>
    <mergeCell ref="I397:I398"/>
    <mergeCell ref="G417:G418"/>
    <mergeCell ref="G415:G416"/>
    <mergeCell ref="B475:F476"/>
    <mergeCell ref="G475:G476"/>
    <mergeCell ref="B469:F470"/>
    <mergeCell ref="G429:G430"/>
    <mergeCell ref="G457:G458"/>
    <mergeCell ref="H457:H458"/>
    <mergeCell ref="I457:I458"/>
    <mergeCell ref="H431:H432"/>
    <mergeCell ref="B455:F456"/>
    <mergeCell ref="G455:G456"/>
    <mergeCell ref="J473:J474"/>
    <mergeCell ref="J471:J472"/>
    <mergeCell ref="J453:J454"/>
    <mergeCell ref="H455:H456"/>
    <mergeCell ref="I455:I456"/>
    <mergeCell ref="J455:J456"/>
    <mergeCell ref="I435:I436"/>
    <mergeCell ref="J435:J436"/>
    <mergeCell ref="I467:I468"/>
    <mergeCell ref="G469:G470"/>
    <mergeCell ref="G441:G442"/>
    <mergeCell ref="H441:H442"/>
    <mergeCell ref="J465:J466"/>
    <mergeCell ref="B439:F440"/>
    <mergeCell ref="G439:G440"/>
    <mergeCell ref="G435:G436"/>
    <mergeCell ref="B445:F446"/>
    <mergeCell ref="B447:F448"/>
    <mergeCell ref="J439:J440"/>
    <mergeCell ref="K423:K424"/>
    <mergeCell ref="K441:K442"/>
    <mergeCell ref="K431:K432"/>
    <mergeCell ref="K435:K436"/>
    <mergeCell ref="J429:J430"/>
    <mergeCell ref="H435:H436"/>
    <mergeCell ref="I441:I442"/>
    <mergeCell ref="J437:J438"/>
    <mergeCell ref="K437:K438"/>
    <mergeCell ref="G445:G446"/>
    <mergeCell ref="H445:H446"/>
    <mergeCell ref="B437:F438"/>
    <mergeCell ref="J433:J434"/>
    <mergeCell ref="H443:H444"/>
    <mergeCell ref="I445:I446"/>
    <mergeCell ref="J445:J446"/>
    <mergeCell ref="H425:H426"/>
    <mergeCell ref="B417:F418"/>
    <mergeCell ref="J387:J388"/>
    <mergeCell ref="B411:F412"/>
    <mergeCell ref="H417:H418"/>
    <mergeCell ref="J401:J402"/>
    <mergeCell ref="B415:F416"/>
    <mergeCell ref="G421:G422"/>
    <mergeCell ref="J425:J426"/>
    <mergeCell ref="K425:K426"/>
    <mergeCell ref="B419:F420"/>
    <mergeCell ref="B423:F424"/>
    <mergeCell ref="G423:G424"/>
    <mergeCell ref="B371:F372"/>
    <mergeCell ref="H373:H374"/>
    <mergeCell ref="G387:G388"/>
    <mergeCell ref="G381:G382"/>
    <mergeCell ref="B373:F374"/>
    <mergeCell ref="B379:F380"/>
    <mergeCell ref="G379:G380"/>
    <mergeCell ref="K407:K408"/>
    <mergeCell ref="G409:G410"/>
    <mergeCell ref="B391:F392"/>
    <mergeCell ref="G391:G392"/>
    <mergeCell ref="K395:K396"/>
    <mergeCell ref="K375:K376"/>
    <mergeCell ref="K385:K386"/>
    <mergeCell ref="K373:K374"/>
    <mergeCell ref="K389:K390"/>
    <mergeCell ref="J393:J394"/>
    <mergeCell ref="H391:H392"/>
    <mergeCell ref="J391:J392"/>
    <mergeCell ref="G427:G428"/>
    <mergeCell ref="H371:H372"/>
    <mergeCell ref="G341:G342"/>
    <mergeCell ref="G339:G340"/>
    <mergeCell ref="J337:J338"/>
    <mergeCell ref="G345:G346"/>
    <mergeCell ref="H353:H354"/>
    <mergeCell ref="I339:I340"/>
    <mergeCell ref="B365:F366"/>
    <mergeCell ref="I341:I342"/>
    <mergeCell ref="J345:J346"/>
    <mergeCell ref="H343:H344"/>
    <mergeCell ref="B361:F362"/>
    <mergeCell ref="I353:I354"/>
    <mergeCell ref="I351:I352"/>
    <mergeCell ref="J351:J352"/>
    <mergeCell ref="J389:J390"/>
    <mergeCell ref="H411:H412"/>
    <mergeCell ref="B405:F406"/>
    <mergeCell ref="G365:G366"/>
    <mergeCell ref="H359:H360"/>
    <mergeCell ref="J343:J344"/>
    <mergeCell ref="G353:G354"/>
    <mergeCell ref="H365:H366"/>
    <mergeCell ref="I365:I366"/>
    <mergeCell ref="J365:J366"/>
    <mergeCell ref="B349:F350"/>
    <mergeCell ref="J349:J350"/>
    <mergeCell ref="B409:F410"/>
    <mergeCell ref="H397:H398"/>
    <mergeCell ref="B339:F340"/>
    <mergeCell ref="I413:I414"/>
    <mergeCell ref="B397:F398"/>
    <mergeCell ref="B399:F400"/>
    <mergeCell ref="J359:J360"/>
    <mergeCell ref="G363:G364"/>
    <mergeCell ref="H379:H380"/>
    <mergeCell ref="I377:I378"/>
    <mergeCell ref="H367:H368"/>
    <mergeCell ref="I367:I368"/>
    <mergeCell ref="J367:J368"/>
    <mergeCell ref="I373:I374"/>
    <mergeCell ref="B295:F296"/>
    <mergeCell ref="I287:I288"/>
    <mergeCell ref="B289:F290"/>
    <mergeCell ref="G289:G290"/>
    <mergeCell ref="H307:H308"/>
    <mergeCell ref="J333:J334"/>
    <mergeCell ref="G329:G330"/>
    <mergeCell ref="H329:H330"/>
    <mergeCell ref="G305:G306"/>
    <mergeCell ref="B325:F326"/>
    <mergeCell ref="G325:G326"/>
    <mergeCell ref="H325:H326"/>
    <mergeCell ref="B319:F320"/>
    <mergeCell ref="B333:F334"/>
    <mergeCell ref="G321:G322"/>
    <mergeCell ref="H321:H322"/>
    <mergeCell ref="I321:I322"/>
    <mergeCell ref="H333:H334"/>
    <mergeCell ref="G335:G336"/>
    <mergeCell ref="B345:F346"/>
    <mergeCell ref="G355:G356"/>
    <mergeCell ref="G349:G350"/>
    <mergeCell ref="B363:F364"/>
    <mergeCell ref="J363:J364"/>
    <mergeCell ref="I363:I364"/>
    <mergeCell ref="B369:F370"/>
    <mergeCell ref="G369:G370"/>
    <mergeCell ref="J353:J354"/>
    <mergeCell ref="G359:G360"/>
    <mergeCell ref="K345:K346"/>
    <mergeCell ref="I349:I350"/>
    <mergeCell ref="I355:I356"/>
    <mergeCell ref="J355:J356"/>
    <mergeCell ref="H349:H350"/>
    <mergeCell ref="B359:F360"/>
    <mergeCell ref="I359:I360"/>
    <mergeCell ref="K361:K362"/>
    <mergeCell ref="B347:F348"/>
    <mergeCell ref="H341:H342"/>
    <mergeCell ref="B357:F358"/>
    <mergeCell ref="G357:G358"/>
    <mergeCell ref="H357:H358"/>
    <mergeCell ref="G343:G344"/>
    <mergeCell ref="B351:F352"/>
    <mergeCell ref="K347:K348"/>
    <mergeCell ref="G351:G352"/>
    <mergeCell ref="H351:H352"/>
    <mergeCell ref="K353:K354"/>
    <mergeCell ref="I357:I358"/>
    <mergeCell ref="B355:F356"/>
    <mergeCell ref="B353:F354"/>
    <mergeCell ref="G361:G362"/>
    <mergeCell ref="H369:H370"/>
    <mergeCell ref="B367:F368"/>
    <mergeCell ref="B321:F322"/>
    <mergeCell ref="H335:H336"/>
    <mergeCell ref="H337:H338"/>
    <mergeCell ref="H305:H306"/>
    <mergeCell ref="B329:F330"/>
    <mergeCell ref="B341:F342"/>
    <mergeCell ref="B337:F338"/>
    <mergeCell ref="K343:K344"/>
    <mergeCell ref="H345:H346"/>
    <mergeCell ref="B335:F336"/>
    <mergeCell ref="H339:H340"/>
    <mergeCell ref="I337:I338"/>
    <mergeCell ref="B305:F306"/>
    <mergeCell ref="G313:G314"/>
    <mergeCell ref="K333:K334"/>
    <mergeCell ref="K331:K332"/>
    <mergeCell ref="I333:I334"/>
    <mergeCell ref="J321:J322"/>
    <mergeCell ref="K339:K340"/>
    <mergeCell ref="K341:K342"/>
    <mergeCell ref="J341:J342"/>
    <mergeCell ref="I345:I346"/>
    <mergeCell ref="B343:F344"/>
    <mergeCell ref="H301:H302"/>
    <mergeCell ref="I313:I314"/>
    <mergeCell ref="I305:I306"/>
    <mergeCell ref="G319:G320"/>
    <mergeCell ref="B307:F308"/>
    <mergeCell ref="B327:F328"/>
    <mergeCell ref="G327:G328"/>
    <mergeCell ref="J331:J332"/>
    <mergeCell ref="K349:K350"/>
    <mergeCell ref="B313:F314"/>
    <mergeCell ref="J311:J312"/>
    <mergeCell ref="B309:F310"/>
    <mergeCell ref="K309:K310"/>
    <mergeCell ref="I325:I326"/>
    <mergeCell ref="J325:J326"/>
    <mergeCell ref="B311:F312"/>
    <mergeCell ref="B317:F318"/>
    <mergeCell ref="G317:G318"/>
    <mergeCell ref="B331:F332"/>
    <mergeCell ref="K337:K338"/>
    <mergeCell ref="G309:G310"/>
    <mergeCell ref="H309:H310"/>
    <mergeCell ref="K321:K322"/>
    <mergeCell ref="H303:H304"/>
    <mergeCell ref="B315:F316"/>
    <mergeCell ref="G315:G316"/>
    <mergeCell ref="H315:H316"/>
    <mergeCell ref="I315:I316"/>
    <mergeCell ref="J315:J316"/>
    <mergeCell ref="K305:K306"/>
    <mergeCell ref="G331:G332"/>
    <mergeCell ref="G333:G334"/>
    <mergeCell ref="G303:G304"/>
    <mergeCell ref="G307:G308"/>
    <mergeCell ref="J303:J304"/>
    <mergeCell ref="I283:I284"/>
    <mergeCell ref="B293:F294"/>
    <mergeCell ref="H327:H328"/>
    <mergeCell ref="I327:I328"/>
    <mergeCell ref="B303:F304"/>
    <mergeCell ref="G201:G202"/>
    <mergeCell ref="I195:I196"/>
    <mergeCell ref="J195:J196"/>
    <mergeCell ref="B207:F208"/>
    <mergeCell ref="G207:G208"/>
    <mergeCell ref="H207:H208"/>
    <mergeCell ref="G225:G226"/>
    <mergeCell ref="G229:G230"/>
    <mergeCell ref="B229:F230"/>
    <mergeCell ref="B233:F234"/>
    <mergeCell ref="G323:G324"/>
    <mergeCell ref="H323:H324"/>
    <mergeCell ref="I323:I324"/>
    <mergeCell ref="J323:J324"/>
    <mergeCell ref="H197:H198"/>
    <mergeCell ref="B215:F216"/>
    <mergeCell ref="B213:F214"/>
    <mergeCell ref="B211:F212"/>
    <mergeCell ref="B301:F302"/>
    <mergeCell ref="H331:H332"/>
    <mergeCell ref="J319:J320"/>
    <mergeCell ref="H319:H320"/>
    <mergeCell ref="B323:F324"/>
    <mergeCell ref="H313:H314"/>
    <mergeCell ref="K205:K206"/>
    <mergeCell ref="K207:K208"/>
    <mergeCell ref="B205:F206"/>
    <mergeCell ref="J211:J212"/>
    <mergeCell ref="H201:H202"/>
    <mergeCell ref="J201:J202"/>
    <mergeCell ref="J197:J198"/>
    <mergeCell ref="B203:F204"/>
    <mergeCell ref="G199:G200"/>
    <mergeCell ref="H317:H318"/>
    <mergeCell ref="J207:J208"/>
    <mergeCell ref="K199:K200"/>
    <mergeCell ref="K227:K228"/>
    <mergeCell ref="H227:H228"/>
    <mergeCell ref="J223:J224"/>
    <mergeCell ref="I217:I218"/>
    <mergeCell ref="I201:I202"/>
    <mergeCell ref="K203:K204"/>
    <mergeCell ref="K211:K212"/>
    <mergeCell ref="G219:G220"/>
    <mergeCell ref="K201:K202"/>
    <mergeCell ref="G211:G212"/>
    <mergeCell ref="I221:I222"/>
    <mergeCell ref="H219:H220"/>
    <mergeCell ref="H223:H224"/>
    <mergeCell ref="G311:G312"/>
    <mergeCell ref="J205:J206"/>
    <mergeCell ref="H213:H214"/>
    <mergeCell ref="G187:G188"/>
    <mergeCell ref="H297:H298"/>
    <mergeCell ref="I301:I302"/>
    <mergeCell ref="H275:H276"/>
    <mergeCell ref="B287:F288"/>
    <mergeCell ref="B299:F300"/>
    <mergeCell ref="H187:H188"/>
    <mergeCell ref="G183:G184"/>
    <mergeCell ref="H185:H186"/>
    <mergeCell ref="B191:F192"/>
    <mergeCell ref="G191:G192"/>
    <mergeCell ref="H199:H200"/>
    <mergeCell ref="I191:I192"/>
    <mergeCell ref="J191:J192"/>
    <mergeCell ref="G209:G210"/>
    <mergeCell ref="H311:H312"/>
    <mergeCell ref="J185:J186"/>
    <mergeCell ref="G301:G302"/>
    <mergeCell ref="H183:H184"/>
    <mergeCell ref="J289:J290"/>
    <mergeCell ref="G277:G278"/>
    <mergeCell ref="I185:I186"/>
    <mergeCell ref="G197:G198"/>
    <mergeCell ref="J225:J226"/>
    <mergeCell ref="B197:F198"/>
    <mergeCell ref="I189:I190"/>
    <mergeCell ref="G193:G194"/>
    <mergeCell ref="I309:I310"/>
    <mergeCell ref="B185:F186"/>
    <mergeCell ref="B209:F210"/>
    <mergeCell ref="J189:J190"/>
    <mergeCell ref="B297:F298"/>
    <mergeCell ref="K189:K190"/>
    <mergeCell ref="K197:K198"/>
    <mergeCell ref="K195:K196"/>
    <mergeCell ref="H189:H190"/>
    <mergeCell ref="B243:F244"/>
    <mergeCell ref="G243:G244"/>
    <mergeCell ref="B219:F220"/>
    <mergeCell ref="I211:I212"/>
    <mergeCell ref="H209:H210"/>
    <mergeCell ref="B199:F200"/>
    <mergeCell ref="K193:K194"/>
    <mergeCell ref="B201:F202"/>
    <mergeCell ref="I199:I200"/>
    <mergeCell ref="J199:J200"/>
    <mergeCell ref="I197:I198"/>
    <mergeCell ref="G203:G204"/>
    <mergeCell ref="H203:H204"/>
    <mergeCell ref="I203:I204"/>
    <mergeCell ref="I207:I208"/>
    <mergeCell ref="J229:J230"/>
    <mergeCell ref="J203:J204"/>
    <mergeCell ref="I205:I206"/>
    <mergeCell ref="I215:I216"/>
    <mergeCell ref="H211:H212"/>
    <mergeCell ref="K191:K192"/>
    <mergeCell ref="H193:H194"/>
    <mergeCell ref="G167:G168"/>
    <mergeCell ref="B157:F158"/>
    <mergeCell ref="G159:G160"/>
    <mergeCell ref="K157:K158"/>
    <mergeCell ref="B165:F166"/>
    <mergeCell ref="K179:K180"/>
    <mergeCell ref="K163:K164"/>
    <mergeCell ref="I167:I168"/>
    <mergeCell ref="J183:J184"/>
    <mergeCell ref="J181:J182"/>
    <mergeCell ref="G181:G182"/>
    <mergeCell ref="K171:K172"/>
    <mergeCell ref="K177:K178"/>
    <mergeCell ref="I171:I172"/>
    <mergeCell ref="I173:I174"/>
    <mergeCell ref="H177:H178"/>
    <mergeCell ref="I177:I178"/>
    <mergeCell ref="B173:F174"/>
    <mergeCell ref="K183:K184"/>
    <mergeCell ref="I169:I170"/>
    <mergeCell ref="H171:H172"/>
    <mergeCell ref="B181:F182"/>
    <mergeCell ref="B179:F180"/>
    <mergeCell ref="J159:J160"/>
    <mergeCell ref="J161:J162"/>
    <mergeCell ref="J173:J174"/>
    <mergeCell ref="H173:H174"/>
    <mergeCell ref="K173:K174"/>
    <mergeCell ref="B171:F172"/>
    <mergeCell ref="I183:I184"/>
    <mergeCell ref="B183:F184"/>
    <mergeCell ref="J131:J132"/>
    <mergeCell ref="K169:K170"/>
    <mergeCell ref="K153:K154"/>
    <mergeCell ref="J147:J148"/>
    <mergeCell ref="H141:H142"/>
    <mergeCell ref="K139:K140"/>
    <mergeCell ref="H155:H156"/>
    <mergeCell ref="J143:J144"/>
    <mergeCell ref="H165:H166"/>
    <mergeCell ref="I147:I148"/>
    <mergeCell ref="H149:H150"/>
    <mergeCell ref="K145:K146"/>
    <mergeCell ref="K143:K144"/>
    <mergeCell ref="H181:H182"/>
    <mergeCell ref="G171:G172"/>
    <mergeCell ref="G175:G176"/>
    <mergeCell ref="L137:L138"/>
    <mergeCell ref="K149:K150"/>
    <mergeCell ref="H167:H168"/>
    <mergeCell ref="J167:J168"/>
    <mergeCell ref="K151:K152"/>
    <mergeCell ref="K161:K162"/>
    <mergeCell ref="K167:K168"/>
    <mergeCell ref="G151:G152"/>
    <mergeCell ref="I149:I150"/>
    <mergeCell ref="I161:I162"/>
    <mergeCell ref="H153:H154"/>
    <mergeCell ref="G145:G146"/>
    <mergeCell ref="H145:H146"/>
    <mergeCell ref="G149:G150"/>
    <mergeCell ref="I159:I160"/>
    <mergeCell ref="K165:K166"/>
    <mergeCell ref="B135:F136"/>
    <mergeCell ref="B137:F138"/>
    <mergeCell ref="H137:H138"/>
    <mergeCell ref="B129:F130"/>
    <mergeCell ref="K131:K132"/>
    <mergeCell ref="I137:I138"/>
    <mergeCell ref="L143:L144"/>
    <mergeCell ref="L121:L122"/>
    <mergeCell ref="J133:J134"/>
    <mergeCell ref="G143:G144"/>
    <mergeCell ref="H143:H144"/>
    <mergeCell ref="I143:I144"/>
    <mergeCell ref="H131:H132"/>
    <mergeCell ref="G139:G140"/>
    <mergeCell ref="L135:L136"/>
    <mergeCell ref="G135:G136"/>
    <mergeCell ref="H135:H136"/>
    <mergeCell ref="I135:I136"/>
    <mergeCell ref="J135:J136"/>
    <mergeCell ref="K135:K136"/>
    <mergeCell ref="K137:K138"/>
    <mergeCell ref="L139:L140"/>
    <mergeCell ref="H129:H130"/>
    <mergeCell ref="L131:L132"/>
    <mergeCell ref="I131:I132"/>
    <mergeCell ref="G141:G142"/>
    <mergeCell ref="G131:G132"/>
    <mergeCell ref="K141:K142"/>
    <mergeCell ref="K133:K134"/>
    <mergeCell ref="H133:H134"/>
    <mergeCell ref="J141:J142"/>
    <mergeCell ref="I133:I134"/>
    <mergeCell ref="B123:F124"/>
    <mergeCell ref="B115:F116"/>
    <mergeCell ref="J115:J116"/>
    <mergeCell ref="K115:K116"/>
    <mergeCell ref="L115:L116"/>
    <mergeCell ref="L119:L120"/>
    <mergeCell ref="K119:K120"/>
    <mergeCell ref="L127:L128"/>
    <mergeCell ref="K127:K128"/>
    <mergeCell ref="I125:I126"/>
    <mergeCell ref="J119:J120"/>
    <mergeCell ref="G129:G130"/>
    <mergeCell ref="I127:I128"/>
    <mergeCell ref="J127:J128"/>
    <mergeCell ref="H119:H120"/>
    <mergeCell ref="I119:I120"/>
    <mergeCell ref="J129:J130"/>
    <mergeCell ref="I129:I130"/>
    <mergeCell ref="K129:K130"/>
    <mergeCell ref="H127:H128"/>
    <mergeCell ref="K121:K122"/>
    <mergeCell ref="L129:L130"/>
    <mergeCell ref="B125:F126"/>
    <mergeCell ref="H121:H122"/>
    <mergeCell ref="G125:G126"/>
    <mergeCell ref="H125:H126"/>
    <mergeCell ref="G127:G128"/>
    <mergeCell ref="J125:J126"/>
    <mergeCell ref="K123:K124"/>
    <mergeCell ref="L117:L118"/>
    <mergeCell ref="G115:G116"/>
    <mergeCell ref="H115:H116"/>
    <mergeCell ref="I115:I116"/>
    <mergeCell ref="J109:J110"/>
    <mergeCell ref="K109:K110"/>
    <mergeCell ref="L109:L110"/>
    <mergeCell ref="J113:J114"/>
    <mergeCell ref="G111:G112"/>
    <mergeCell ref="H111:H112"/>
    <mergeCell ref="I111:I112"/>
    <mergeCell ref="J111:J112"/>
    <mergeCell ref="G113:G114"/>
    <mergeCell ref="H113:H114"/>
    <mergeCell ref="L125:L126"/>
    <mergeCell ref="L111:L112"/>
    <mergeCell ref="B111:F112"/>
    <mergeCell ref="B113:F114"/>
    <mergeCell ref="K113:K114"/>
    <mergeCell ref="L101:L102"/>
    <mergeCell ref="B103:F104"/>
    <mergeCell ref="G103:G104"/>
    <mergeCell ref="H103:H104"/>
    <mergeCell ref="I103:I104"/>
    <mergeCell ref="J103:J104"/>
    <mergeCell ref="K103:K104"/>
    <mergeCell ref="L103:L104"/>
    <mergeCell ref="B101:F102"/>
    <mergeCell ref="G101:G102"/>
    <mergeCell ref="H101:H102"/>
    <mergeCell ref="I101:I102"/>
    <mergeCell ref="L107:L108"/>
    <mergeCell ref="B105:F106"/>
    <mergeCell ref="G105:G106"/>
    <mergeCell ref="H105:H106"/>
    <mergeCell ref="I105:I106"/>
    <mergeCell ref="J105:J106"/>
    <mergeCell ref="L105:L106"/>
    <mergeCell ref="J107:J108"/>
    <mergeCell ref="L113:L114"/>
    <mergeCell ref="B109:F110"/>
    <mergeCell ref="G109:G110"/>
    <mergeCell ref="H109:H110"/>
    <mergeCell ref="K107:K108"/>
    <mergeCell ref="B117:F118"/>
    <mergeCell ref="G117:G118"/>
    <mergeCell ref="H117:H118"/>
    <mergeCell ref="I117:I118"/>
    <mergeCell ref="J117:J118"/>
    <mergeCell ref="K117:K118"/>
    <mergeCell ref="K97:K98"/>
    <mergeCell ref="J101:J102"/>
    <mergeCell ref="K101:K102"/>
    <mergeCell ref="K99:K100"/>
    <mergeCell ref="B97:F98"/>
    <mergeCell ref="G97:G98"/>
    <mergeCell ref="H97:H98"/>
    <mergeCell ref="I97:I98"/>
    <mergeCell ref="J97:J98"/>
    <mergeCell ref="K93:K94"/>
    <mergeCell ref="K105:K106"/>
    <mergeCell ref="B107:F108"/>
    <mergeCell ref="G107:G108"/>
    <mergeCell ref="H107:H108"/>
    <mergeCell ref="I107:I108"/>
    <mergeCell ref="J99:J100"/>
    <mergeCell ref="I109:I110"/>
    <mergeCell ref="K111:K112"/>
    <mergeCell ref="K95:K96"/>
    <mergeCell ref="B93:F94"/>
    <mergeCell ref="G93:G94"/>
    <mergeCell ref="H93:H94"/>
    <mergeCell ref="K9:K10"/>
    <mergeCell ref="K15:K16"/>
    <mergeCell ref="G81:G82"/>
    <mergeCell ref="K79:K80"/>
    <mergeCell ref="K89:K90"/>
    <mergeCell ref="B91:F92"/>
    <mergeCell ref="B89:F90"/>
    <mergeCell ref="G89:G90"/>
    <mergeCell ref="H89:H90"/>
    <mergeCell ref="I89:I90"/>
    <mergeCell ref="J89:J90"/>
    <mergeCell ref="K81:K82"/>
    <mergeCell ref="B83:F84"/>
    <mergeCell ref="G83:G84"/>
    <mergeCell ref="K83:K84"/>
    <mergeCell ref="B81:F82"/>
    <mergeCell ref="I83:I84"/>
    <mergeCell ref="H79:H80"/>
    <mergeCell ref="I79:I80"/>
    <mergeCell ref="J79:J80"/>
    <mergeCell ref="B85:F86"/>
    <mergeCell ref="G85:G86"/>
    <mergeCell ref="H85:H86"/>
    <mergeCell ref="I85:I86"/>
    <mergeCell ref="J85:J86"/>
    <mergeCell ref="K85:K86"/>
    <mergeCell ref="I87:I88"/>
    <mergeCell ref="J87:J88"/>
    <mergeCell ref="K87:K88"/>
    <mergeCell ref="I91:I92"/>
    <mergeCell ref="J91:J92"/>
    <mergeCell ref="K31:K32"/>
    <mergeCell ref="B27:F28"/>
    <mergeCell ref="J21:J22"/>
    <mergeCell ref="K21:K22"/>
    <mergeCell ref="B19:F20"/>
    <mergeCell ref="G19:G20"/>
    <mergeCell ref="H19:H20"/>
    <mergeCell ref="I19:I20"/>
    <mergeCell ref="J19:J20"/>
    <mergeCell ref="B29:F30"/>
    <mergeCell ref="G29:G30"/>
    <mergeCell ref="K25:K26"/>
    <mergeCell ref="I29:I30"/>
    <mergeCell ref="J29:J30"/>
    <mergeCell ref="K29:K30"/>
    <mergeCell ref="B23:F24"/>
    <mergeCell ref="G23:G24"/>
    <mergeCell ref="H23:H24"/>
    <mergeCell ref="I23:I24"/>
    <mergeCell ref="B21:F22"/>
    <mergeCell ref="I25:I26"/>
    <mergeCell ref="G27:G28"/>
    <mergeCell ref="H29:H30"/>
    <mergeCell ref="J37:J38"/>
    <mergeCell ref="H27:H28"/>
    <mergeCell ref="I27:I28"/>
    <mergeCell ref="B67:F68"/>
    <mergeCell ref="I39:I40"/>
    <mergeCell ref="J39:J40"/>
    <mergeCell ref="B47:F48"/>
    <mergeCell ref="G47:G48"/>
    <mergeCell ref="H47:H48"/>
    <mergeCell ref="I47:I48"/>
    <mergeCell ref="J47:J48"/>
    <mergeCell ref="I55:I56"/>
    <mergeCell ref="J55:J56"/>
    <mergeCell ref="H51:H52"/>
    <mergeCell ref="I31:I32"/>
    <mergeCell ref="H57:H58"/>
    <mergeCell ref="H59:H60"/>
    <mergeCell ref="I59:I60"/>
    <mergeCell ref="J59:J60"/>
    <mergeCell ref="B53:F54"/>
    <mergeCell ref="G53:G54"/>
    <mergeCell ref="H53:H54"/>
    <mergeCell ref="I53:I54"/>
    <mergeCell ref="I51:I52"/>
    <mergeCell ref="I33:I34"/>
    <mergeCell ref="B55:F56"/>
    <mergeCell ref="J45:J46"/>
    <mergeCell ref="G33:G34"/>
    <mergeCell ref="B37:F38"/>
    <mergeCell ref="G37:G38"/>
    <mergeCell ref="J31:J32"/>
    <mergeCell ref="C3:J5"/>
    <mergeCell ref="C6:J7"/>
    <mergeCell ref="B9:F10"/>
    <mergeCell ref="G9:G10"/>
    <mergeCell ref="H9:H10"/>
    <mergeCell ref="I9:I10"/>
    <mergeCell ref="B13:F14"/>
    <mergeCell ref="G13:G14"/>
    <mergeCell ref="H13:H14"/>
    <mergeCell ref="I13:I14"/>
    <mergeCell ref="J13:J14"/>
    <mergeCell ref="K27:K28"/>
    <mergeCell ref="B31:F32"/>
    <mergeCell ref="G31:G32"/>
    <mergeCell ref="H31:H32"/>
    <mergeCell ref="K33:K34"/>
    <mergeCell ref="B35:F36"/>
    <mergeCell ref="G35:G36"/>
    <mergeCell ref="J27:J28"/>
    <mergeCell ref="H21:H22"/>
    <mergeCell ref="I21:I22"/>
    <mergeCell ref="B33:F34"/>
    <mergeCell ref="J23:J24"/>
    <mergeCell ref="J33:J34"/>
    <mergeCell ref="J35:J36"/>
    <mergeCell ref="K35:K36"/>
    <mergeCell ref="G21:G22"/>
    <mergeCell ref="H25:H26"/>
    <mergeCell ref="H33:H34"/>
    <mergeCell ref="K13:K14"/>
    <mergeCell ref="B11:F12"/>
    <mergeCell ref="J9:J10"/>
    <mergeCell ref="H49:H50"/>
    <mergeCell ref="B49:F50"/>
    <mergeCell ref="G49:G50"/>
    <mergeCell ref="B75:F76"/>
    <mergeCell ref="H55:H56"/>
    <mergeCell ref="J95:J96"/>
    <mergeCell ref="B65:F66"/>
    <mergeCell ref="G73:G74"/>
    <mergeCell ref="H73:H74"/>
    <mergeCell ref="I73:I74"/>
    <mergeCell ref="J73:J74"/>
    <mergeCell ref="B87:F88"/>
    <mergeCell ref="B61:F62"/>
    <mergeCell ref="G61:G62"/>
    <mergeCell ref="H61:H62"/>
    <mergeCell ref="I61:I62"/>
    <mergeCell ref="J61:J62"/>
    <mergeCell ref="B59:F60"/>
    <mergeCell ref="G59:G60"/>
    <mergeCell ref="B63:F64"/>
    <mergeCell ref="J53:J54"/>
    <mergeCell ref="G57:G58"/>
    <mergeCell ref="G55:G56"/>
    <mergeCell ref="I57:I58"/>
    <mergeCell ref="I93:I94"/>
    <mergeCell ref="J93:J94"/>
    <mergeCell ref="B43:F44"/>
    <mergeCell ref="B71:F72"/>
    <mergeCell ref="K47:K48"/>
    <mergeCell ref="J65:J66"/>
    <mergeCell ref="H65:H66"/>
    <mergeCell ref="I65:I66"/>
    <mergeCell ref="H63:H64"/>
    <mergeCell ref="I63:I64"/>
    <mergeCell ref="J63:J64"/>
    <mergeCell ref="J83:J84"/>
    <mergeCell ref="I95:I96"/>
    <mergeCell ref="K61:K62"/>
    <mergeCell ref="K63:K64"/>
    <mergeCell ref="K73:K74"/>
    <mergeCell ref="J81:J82"/>
    <mergeCell ref="G91:G92"/>
    <mergeCell ref="H91:H92"/>
    <mergeCell ref="H81:H82"/>
    <mergeCell ref="I81:I82"/>
    <mergeCell ref="G63:G64"/>
    <mergeCell ref="K91:K92"/>
    <mergeCell ref="G77:G78"/>
    <mergeCell ref="H77:H78"/>
    <mergeCell ref="I77:I78"/>
    <mergeCell ref="J77:J78"/>
    <mergeCell ref="G71:G72"/>
    <mergeCell ref="H71:H72"/>
    <mergeCell ref="I71:I72"/>
    <mergeCell ref="J71:J72"/>
    <mergeCell ref="B57:F58"/>
    <mergeCell ref="K57:K58"/>
    <mergeCell ref="K55:K56"/>
    <mergeCell ref="K71:K72"/>
    <mergeCell ref="B69:F70"/>
    <mergeCell ref="G69:G70"/>
    <mergeCell ref="H69:H70"/>
    <mergeCell ref="I69:I70"/>
    <mergeCell ref="J69:J70"/>
    <mergeCell ref="B77:F78"/>
    <mergeCell ref="B95:F96"/>
    <mergeCell ref="G95:G96"/>
    <mergeCell ref="H95:H96"/>
    <mergeCell ref="G87:G88"/>
    <mergeCell ref="H87:H88"/>
    <mergeCell ref="K75:K76"/>
    <mergeCell ref="K77:K78"/>
    <mergeCell ref="H75:H76"/>
    <mergeCell ref="I75:I76"/>
    <mergeCell ref="J75:J76"/>
    <mergeCell ref="K37:K38"/>
    <mergeCell ref="K17:K18"/>
    <mergeCell ref="B15:F16"/>
    <mergeCell ref="B131:F132"/>
    <mergeCell ref="G15:G16"/>
    <mergeCell ref="H15:H16"/>
    <mergeCell ref="I15:I16"/>
    <mergeCell ref="J15:J16"/>
    <mergeCell ref="I41:I42"/>
    <mergeCell ref="J41:J42"/>
    <mergeCell ref="K41:K42"/>
    <mergeCell ref="B39:F40"/>
    <mergeCell ref="H37:H38"/>
    <mergeCell ref="K23:K24"/>
    <mergeCell ref="B25:F26"/>
    <mergeCell ref="G25:G26"/>
    <mergeCell ref="B17:F18"/>
    <mergeCell ref="G17:G18"/>
    <mergeCell ref="H17:H18"/>
    <mergeCell ref="I17:I18"/>
    <mergeCell ref="J17:J18"/>
    <mergeCell ref="B41:F42"/>
    <mergeCell ref="G41:G42"/>
    <mergeCell ref="H41:H42"/>
    <mergeCell ref="J25:J26"/>
    <mergeCell ref="H35:H36"/>
    <mergeCell ref="I35:I36"/>
    <mergeCell ref="K19:K20"/>
    <mergeCell ref="I37:I38"/>
    <mergeCell ref="K67:K68"/>
    <mergeCell ref="K69:K70"/>
    <mergeCell ref="K65:K66"/>
    <mergeCell ref="K39:K40"/>
    <mergeCell ref="H43:H44"/>
    <mergeCell ref="H83:H84"/>
    <mergeCell ref="J43:J44"/>
    <mergeCell ref="I113:I114"/>
    <mergeCell ref="K49:K50"/>
    <mergeCell ref="K43:K44"/>
    <mergeCell ref="I43:I44"/>
    <mergeCell ref="B119:F120"/>
    <mergeCell ref="G137:G138"/>
    <mergeCell ref="B127:F128"/>
    <mergeCell ref="B133:F134"/>
    <mergeCell ref="G133:G134"/>
    <mergeCell ref="G39:G40"/>
    <mergeCell ref="H39:H40"/>
    <mergeCell ref="B121:F122"/>
    <mergeCell ref="G121:G122"/>
    <mergeCell ref="K125:K126"/>
    <mergeCell ref="I121:I122"/>
    <mergeCell ref="J121:J122"/>
    <mergeCell ref="G43:G44"/>
    <mergeCell ref="B99:F100"/>
    <mergeCell ref="G99:G100"/>
    <mergeCell ref="H99:H100"/>
    <mergeCell ref="I99:I100"/>
    <mergeCell ref="G65:G66"/>
    <mergeCell ref="K45:K46"/>
    <mergeCell ref="I49:I50"/>
    <mergeCell ref="K53:K54"/>
    <mergeCell ref="B51:F52"/>
    <mergeCell ref="B45:F46"/>
    <mergeCell ref="G45:G46"/>
    <mergeCell ref="J165:J166"/>
    <mergeCell ref="J137:J138"/>
    <mergeCell ref="B149:F150"/>
    <mergeCell ref="B141:F142"/>
    <mergeCell ref="J153:J154"/>
    <mergeCell ref="G153:G154"/>
    <mergeCell ref="J151:J152"/>
    <mergeCell ref="H151:H152"/>
    <mergeCell ref="I155:I156"/>
    <mergeCell ref="J155:J156"/>
    <mergeCell ref="J157:J158"/>
    <mergeCell ref="B151:F152"/>
    <mergeCell ref="B153:F154"/>
    <mergeCell ref="B161:F162"/>
    <mergeCell ref="G161:G162"/>
    <mergeCell ref="I145:I146"/>
    <mergeCell ref="J145:J146"/>
    <mergeCell ref="I153:I154"/>
    <mergeCell ref="I163:I164"/>
    <mergeCell ref="I141:I142"/>
    <mergeCell ref="G165:G166"/>
    <mergeCell ref="H163:H164"/>
    <mergeCell ref="H45:H46"/>
    <mergeCell ref="I45:I46"/>
    <mergeCell ref="J49:J50"/>
    <mergeCell ref="B79:F80"/>
    <mergeCell ref="G79:G80"/>
    <mergeCell ref="K147:K148"/>
    <mergeCell ref="K159:K160"/>
    <mergeCell ref="I151:I152"/>
    <mergeCell ref="B147:F148"/>
    <mergeCell ref="G147:G148"/>
    <mergeCell ref="H147:H148"/>
    <mergeCell ref="B145:F146"/>
    <mergeCell ref="K155:K156"/>
    <mergeCell ref="J149:J150"/>
    <mergeCell ref="B155:F156"/>
    <mergeCell ref="H159:H160"/>
    <mergeCell ref="G157:G158"/>
    <mergeCell ref="H157:H158"/>
    <mergeCell ref="I157:I158"/>
    <mergeCell ref="B139:F140"/>
    <mergeCell ref="H139:H140"/>
    <mergeCell ref="I139:I140"/>
    <mergeCell ref="J139:J140"/>
    <mergeCell ref="K51:K52"/>
    <mergeCell ref="G119:G120"/>
    <mergeCell ref="G51:G52"/>
    <mergeCell ref="J57:J58"/>
    <mergeCell ref="B143:F144"/>
    <mergeCell ref="J51:J52"/>
    <mergeCell ref="K59:K60"/>
    <mergeCell ref="G75:G76"/>
    <mergeCell ref="B73:F74"/>
    <mergeCell ref="B169:F170"/>
    <mergeCell ref="G173:G174"/>
    <mergeCell ref="G189:G190"/>
    <mergeCell ref="B189:F190"/>
    <mergeCell ref="B195:F196"/>
    <mergeCell ref="J193:J194"/>
    <mergeCell ref="B193:F194"/>
    <mergeCell ref="J163:J164"/>
    <mergeCell ref="H161:H162"/>
    <mergeCell ref="J169:J170"/>
    <mergeCell ref="G155:G156"/>
    <mergeCell ref="H169:H170"/>
    <mergeCell ref="J171:J172"/>
    <mergeCell ref="B177:F178"/>
    <mergeCell ref="J187:J188"/>
    <mergeCell ref="I175:I176"/>
    <mergeCell ref="J175:J176"/>
    <mergeCell ref="H191:H192"/>
    <mergeCell ref="I181:I182"/>
    <mergeCell ref="B187:F188"/>
    <mergeCell ref="I187:I188"/>
    <mergeCell ref="G177:G178"/>
    <mergeCell ref="B175:F176"/>
    <mergeCell ref="G195:G196"/>
    <mergeCell ref="B159:F160"/>
    <mergeCell ref="B163:F164"/>
    <mergeCell ref="J177:J178"/>
    <mergeCell ref="B167:F168"/>
    <mergeCell ref="G169:G170"/>
    <mergeCell ref="G163:G164"/>
    <mergeCell ref="H175:H176"/>
    <mergeCell ref="I165:I166"/>
    <mergeCell ref="B221:F222"/>
    <mergeCell ref="G221:G222"/>
    <mergeCell ref="G227:G228"/>
    <mergeCell ref="B217:F218"/>
    <mergeCell ref="K221:K222"/>
    <mergeCell ref="K219:K220"/>
    <mergeCell ref="I225:I226"/>
    <mergeCell ref="I227:I228"/>
    <mergeCell ref="H221:H222"/>
    <mergeCell ref="K213:K214"/>
    <mergeCell ref="H215:H216"/>
    <mergeCell ref="K215:K216"/>
    <mergeCell ref="H217:H218"/>
    <mergeCell ref="K223:K224"/>
    <mergeCell ref="J213:J214"/>
    <mergeCell ref="I213:I214"/>
    <mergeCell ref="J217:J218"/>
    <mergeCell ref="K217:K218"/>
    <mergeCell ref="I223:I224"/>
    <mergeCell ref="B225:F226"/>
    <mergeCell ref="B227:F228"/>
    <mergeCell ref="B223:F224"/>
    <mergeCell ref="H225:H226"/>
    <mergeCell ref="G217:G218"/>
    <mergeCell ref="G215:G216"/>
    <mergeCell ref="G223:G224"/>
    <mergeCell ref="G213:G214"/>
    <mergeCell ref="J231:J232"/>
    <mergeCell ref="I231:I232"/>
    <mergeCell ref="J227:J228"/>
    <mergeCell ref="J221:J222"/>
    <mergeCell ref="G239:G240"/>
    <mergeCell ref="G241:G242"/>
    <mergeCell ref="K229:K230"/>
    <mergeCell ref="K225:K226"/>
    <mergeCell ref="J215:J216"/>
    <mergeCell ref="K233:K234"/>
    <mergeCell ref="H229:H230"/>
    <mergeCell ref="K231:K232"/>
    <mergeCell ref="I229:I230"/>
    <mergeCell ref="J219:J220"/>
    <mergeCell ref="I219:I220"/>
    <mergeCell ref="H231:H232"/>
    <mergeCell ref="K175:K176"/>
    <mergeCell ref="K185:K186"/>
    <mergeCell ref="K181:K182"/>
    <mergeCell ref="I209:I210"/>
    <mergeCell ref="G205:G206"/>
    <mergeCell ref="J209:J210"/>
    <mergeCell ref="H205:H206"/>
    <mergeCell ref="K187:K188"/>
    <mergeCell ref="K235:K236"/>
    <mergeCell ref="K209:K210"/>
    <mergeCell ref="H195:H196"/>
    <mergeCell ref="I193:I194"/>
    <mergeCell ref="G185:G186"/>
    <mergeCell ref="B231:F232"/>
    <mergeCell ref="G231:G232"/>
    <mergeCell ref="B251:F252"/>
    <mergeCell ref="B253:F254"/>
    <mergeCell ref="B245:F246"/>
    <mergeCell ref="I245:I246"/>
    <mergeCell ref="G233:G234"/>
    <mergeCell ref="J239:J240"/>
    <mergeCell ref="G245:G246"/>
    <mergeCell ref="G237:G238"/>
    <mergeCell ref="B249:F250"/>
    <mergeCell ref="G249:G250"/>
    <mergeCell ref="J245:J246"/>
    <mergeCell ref="I243:I244"/>
    <mergeCell ref="B235:F236"/>
    <mergeCell ref="B237:F238"/>
    <mergeCell ref="B291:F292"/>
    <mergeCell ref="I285:I286"/>
    <mergeCell ref="B283:F284"/>
    <mergeCell ref="G259:G260"/>
    <mergeCell ref="H255:H256"/>
    <mergeCell ref="I255:I256"/>
    <mergeCell ref="J255:J256"/>
    <mergeCell ref="G255:G256"/>
    <mergeCell ref="H261:H262"/>
    <mergeCell ref="J265:J266"/>
    <mergeCell ref="I271:I272"/>
    <mergeCell ref="I263:I264"/>
    <mergeCell ref="G263:G264"/>
    <mergeCell ref="H263:H264"/>
    <mergeCell ref="B281:F282"/>
    <mergeCell ref="G281:G282"/>
    <mergeCell ref="B247:F248"/>
    <mergeCell ref="B239:F240"/>
    <mergeCell ref="B263:F264"/>
    <mergeCell ref="J259:J260"/>
    <mergeCell ref="J263:J264"/>
    <mergeCell ref="H257:H258"/>
    <mergeCell ref="B241:F242"/>
    <mergeCell ref="G247:G248"/>
    <mergeCell ref="B285:F286"/>
    <mergeCell ref="G273:G274"/>
    <mergeCell ref="B257:F258"/>
    <mergeCell ref="B275:F276"/>
    <mergeCell ref="I277:I278"/>
    <mergeCell ref="G275:G276"/>
    <mergeCell ref="J283:J284"/>
    <mergeCell ref="B277:F278"/>
    <mergeCell ref="G283:G284"/>
    <mergeCell ref="B271:F272"/>
    <mergeCell ref="J269:J270"/>
    <mergeCell ref="H281:H282"/>
    <mergeCell ref="I281:I282"/>
    <mergeCell ref="J281:J282"/>
    <mergeCell ref="G257:G258"/>
    <mergeCell ref="G271:G272"/>
    <mergeCell ref="B255:F256"/>
    <mergeCell ref="H269:H270"/>
    <mergeCell ref="I269:I270"/>
    <mergeCell ref="J243:J244"/>
    <mergeCell ref="H243:H244"/>
    <mergeCell ref="H245:H246"/>
    <mergeCell ref="G251:G252"/>
    <mergeCell ref="I257:I258"/>
    <mergeCell ref="K251:K252"/>
    <mergeCell ref="K245:K246"/>
    <mergeCell ref="H249:H250"/>
    <mergeCell ref="I249:I250"/>
    <mergeCell ref="K237:K238"/>
    <mergeCell ref="K241:K242"/>
    <mergeCell ref="J241:J242"/>
    <mergeCell ref="J237:J238"/>
    <mergeCell ref="I251:I252"/>
    <mergeCell ref="H247:H248"/>
    <mergeCell ref="J247:J248"/>
    <mergeCell ref="H253:H254"/>
    <mergeCell ref="G253:G254"/>
    <mergeCell ref="J233:J234"/>
    <mergeCell ref="I233:I234"/>
    <mergeCell ref="H239:H240"/>
    <mergeCell ref="J253:J254"/>
    <mergeCell ref="H237:H238"/>
    <mergeCell ref="I237:I238"/>
    <mergeCell ref="I241:I242"/>
    <mergeCell ref="J251:J252"/>
    <mergeCell ref="J249:J250"/>
    <mergeCell ref="K243:K244"/>
    <mergeCell ref="K239:K240"/>
    <mergeCell ref="H233:H234"/>
    <mergeCell ref="B261:F262"/>
    <mergeCell ref="G261:G262"/>
    <mergeCell ref="B273:F274"/>
    <mergeCell ref="K257:K258"/>
    <mergeCell ref="K267:K268"/>
    <mergeCell ref="H267:H268"/>
    <mergeCell ref="I261:I262"/>
    <mergeCell ref="G265:G266"/>
    <mergeCell ref="G269:G270"/>
    <mergeCell ref="B267:F268"/>
    <mergeCell ref="G267:G268"/>
    <mergeCell ref="H259:H260"/>
    <mergeCell ref="B269:F270"/>
    <mergeCell ref="B265:F266"/>
    <mergeCell ref="B259:F260"/>
    <mergeCell ref="H265:H266"/>
    <mergeCell ref="G285:G286"/>
    <mergeCell ref="J261:J262"/>
    <mergeCell ref="B279:F280"/>
    <mergeCell ref="G279:G280"/>
    <mergeCell ref="H279:H280"/>
    <mergeCell ref="I279:I280"/>
    <mergeCell ref="J279:J280"/>
    <mergeCell ref="K271:K272"/>
    <mergeCell ref="K269:K270"/>
    <mergeCell ref="J257:J258"/>
    <mergeCell ref="K319:K320"/>
    <mergeCell ref="K303:K304"/>
    <mergeCell ref="K335:K336"/>
    <mergeCell ref="J327:J328"/>
    <mergeCell ref="I319:I320"/>
    <mergeCell ref="I331:I332"/>
    <mergeCell ref="I311:I312"/>
    <mergeCell ref="J335:J336"/>
    <mergeCell ref="K313:K314"/>
    <mergeCell ref="I335:I336"/>
    <mergeCell ref="J309:J310"/>
    <mergeCell ref="K323:K324"/>
    <mergeCell ref="J339:J340"/>
    <mergeCell ref="K311:K312"/>
    <mergeCell ref="K355:K356"/>
    <mergeCell ref="K325:K326"/>
    <mergeCell ref="K307:K308"/>
    <mergeCell ref="K315:K316"/>
    <mergeCell ref="K329:K330"/>
    <mergeCell ref="J313:J314"/>
    <mergeCell ref="I329:I330"/>
    <mergeCell ref="J329:J330"/>
    <mergeCell ref="K351:K352"/>
    <mergeCell ref="G337:G338"/>
    <mergeCell ref="I343:I344"/>
    <mergeCell ref="G373:G374"/>
    <mergeCell ref="K377:K378"/>
    <mergeCell ref="H377:H378"/>
    <mergeCell ref="J275:J276"/>
    <mergeCell ref="K357:K358"/>
    <mergeCell ref="H355:H356"/>
    <mergeCell ref="K327:K328"/>
    <mergeCell ref="I317:I318"/>
    <mergeCell ref="J317:J318"/>
    <mergeCell ref="K317:K318"/>
    <mergeCell ref="J307:J308"/>
    <mergeCell ref="H299:H300"/>
    <mergeCell ref="I299:I300"/>
    <mergeCell ref="J357:J358"/>
    <mergeCell ref="I307:I308"/>
    <mergeCell ref="G287:G288"/>
    <mergeCell ref="J285:J286"/>
    <mergeCell ref="J295:J296"/>
    <mergeCell ref="H287:H288"/>
    <mergeCell ref="H293:H294"/>
    <mergeCell ref="I361:I362"/>
    <mergeCell ref="J361:J362"/>
    <mergeCell ref="H363:H364"/>
    <mergeCell ref="H295:H296"/>
    <mergeCell ref="K295:K296"/>
    <mergeCell ref="J301:J302"/>
    <mergeCell ref="G293:G294"/>
    <mergeCell ref="G295:G296"/>
    <mergeCell ref="G299:G300"/>
    <mergeCell ref="I303:I304"/>
    <mergeCell ref="K259:K260"/>
    <mergeCell ref="I259:I260"/>
    <mergeCell ref="J293:J294"/>
    <mergeCell ref="I239:I240"/>
    <mergeCell ref="K247:K248"/>
    <mergeCell ref="K277:K278"/>
    <mergeCell ref="I289:I290"/>
    <mergeCell ref="J271:J272"/>
    <mergeCell ref="K291:K292"/>
    <mergeCell ref="K261:K262"/>
    <mergeCell ref="H285:H286"/>
    <mergeCell ref="I267:I268"/>
    <mergeCell ref="K281:K282"/>
    <mergeCell ref="K275:K276"/>
    <mergeCell ref="K287:K288"/>
    <mergeCell ref="J287:J288"/>
    <mergeCell ref="K289:K290"/>
    <mergeCell ref="K249:K250"/>
    <mergeCell ref="H241:H242"/>
    <mergeCell ref="I253:I254"/>
    <mergeCell ref="K253:K254"/>
    <mergeCell ref="H251:H252"/>
    <mergeCell ref="J277:J278"/>
    <mergeCell ref="K285:K286"/>
    <mergeCell ref="K293:K294"/>
    <mergeCell ref="K283:K284"/>
    <mergeCell ref="I273:I274"/>
    <mergeCell ref="K255:K256"/>
    <mergeCell ref="I247:I248"/>
    <mergeCell ref="K399:K400"/>
    <mergeCell ref="K359:K360"/>
    <mergeCell ref="K371:K372"/>
    <mergeCell ref="K369:K370"/>
    <mergeCell ref="K363:K364"/>
    <mergeCell ref="K397:K398"/>
    <mergeCell ref="H395:H396"/>
    <mergeCell ref="H387:H388"/>
    <mergeCell ref="K365:K366"/>
    <mergeCell ref="J371:J372"/>
    <mergeCell ref="J369:J370"/>
    <mergeCell ref="H375:H376"/>
    <mergeCell ref="H385:H386"/>
    <mergeCell ref="K381:K382"/>
    <mergeCell ref="K383:K384"/>
    <mergeCell ref="K393:K394"/>
    <mergeCell ref="K379:K380"/>
    <mergeCell ref="K367:K368"/>
    <mergeCell ref="I379:I380"/>
    <mergeCell ref="H361:H362"/>
    <mergeCell ref="I399:I400"/>
    <mergeCell ref="K387:K388"/>
    <mergeCell ref="K391:K392"/>
    <mergeCell ref="J375:J376"/>
    <mergeCell ref="I369:I370"/>
    <mergeCell ref="H393:H394"/>
    <mergeCell ref="K405:K406"/>
    <mergeCell ref="B407:F408"/>
    <mergeCell ref="K415:K416"/>
    <mergeCell ref="I415:I416"/>
    <mergeCell ref="J419:J420"/>
    <mergeCell ref="I421:I422"/>
    <mergeCell ref="J421:J422"/>
    <mergeCell ref="K411:K412"/>
    <mergeCell ref="H401:H402"/>
    <mergeCell ref="H405:H406"/>
    <mergeCell ref="B401:F402"/>
    <mergeCell ref="K421:K422"/>
    <mergeCell ref="G413:G414"/>
    <mergeCell ref="B421:F422"/>
    <mergeCell ref="J409:J410"/>
    <mergeCell ref="I401:I402"/>
    <mergeCell ref="H413:H414"/>
    <mergeCell ref="K403:K404"/>
    <mergeCell ref="J413:J414"/>
    <mergeCell ref="K401:K402"/>
    <mergeCell ref="G407:G408"/>
    <mergeCell ref="G405:G406"/>
    <mergeCell ref="I411:I412"/>
    <mergeCell ref="G411:G412"/>
    <mergeCell ref="I405:I406"/>
    <mergeCell ref="J405:J406"/>
    <mergeCell ref="B403:F404"/>
    <mergeCell ref="I393:I394"/>
    <mergeCell ref="I395:I396"/>
    <mergeCell ref="J397:J398"/>
    <mergeCell ref="B435:F436"/>
    <mergeCell ref="J415:J416"/>
    <mergeCell ref="H409:H410"/>
    <mergeCell ref="B427:F428"/>
    <mergeCell ref="B425:F426"/>
    <mergeCell ref="G425:G426"/>
    <mergeCell ref="G399:G400"/>
    <mergeCell ref="B429:F430"/>
    <mergeCell ref="I423:I424"/>
    <mergeCell ref="J417:J418"/>
    <mergeCell ref="I425:I426"/>
    <mergeCell ref="K433:K434"/>
    <mergeCell ref="K429:K430"/>
    <mergeCell ref="K417:K418"/>
    <mergeCell ref="K413:K414"/>
    <mergeCell ref="I419:I420"/>
    <mergeCell ref="I431:I432"/>
    <mergeCell ref="B413:F414"/>
    <mergeCell ref="I407:I408"/>
    <mergeCell ref="I409:I410"/>
    <mergeCell ref="J411:J412"/>
    <mergeCell ref="H407:H408"/>
    <mergeCell ref="I417:I418"/>
    <mergeCell ref="K409:K410"/>
    <mergeCell ref="J407:J408"/>
    <mergeCell ref="J399:J400"/>
    <mergeCell ref="G419:G420"/>
    <mergeCell ref="G401:G402"/>
    <mergeCell ref="K457:K458"/>
    <mergeCell ref="K445:K446"/>
    <mergeCell ref="H469:H470"/>
    <mergeCell ref="I469:I470"/>
    <mergeCell ref="B465:F466"/>
    <mergeCell ref="K467:K468"/>
    <mergeCell ref="J467:J468"/>
    <mergeCell ref="K461:K462"/>
    <mergeCell ref="I449:I450"/>
    <mergeCell ref="B461:F462"/>
    <mergeCell ref="G461:G462"/>
    <mergeCell ref="I463:I464"/>
    <mergeCell ref="J451:J452"/>
    <mergeCell ref="K469:K470"/>
    <mergeCell ref="K463:K464"/>
    <mergeCell ref="I465:I466"/>
    <mergeCell ref="B457:F458"/>
    <mergeCell ref="J463:J464"/>
    <mergeCell ref="J461:J462"/>
    <mergeCell ref="J447:J448"/>
    <mergeCell ref="B451:F452"/>
    <mergeCell ref="G449:G450"/>
    <mergeCell ref="B459:F460"/>
    <mergeCell ref="G463:G464"/>
    <mergeCell ref="H463:H464"/>
    <mergeCell ref="B463:F464"/>
    <mergeCell ref="G297:G298"/>
    <mergeCell ref="J305:J306"/>
    <mergeCell ref="K263:K264"/>
    <mergeCell ref="I265:I266"/>
    <mergeCell ref="K279:K280"/>
    <mergeCell ref="J267:J268"/>
    <mergeCell ref="I293:I294"/>
    <mergeCell ref="H289:H290"/>
    <mergeCell ref="H273:H274"/>
    <mergeCell ref="H271:H272"/>
    <mergeCell ref="K299:K300"/>
    <mergeCell ref="I295:I296"/>
    <mergeCell ref="J273:J274"/>
    <mergeCell ref="J299:J300"/>
    <mergeCell ref="K273:K274"/>
    <mergeCell ref="I275:I276"/>
    <mergeCell ref="H277:H278"/>
    <mergeCell ref="K265:K266"/>
    <mergeCell ref="H283:H284"/>
    <mergeCell ref="K301:K302"/>
    <mergeCell ref="I297:I298"/>
    <mergeCell ref="K297:K298"/>
    <mergeCell ref="J297:J298"/>
    <mergeCell ref="G623:G624"/>
    <mergeCell ref="G621:G622"/>
    <mergeCell ref="H621:H622"/>
    <mergeCell ref="H639:H640"/>
    <mergeCell ref="B639:F640"/>
    <mergeCell ref="G635:G636"/>
    <mergeCell ref="B637:F638"/>
    <mergeCell ref="G637:G638"/>
    <mergeCell ref="I635:I636"/>
    <mergeCell ref="H637:H638"/>
    <mergeCell ref="G625:G626"/>
    <mergeCell ref="G633:G634"/>
    <mergeCell ref="G639:G640"/>
    <mergeCell ref="B635:F636"/>
    <mergeCell ref="G617:G618"/>
    <mergeCell ref="B625:F626"/>
    <mergeCell ref="I621:I622"/>
    <mergeCell ref="B627:F628"/>
    <mergeCell ref="G629:G630"/>
    <mergeCell ref="B631:F632"/>
    <mergeCell ref="H633:H634"/>
    <mergeCell ref="I633:I634"/>
    <mergeCell ref="H635:H636"/>
    <mergeCell ref="G631:G632"/>
    <mergeCell ref="H631:H632"/>
    <mergeCell ref="B623:F624"/>
    <mergeCell ref="B619:F620"/>
    <mergeCell ref="G619:G620"/>
    <mergeCell ref="B629:F630"/>
    <mergeCell ref="I625:I626"/>
    <mergeCell ref="B621:F622"/>
    <mergeCell ref="I629:I630"/>
    <mergeCell ref="G615:G616"/>
    <mergeCell ref="H433:H434"/>
    <mergeCell ref="I433:I434"/>
    <mergeCell ref="J431:J432"/>
    <mergeCell ref="K419:K420"/>
    <mergeCell ref="H419:H420"/>
    <mergeCell ref="H439:H440"/>
    <mergeCell ref="H437:H438"/>
    <mergeCell ref="I437:I438"/>
    <mergeCell ref="K439:K440"/>
    <mergeCell ref="K447:K448"/>
    <mergeCell ref="J449:J450"/>
    <mergeCell ref="H423:H424"/>
    <mergeCell ref="H421:H422"/>
    <mergeCell ref="J423:J424"/>
    <mergeCell ref="I429:I430"/>
    <mergeCell ref="H429:H430"/>
    <mergeCell ref="K455:K456"/>
    <mergeCell ref="G447:G448"/>
    <mergeCell ref="G437:G438"/>
    <mergeCell ref="J469:J470"/>
    <mergeCell ref="K523:K524"/>
    <mergeCell ref="K519:K520"/>
    <mergeCell ref="I527:I528"/>
    <mergeCell ref="K475:K476"/>
    <mergeCell ref="G451:G452"/>
    <mergeCell ref="H451:H452"/>
    <mergeCell ref="H453:H454"/>
    <mergeCell ref="K465:K466"/>
    <mergeCell ref="G443:G444"/>
    <mergeCell ref="K613:K614"/>
    <mergeCell ref="K451:K452"/>
    <mergeCell ref="B615:F616"/>
    <mergeCell ref="K443:K444"/>
    <mergeCell ref="H389:H390"/>
    <mergeCell ref="J441:J442"/>
    <mergeCell ref="K459:K460"/>
    <mergeCell ref="B443:F444"/>
    <mergeCell ref="K453:K454"/>
    <mergeCell ref="K449:K450"/>
    <mergeCell ref="I443:I444"/>
    <mergeCell ref="J443:J444"/>
    <mergeCell ref="K427:K428"/>
    <mergeCell ref="H415:H416"/>
    <mergeCell ref="J457:J458"/>
    <mergeCell ref="I453:I454"/>
    <mergeCell ref="K699:K700"/>
    <mergeCell ref="B705:F706"/>
    <mergeCell ref="G705:G706"/>
    <mergeCell ref="H705:H706"/>
    <mergeCell ref="I705:I706"/>
    <mergeCell ref="J705:J706"/>
    <mergeCell ref="K705:K706"/>
    <mergeCell ref="B673:F674"/>
    <mergeCell ref="G673:G674"/>
    <mergeCell ref="H673:H674"/>
    <mergeCell ref="I673:I674"/>
    <mergeCell ref="J673:J674"/>
    <mergeCell ref="K673:K674"/>
    <mergeCell ref="B675:F676"/>
    <mergeCell ref="G675:G676"/>
    <mergeCell ref="H675:H676"/>
    <mergeCell ref="I675:I676"/>
    <mergeCell ref="J675:J676"/>
  </mergeCells>
  <phoneticPr fontId="14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>
    <oddFooter>&amp;L&amp;D&amp;R&amp;P/&amp;N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M512"/>
  <sheetViews>
    <sheetView showGridLines="0" view="pageBreakPreview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9" width="9.109375" style="1"/>
    <col min="10" max="10" width="9.109375" style="99"/>
    <col min="11" max="11" width="10" style="1" customWidth="1"/>
    <col min="12" max="12" width="9.6640625" style="89" bestFit="1" customWidth="1"/>
    <col min="13" max="13" width="9.6640625" style="90" bestFit="1" customWidth="1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C6" s="227" t="s">
        <v>430</v>
      </c>
      <c r="D6" s="227"/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C7" s="227"/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s="45" customFormat="1" ht="12" customHeight="1" x14ac:dyDescent="0.2">
      <c r="A9" s="43"/>
      <c r="B9" s="220" t="s">
        <v>82</v>
      </c>
      <c r="C9" s="220"/>
      <c r="D9" s="220"/>
      <c r="E9" s="220"/>
      <c r="F9" s="220"/>
      <c r="G9" s="220" t="s">
        <v>84</v>
      </c>
      <c r="H9" s="220" t="s">
        <v>90</v>
      </c>
      <c r="I9" s="220" t="s">
        <v>192</v>
      </c>
      <c r="J9" s="44" t="s">
        <v>91</v>
      </c>
      <c r="K9" s="220" t="s">
        <v>83</v>
      </c>
      <c r="L9" s="91"/>
      <c r="M9" s="92"/>
    </row>
    <row r="10" spans="1:13" s="45" customFormat="1" ht="12" customHeight="1" x14ac:dyDescent="0.2">
      <c r="A10" s="94"/>
      <c r="B10" s="221"/>
      <c r="C10" s="221"/>
      <c r="D10" s="221"/>
      <c r="E10" s="221"/>
      <c r="F10" s="221"/>
      <c r="G10" s="223"/>
      <c r="H10" s="221"/>
      <c r="I10" s="221"/>
      <c r="J10" s="46" t="s">
        <v>90</v>
      </c>
      <c r="K10" s="221"/>
      <c r="L10" s="91"/>
      <c r="M10" s="92"/>
    </row>
    <row r="11" spans="1:13" s="45" customFormat="1" ht="8.5500000000000007" customHeight="1" x14ac:dyDescent="0.2">
      <c r="A11" s="98"/>
      <c r="B11" s="291" t="s">
        <v>409</v>
      </c>
      <c r="C11" s="291"/>
      <c r="D11" s="291"/>
      <c r="E11" s="291"/>
      <c r="F11" s="291"/>
      <c r="G11" s="73"/>
      <c r="H11" s="73"/>
      <c r="I11" s="73"/>
      <c r="J11" s="100"/>
      <c r="K11" s="73"/>
      <c r="L11" s="91"/>
      <c r="M11" s="92"/>
    </row>
    <row r="12" spans="1:13" s="45" customFormat="1" ht="8.5500000000000007" customHeight="1" x14ac:dyDescent="0.2">
      <c r="A12" s="98"/>
      <c r="B12" s="219"/>
      <c r="C12" s="219"/>
      <c r="D12" s="219"/>
      <c r="E12" s="219"/>
      <c r="F12" s="219"/>
      <c r="G12" s="74"/>
      <c r="H12" s="74"/>
      <c r="I12" s="74"/>
      <c r="J12" s="101"/>
      <c r="K12" s="74"/>
      <c r="L12" s="91"/>
      <c r="M12" s="92"/>
    </row>
    <row r="13" spans="1:13" s="45" customFormat="1" ht="8.5500000000000007" customHeight="1" x14ac:dyDescent="0.2">
      <c r="A13" s="98"/>
      <c r="B13" s="213" t="s">
        <v>158</v>
      </c>
      <c r="C13" s="213"/>
      <c r="D13" s="213"/>
      <c r="E13" s="213"/>
      <c r="F13" s="213"/>
      <c r="G13" s="297"/>
      <c r="H13" s="47"/>
      <c r="I13" s="48"/>
      <c r="J13" s="104"/>
      <c r="K13" s="164"/>
      <c r="L13" s="91"/>
      <c r="M13" s="92"/>
    </row>
    <row r="14" spans="1:13" s="45" customFormat="1" ht="8.5500000000000007" customHeight="1" x14ac:dyDescent="0.2">
      <c r="A14" s="98"/>
      <c r="B14" s="171"/>
      <c r="C14" s="171"/>
      <c r="D14" s="171"/>
      <c r="E14" s="171"/>
      <c r="F14" s="171"/>
      <c r="G14" s="188"/>
      <c r="H14" s="54"/>
      <c r="I14" s="49"/>
      <c r="J14" s="105"/>
      <c r="K14" s="165"/>
      <c r="L14" s="91"/>
      <c r="M14" s="92"/>
    </row>
    <row r="15" spans="1:13" s="45" customFormat="1" ht="8.5500000000000007" customHeight="1" x14ac:dyDescent="0.2">
      <c r="A15" s="98"/>
      <c r="B15" s="201" t="s">
        <v>531</v>
      </c>
      <c r="C15" s="201"/>
      <c r="D15" s="201"/>
      <c r="E15" s="201"/>
      <c r="F15" s="157"/>
      <c r="G15" s="251">
        <v>1982</v>
      </c>
      <c r="H15" s="253">
        <v>99</v>
      </c>
      <c r="I15" s="160">
        <v>87</v>
      </c>
      <c r="J15" s="209" t="s">
        <v>990</v>
      </c>
      <c r="K15" s="234">
        <v>1</v>
      </c>
      <c r="L15" s="91"/>
      <c r="M15" s="92"/>
    </row>
    <row r="16" spans="1:13" s="45" customFormat="1" ht="8.5500000000000007" customHeight="1" x14ac:dyDescent="0.2">
      <c r="A16" s="98"/>
      <c r="B16" s="158"/>
      <c r="C16" s="158"/>
      <c r="D16" s="158"/>
      <c r="E16" s="158"/>
      <c r="F16" s="159"/>
      <c r="G16" s="252"/>
      <c r="H16" s="254"/>
      <c r="I16" s="161"/>
      <c r="J16" s="210"/>
      <c r="K16" s="235"/>
      <c r="L16" s="91"/>
      <c r="M16" s="92"/>
    </row>
    <row r="17" spans="1:13" s="45" customFormat="1" ht="8.5500000000000007" customHeight="1" x14ac:dyDescent="0.2">
      <c r="A17" s="98"/>
      <c r="B17" s="201" t="s">
        <v>531</v>
      </c>
      <c r="C17" s="201"/>
      <c r="D17" s="201"/>
      <c r="E17" s="201"/>
      <c r="F17" s="157"/>
      <c r="G17" s="251">
        <v>1985</v>
      </c>
      <c r="H17" s="253">
        <v>100</v>
      </c>
      <c r="I17" s="160">
        <v>97</v>
      </c>
      <c r="J17" s="209" t="s">
        <v>991</v>
      </c>
      <c r="K17" s="234">
        <v>1</v>
      </c>
      <c r="L17" s="91"/>
      <c r="M17" s="92"/>
    </row>
    <row r="18" spans="1:13" s="45" customFormat="1" ht="8.5500000000000007" customHeight="1" x14ac:dyDescent="0.2">
      <c r="A18" s="98"/>
      <c r="B18" s="158"/>
      <c r="C18" s="158"/>
      <c r="D18" s="158"/>
      <c r="E18" s="158"/>
      <c r="F18" s="159"/>
      <c r="G18" s="252"/>
      <c r="H18" s="254"/>
      <c r="I18" s="161"/>
      <c r="J18" s="210"/>
      <c r="K18" s="235"/>
      <c r="L18" s="91"/>
      <c r="M18" s="92"/>
    </row>
    <row r="19" spans="1:13" s="45" customFormat="1" ht="8.5500000000000007" customHeight="1" x14ac:dyDescent="0.2">
      <c r="A19" s="98"/>
      <c r="B19" s="201" t="s">
        <v>531</v>
      </c>
      <c r="C19" s="201"/>
      <c r="D19" s="201"/>
      <c r="E19" s="201"/>
      <c r="F19" s="157"/>
      <c r="G19" s="251">
        <v>1988</v>
      </c>
      <c r="H19" s="253">
        <v>100</v>
      </c>
      <c r="I19" s="160">
        <v>95</v>
      </c>
      <c r="J19" s="209" t="s">
        <v>992</v>
      </c>
      <c r="K19" s="234">
        <v>2</v>
      </c>
      <c r="L19" s="91"/>
      <c r="M19" s="92"/>
    </row>
    <row r="20" spans="1:13" s="45" customFormat="1" ht="8.5500000000000007" customHeight="1" x14ac:dyDescent="0.2">
      <c r="A20" s="98"/>
      <c r="B20" s="158"/>
      <c r="C20" s="158"/>
      <c r="D20" s="158"/>
      <c r="E20" s="158"/>
      <c r="F20" s="159"/>
      <c r="G20" s="252"/>
      <c r="H20" s="254"/>
      <c r="I20" s="161"/>
      <c r="J20" s="210"/>
      <c r="K20" s="235"/>
      <c r="L20" s="91"/>
      <c r="M20" s="92"/>
    </row>
    <row r="21" spans="1:13" s="45" customFormat="1" ht="8.5500000000000007" customHeight="1" x14ac:dyDescent="0.2">
      <c r="A21" s="98"/>
      <c r="B21" s="201" t="s">
        <v>531</v>
      </c>
      <c r="C21" s="201"/>
      <c r="D21" s="201"/>
      <c r="E21" s="201"/>
      <c r="F21" s="157"/>
      <c r="G21" s="251">
        <v>1990</v>
      </c>
      <c r="H21" s="253">
        <v>99</v>
      </c>
      <c r="I21" s="160">
        <v>98</v>
      </c>
      <c r="J21" s="209" t="s">
        <v>993</v>
      </c>
      <c r="K21" s="234">
        <v>2</v>
      </c>
      <c r="L21" s="91"/>
      <c r="M21" s="92"/>
    </row>
    <row r="22" spans="1:13" s="45" customFormat="1" ht="8.5500000000000007" customHeight="1" x14ac:dyDescent="0.2">
      <c r="A22" s="98"/>
      <c r="B22" s="158"/>
      <c r="C22" s="158"/>
      <c r="D22" s="158"/>
      <c r="E22" s="158"/>
      <c r="F22" s="159"/>
      <c r="G22" s="252"/>
      <c r="H22" s="254"/>
      <c r="I22" s="161"/>
      <c r="J22" s="210"/>
      <c r="K22" s="235"/>
      <c r="L22" s="91"/>
      <c r="M22" s="92"/>
    </row>
    <row r="23" spans="1:13" s="45" customFormat="1" ht="8.5500000000000007" customHeight="1" x14ac:dyDescent="0.2">
      <c r="A23" s="98"/>
      <c r="B23" s="201" t="s">
        <v>531</v>
      </c>
      <c r="C23" s="201"/>
      <c r="D23" s="201"/>
      <c r="E23" s="201"/>
      <c r="F23" s="157"/>
      <c r="G23" s="251">
        <v>1991</v>
      </c>
      <c r="H23" s="253">
        <v>100</v>
      </c>
      <c r="I23" s="160">
        <v>92</v>
      </c>
      <c r="J23" s="209" t="s">
        <v>991</v>
      </c>
      <c r="K23" s="234">
        <v>2</v>
      </c>
      <c r="L23" s="91"/>
      <c r="M23" s="92"/>
    </row>
    <row r="24" spans="1:13" s="45" customFormat="1" ht="8.5500000000000007" customHeight="1" x14ac:dyDescent="0.2">
      <c r="A24" s="98"/>
      <c r="B24" s="158"/>
      <c r="C24" s="158"/>
      <c r="D24" s="158"/>
      <c r="E24" s="158"/>
      <c r="F24" s="159"/>
      <c r="G24" s="252"/>
      <c r="H24" s="254"/>
      <c r="I24" s="161"/>
      <c r="J24" s="210"/>
      <c r="K24" s="235"/>
      <c r="L24" s="91"/>
      <c r="M24" s="92"/>
    </row>
    <row r="25" spans="1:13" s="45" customFormat="1" ht="8.5500000000000007" customHeight="1" x14ac:dyDescent="0.2">
      <c r="A25" s="98"/>
      <c r="B25" s="201" t="s">
        <v>531</v>
      </c>
      <c r="C25" s="201"/>
      <c r="D25" s="201"/>
      <c r="E25" s="201"/>
      <c r="F25" s="157"/>
      <c r="G25" s="251">
        <v>1995</v>
      </c>
      <c r="H25" s="253">
        <v>99</v>
      </c>
      <c r="I25" s="160">
        <v>95</v>
      </c>
      <c r="J25" s="209" t="s">
        <v>43</v>
      </c>
      <c r="K25" s="234">
        <v>2</v>
      </c>
      <c r="L25" s="91"/>
      <c r="M25" s="92"/>
    </row>
    <row r="26" spans="1:13" s="45" customFormat="1" ht="8.5500000000000007" customHeight="1" x14ac:dyDescent="0.2">
      <c r="A26" s="98"/>
      <c r="B26" s="158"/>
      <c r="C26" s="158"/>
      <c r="D26" s="158"/>
      <c r="E26" s="158"/>
      <c r="F26" s="159"/>
      <c r="G26" s="252"/>
      <c r="H26" s="254"/>
      <c r="I26" s="161"/>
      <c r="J26" s="210"/>
      <c r="K26" s="235"/>
      <c r="L26" s="91"/>
      <c r="M26" s="92"/>
    </row>
    <row r="27" spans="1:13" s="45" customFormat="1" ht="8.5500000000000007" customHeight="1" x14ac:dyDescent="0.2">
      <c r="A27" s="98"/>
      <c r="B27" s="201" t="s">
        <v>531</v>
      </c>
      <c r="C27" s="201"/>
      <c r="D27" s="201"/>
      <c r="E27" s="201"/>
      <c r="F27" s="157"/>
      <c r="G27" s="251">
        <v>1996</v>
      </c>
      <c r="H27" s="253">
        <v>93</v>
      </c>
      <c r="I27" s="160">
        <v>92</v>
      </c>
      <c r="J27" s="209" t="s">
        <v>994</v>
      </c>
      <c r="K27" s="232">
        <v>1</v>
      </c>
      <c r="L27" s="91"/>
      <c r="M27" s="92"/>
    </row>
    <row r="28" spans="1:13" s="45" customFormat="1" ht="8.5500000000000007" customHeight="1" x14ac:dyDescent="0.2">
      <c r="A28" s="98"/>
      <c r="B28" s="158"/>
      <c r="C28" s="158"/>
      <c r="D28" s="158"/>
      <c r="E28" s="158"/>
      <c r="F28" s="159"/>
      <c r="G28" s="252"/>
      <c r="H28" s="254"/>
      <c r="I28" s="161"/>
      <c r="J28" s="210"/>
      <c r="K28" s="233"/>
      <c r="L28" s="91"/>
      <c r="M28" s="92"/>
    </row>
    <row r="29" spans="1:13" s="45" customFormat="1" ht="8.5500000000000007" customHeight="1" x14ac:dyDescent="0.2">
      <c r="A29" s="98"/>
      <c r="B29" s="201" t="s">
        <v>531</v>
      </c>
      <c r="C29" s="201"/>
      <c r="D29" s="201"/>
      <c r="E29" s="201"/>
      <c r="F29" s="157"/>
      <c r="G29" s="251">
        <v>1997</v>
      </c>
      <c r="H29" s="253">
        <v>96</v>
      </c>
      <c r="I29" s="160">
        <v>97</v>
      </c>
      <c r="J29" s="209" t="s">
        <v>1971</v>
      </c>
      <c r="K29" s="234">
        <v>2</v>
      </c>
      <c r="L29" s="91"/>
      <c r="M29" s="92"/>
    </row>
    <row r="30" spans="1:13" s="45" customFormat="1" ht="8.5500000000000007" customHeight="1" x14ac:dyDescent="0.2">
      <c r="A30" s="98"/>
      <c r="B30" s="158"/>
      <c r="C30" s="158"/>
      <c r="D30" s="158"/>
      <c r="E30" s="158"/>
      <c r="F30" s="159"/>
      <c r="G30" s="252"/>
      <c r="H30" s="254"/>
      <c r="I30" s="161"/>
      <c r="J30" s="210"/>
      <c r="K30" s="235"/>
      <c r="L30" s="91"/>
      <c r="M30" s="92"/>
    </row>
    <row r="31" spans="1:13" s="45" customFormat="1" ht="8.5500000000000007" customHeight="1" x14ac:dyDescent="0.2">
      <c r="A31" s="98"/>
      <c r="B31" s="201" t="s">
        <v>531</v>
      </c>
      <c r="C31" s="201"/>
      <c r="D31" s="201"/>
      <c r="E31" s="201"/>
      <c r="F31" s="157"/>
      <c r="G31" s="251">
        <v>1998</v>
      </c>
      <c r="H31" s="253">
        <v>97</v>
      </c>
      <c r="I31" s="160">
        <v>92</v>
      </c>
      <c r="J31" s="209" t="s">
        <v>375</v>
      </c>
      <c r="K31" s="232">
        <v>2</v>
      </c>
      <c r="L31" s="91"/>
      <c r="M31" s="92"/>
    </row>
    <row r="32" spans="1:13" s="45" customFormat="1" ht="8.5500000000000007" customHeight="1" x14ac:dyDescent="0.2">
      <c r="A32" s="98"/>
      <c r="B32" s="158"/>
      <c r="C32" s="158"/>
      <c r="D32" s="158"/>
      <c r="E32" s="158"/>
      <c r="F32" s="159"/>
      <c r="G32" s="252"/>
      <c r="H32" s="254"/>
      <c r="I32" s="161"/>
      <c r="J32" s="210"/>
      <c r="K32" s="233"/>
      <c r="L32" s="91"/>
      <c r="M32" s="92"/>
    </row>
    <row r="33" spans="1:13" s="45" customFormat="1" ht="8.5500000000000007" customHeight="1" x14ac:dyDescent="0.2">
      <c r="A33" s="98"/>
      <c r="B33" s="201" t="s">
        <v>531</v>
      </c>
      <c r="C33" s="201"/>
      <c r="D33" s="201"/>
      <c r="E33" s="201"/>
      <c r="F33" s="157"/>
      <c r="G33" s="251">
        <v>1999</v>
      </c>
      <c r="H33" s="253">
        <v>100</v>
      </c>
      <c r="I33" s="160">
        <v>99</v>
      </c>
      <c r="J33" s="284"/>
      <c r="K33" s="234">
        <v>4</v>
      </c>
      <c r="L33" s="91"/>
      <c r="M33" s="92"/>
    </row>
    <row r="34" spans="1:13" s="45" customFormat="1" ht="8.5500000000000007" customHeight="1" x14ac:dyDescent="0.2">
      <c r="A34" s="98"/>
      <c r="B34" s="158"/>
      <c r="C34" s="158"/>
      <c r="D34" s="158"/>
      <c r="E34" s="158"/>
      <c r="F34" s="159"/>
      <c r="G34" s="252"/>
      <c r="H34" s="254"/>
      <c r="I34" s="161"/>
      <c r="J34" s="285"/>
      <c r="K34" s="235"/>
      <c r="L34" s="91"/>
      <c r="M34" s="92"/>
    </row>
    <row r="35" spans="1:13" s="45" customFormat="1" ht="8.5500000000000007" customHeight="1" x14ac:dyDescent="0.2">
      <c r="A35" s="98"/>
      <c r="B35" s="201" t="s">
        <v>531</v>
      </c>
      <c r="C35" s="201"/>
      <c r="D35" s="201"/>
      <c r="E35" s="201"/>
      <c r="F35" s="157"/>
      <c r="G35" s="251">
        <v>2001</v>
      </c>
      <c r="H35" s="167" t="s">
        <v>627</v>
      </c>
      <c r="I35" s="160">
        <v>96</v>
      </c>
      <c r="J35" s="209" t="s">
        <v>415</v>
      </c>
      <c r="K35" s="232">
        <v>3</v>
      </c>
      <c r="L35" s="91"/>
      <c r="M35" s="92"/>
    </row>
    <row r="36" spans="1:13" s="45" customFormat="1" ht="8.5500000000000007" customHeight="1" x14ac:dyDescent="0.2">
      <c r="A36" s="98"/>
      <c r="B36" s="158"/>
      <c r="C36" s="158"/>
      <c r="D36" s="158"/>
      <c r="E36" s="158"/>
      <c r="F36" s="159"/>
      <c r="G36" s="252"/>
      <c r="H36" s="168"/>
      <c r="I36" s="161"/>
      <c r="J36" s="210"/>
      <c r="K36" s="233"/>
      <c r="L36" s="91"/>
      <c r="M36" s="92"/>
    </row>
    <row r="37" spans="1:13" s="45" customFormat="1" ht="8.5500000000000007" customHeight="1" x14ac:dyDescent="0.2">
      <c r="A37" s="98"/>
      <c r="B37" s="201" t="s">
        <v>531</v>
      </c>
      <c r="C37" s="201"/>
      <c r="D37" s="201"/>
      <c r="E37" s="201"/>
      <c r="F37" s="157"/>
      <c r="G37" s="251">
        <v>2003</v>
      </c>
      <c r="H37" s="253">
        <v>100</v>
      </c>
      <c r="I37" s="160">
        <v>99</v>
      </c>
      <c r="J37" s="284"/>
      <c r="K37" s="232">
        <v>4</v>
      </c>
      <c r="L37" s="91"/>
      <c r="M37" s="92"/>
    </row>
    <row r="38" spans="1:13" s="45" customFormat="1" ht="8.5500000000000007" customHeight="1" x14ac:dyDescent="0.2">
      <c r="A38" s="98"/>
      <c r="B38" s="158"/>
      <c r="C38" s="158"/>
      <c r="D38" s="158"/>
      <c r="E38" s="158"/>
      <c r="F38" s="159"/>
      <c r="G38" s="252"/>
      <c r="H38" s="254"/>
      <c r="I38" s="161"/>
      <c r="J38" s="285"/>
      <c r="K38" s="233"/>
      <c r="L38" s="91"/>
      <c r="M38" s="92"/>
    </row>
    <row r="39" spans="1:13" s="45" customFormat="1" ht="8.5500000000000007" customHeight="1" x14ac:dyDescent="0.2">
      <c r="A39" s="98"/>
      <c r="B39" s="201" t="s">
        <v>531</v>
      </c>
      <c r="C39" s="201"/>
      <c r="D39" s="201"/>
      <c r="E39" s="201"/>
      <c r="F39" s="157"/>
      <c r="G39" s="251">
        <v>2004</v>
      </c>
      <c r="H39" s="253">
        <v>95</v>
      </c>
      <c r="I39" s="160"/>
      <c r="J39" s="209" t="s">
        <v>95</v>
      </c>
      <c r="K39" s="232">
        <v>2</v>
      </c>
      <c r="L39" s="91"/>
      <c r="M39" s="92"/>
    </row>
    <row r="40" spans="1:13" s="45" customFormat="1" ht="8.5500000000000007" customHeight="1" x14ac:dyDescent="0.2">
      <c r="A40" s="98"/>
      <c r="B40" s="158"/>
      <c r="C40" s="158"/>
      <c r="D40" s="158"/>
      <c r="E40" s="158"/>
      <c r="F40" s="159"/>
      <c r="G40" s="252"/>
      <c r="H40" s="254"/>
      <c r="I40" s="161"/>
      <c r="J40" s="210"/>
      <c r="K40" s="233"/>
      <c r="L40" s="91"/>
      <c r="M40" s="92"/>
    </row>
    <row r="41" spans="1:13" s="45" customFormat="1" ht="8.5500000000000007" customHeight="1" x14ac:dyDescent="0.2">
      <c r="A41" s="98"/>
      <c r="B41" s="201" t="s">
        <v>531</v>
      </c>
      <c r="C41" s="201"/>
      <c r="D41" s="201"/>
      <c r="E41" s="201"/>
      <c r="F41" s="157"/>
      <c r="G41" s="251">
        <v>2005</v>
      </c>
      <c r="H41" s="253">
        <v>100</v>
      </c>
      <c r="I41" s="160">
        <v>99</v>
      </c>
      <c r="J41" s="209" t="s">
        <v>67</v>
      </c>
      <c r="K41" s="232">
        <v>4</v>
      </c>
      <c r="L41" s="91"/>
      <c r="M41" s="92"/>
    </row>
    <row r="42" spans="1:13" s="45" customFormat="1" ht="8.5500000000000007" customHeight="1" x14ac:dyDescent="0.2">
      <c r="A42" s="98"/>
      <c r="B42" s="158"/>
      <c r="C42" s="158"/>
      <c r="D42" s="158"/>
      <c r="E42" s="158"/>
      <c r="F42" s="159"/>
      <c r="G42" s="252"/>
      <c r="H42" s="254"/>
      <c r="I42" s="161"/>
      <c r="J42" s="210"/>
      <c r="K42" s="233"/>
      <c r="L42" s="91"/>
      <c r="M42" s="92"/>
    </row>
    <row r="43" spans="1:13" s="45" customFormat="1" ht="8.5500000000000007" customHeight="1" x14ac:dyDescent="0.2">
      <c r="A43" s="98"/>
      <c r="B43" s="201" t="s">
        <v>531</v>
      </c>
      <c r="C43" s="201"/>
      <c r="D43" s="201"/>
      <c r="E43" s="201"/>
      <c r="F43" s="157"/>
      <c r="G43" s="251">
        <v>2006</v>
      </c>
      <c r="H43" s="253">
        <v>95</v>
      </c>
      <c r="I43" s="160"/>
      <c r="J43" s="209" t="s">
        <v>251</v>
      </c>
      <c r="K43" s="232">
        <v>2</v>
      </c>
      <c r="L43" s="91"/>
      <c r="M43" s="92"/>
    </row>
    <row r="44" spans="1:13" s="45" customFormat="1" ht="8.5500000000000007" customHeight="1" x14ac:dyDescent="0.2">
      <c r="A44" s="98"/>
      <c r="B44" s="158"/>
      <c r="C44" s="158"/>
      <c r="D44" s="158"/>
      <c r="E44" s="158"/>
      <c r="F44" s="159"/>
      <c r="G44" s="252"/>
      <c r="H44" s="254"/>
      <c r="I44" s="161"/>
      <c r="J44" s="210"/>
      <c r="K44" s="233"/>
      <c r="L44" s="91"/>
      <c r="M44" s="92"/>
    </row>
    <row r="45" spans="1:13" s="45" customFormat="1" ht="8.5500000000000007" customHeight="1" x14ac:dyDescent="0.2">
      <c r="A45" s="98"/>
      <c r="B45" s="201" t="s">
        <v>531</v>
      </c>
      <c r="C45" s="201"/>
      <c r="D45" s="201"/>
      <c r="E45" s="201"/>
      <c r="F45" s="157"/>
      <c r="G45" s="251">
        <v>2007</v>
      </c>
      <c r="H45" s="167" t="s">
        <v>626</v>
      </c>
      <c r="I45" s="160">
        <v>96</v>
      </c>
      <c r="J45" s="209" t="s">
        <v>707</v>
      </c>
      <c r="K45" s="232">
        <v>3</v>
      </c>
      <c r="L45" s="91"/>
      <c r="M45" s="92"/>
    </row>
    <row r="46" spans="1:13" s="45" customFormat="1" ht="8.5500000000000007" customHeight="1" x14ac:dyDescent="0.2">
      <c r="A46" s="98"/>
      <c r="B46" s="158"/>
      <c r="C46" s="158"/>
      <c r="D46" s="158"/>
      <c r="E46" s="158"/>
      <c r="F46" s="159"/>
      <c r="G46" s="252"/>
      <c r="H46" s="168"/>
      <c r="I46" s="161"/>
      <c r="J46" s="210"/>
      <c r="K46" s="233"/>
      <c r="L46" s="91"/>
      <c r="M46" s="92"/>
    </row>
    <row r="47" spans="1:13" s="45" customFormat="1" ht="8.5500000000000007" customHeight="1" x14ac:dyDescent="0.2">
      <c r="A47" s="98"/>
      <c r="B47" s="201" t="s">
        <v>531</v>
      </c>
      <c r="C47" s="201"/>
      <c r="D47" s="201"/>
      <c r="E47" s="201"/>
      <c r="F47" s="157"/>
      <c r="G47" s="251">
        <v>2009</v>
      </c>
      <c r="H47" s="253">
        <v>100</v>
      </c>
      <c r="I47" s="160"/>
      <c r="J47" s="209" t="s">
        <v>441</v>
      </c>
      <c r="K47" s="232">
        <v>2</v>
      </c>
      <c r="L47" s="91"/>
      <c r="M47" s="92"/>
    </row>
    <row r="48" spans="1:13" s="45" customFormat="1" ht="8.5500000000000007" customHeight="1" x14ac:dyDescent="0.2">
      <c r="A48" s="98"/>
      <c r="B48" s="158"/>
      <c r="C48" s="158"/>
      <c r="D48" s="158"/>
      <c r="E48" s="158"/>
      <c r="F48" s="159"/>
      <c r="G48" s="252"/>
      <c r="H48" s="254"/>
      <c r="I48" s="161"/>
      <c r="J48" s="210"/>
      <c r="K48" s="233"/>
      <c r="L48" s="91"/>
      <c r="M48" s="92"/>
    </row>
    <row r="49" spans="1:13" s="45" customFormat="1" ht="8.5500000000000007" customHeight="1" x14ac:dyDescent="0.2">
      <c r="A49" s="98"/>
      <c r="B49" s="201" t="s">
        <v>533</v>
      </c>
      <c r="C49" s="201"/>
      <c r="D49" s="201"/>
      <c r="E49" s="201"/>
      <c r="F49" s="157"/>
      <c r="G49" s="189">
        <v>1983</v>
      </c>
      <c r="H49" s="167">
        <v>98</v>
      </c>
      <c r="I49" s="160">
        <v>92</v>
      </c>
      <c r="J49" s="209" t="s">
        <v>140</v>
      </c>
      <c r="K49" s="232">
        <v>1</v>
      </c>
      <c r="L49" s="91"/>
      <c r="M49" s="92"/>
    </row>
    <row r="50" spans="1:13" s="45" customFormat="1" ht="8.5500000000000007" customHeight="1" x14ac:dyDescent="0.2">
      <c r="A50" s="98"/>
      <c r="B50" s="158"/>
      <c r="C50" s="158"/>
      <c r="D50" s="158"/>
      <c r="E50" s="158"/>
      <c r="F50" s="159"/>
      <c r="G50" s="190"/>
      <c r="H50" s="168"/>
      <c r="I50" s="161"/>
      <c r="J50" s="210"/>
      <c r="K50" s="233"/>
      <c r="L50" s="91"/>
      <c r="M50" s="92"/>
    </row>
    <row r="51" spans="1:13" s="45" customFormat="1" ht="8.5500000000000007" customHeight="1" x14ac:dyDescent="0.2">
      <c r="A51" s="98"/>
      <c r="B51" s="201" t="s">
        <v>533</v>
      </c>
      <c r="C51" s="201"/>
      <c r="D51" s="201"/>
      <c r="E51" s="201"/>
      <c r="F51" s="157"/>
      <c r="G51" s="189">
        <v>1985</v>
      </c>
      <c r="H51" s="167">
        <v>100</v>
      </c>
      <c r="I51" s="160">
        <v>100</v>
      </c>
      <c r="J51" s="209" t="s">
        <v>339</v>
      </c>
      <c r="K51" s="232">
        <v>2</v>
      </c>
      <c r="L51" s="91"/>
      <c r="M51" s="92"/>
    </row>
    <row r="52" spans="1:13" s="45" customFormat="1" ht="8.5500000000000007" customHeight="1" x14ac:dyDescent="0.2">
      <c r="A52" s="98"/>
      <c r="B52" s="158"/>
      <c r="C52" s="158"/>
      <c r="D52" s="158"/>
      <c r="E52" s="158"/>
      <c r="F52" s="159"/>
      <c r="G52" s="190"/>
      <c r="H52" s="168"/>
      <c r="I52" s="161"/>
      <c r="J52" s="210"/>
      <c r="K52" s="233"/>
      <c r="L52" s="91"/>
      <c r="M52" s="92"/>
    </row>
    <row r="53" spans="1:13" s="45" customFormat="1" ht="8.5500000000000007" customHeight="1" x14ac:dyDescent="0.2">
      <c r="A53" s="98"/>
      <c r="B53" s="201" t="s">
        <v>533</v>
      </c>
      <c r="C53" s="201"/>
      <c r="D53" s="201"/>
      <c r="E53" s="201"/>
      <c r="F53" s="157"/>
      <c r="G53" s="189">
        <v>1990</v>
      </c>
      <c r="H53" s="167">
        <v>100</v>
      </c>
      <c r="I53" s="160">
        <v>97</v>
      </c>
      <c r="J53" s="209" t="s">
        <v>995</v>
      </c>
      <c r="K53" s="232">
        <v>4</v>
      </c>
      <c r="L53" s="91"/>
      <c r="M53" s="92"/>
    </row>
    <row r="54" spans="1:13" s="45" customFormat="1" ht="8.5500000000000007" customHeight="1" x14ac:dyDescent="0.2">
      <c r="A54" s="98"/>
      <c r="B54" s="158"/>
      <c r="C54" s="158"/>
      <c r="D54" s="158"/>
      <c r="E54" s="158"/>
      <c r="F54" s="159"/>
      <c r="G54" s="190"/>
      <c r="H54" s="168"/>
      <c r="I54" s="161"/>
      <c r="J54" s="210"/>
      <c r="K54" s="233"/>
      <c r="L54" s="91"/>
      <c r="M54" s="92"/>
    </row>
    <row r="55" spans="1:13" s="45" customFormat="1" ht="8.5500000000000007" customHeight="1" x14ac:dyDescent="0.2">
      <c r="A55" s="98"/>
      <c r="B55" s="201" t="s">
        <v>533</v>
      </c>
      <c r="C55" s="201"/>
      <c r="D55" s="201"/>
      <c r="E55" s="201"/>
      <c r="F55" s="157"/>
      <c r="G55" s="189">
        <v>1991</v>
      </c>
      <c r="H55" s="167">
        <v>99</v>
      </c>
      <c r="I55" s="160">
        <v>95</v>
      </c>
      <c r="J55" s="209" t="s">
        <v>340</v>
      </c>
      <c r="K55" s="232">
        <v>2</v>
      </c>
      <c r="L55" s="91"/>
      <c r="M55" s="92"/>
    </row>
    <row r="56" spans="1:13" s="45" customFormat="1" ht="8.5500000000000007" customHeight="1" x14ac:dyDescent="0.2">
      <c r="A56" s="98"/>
      <c r="B56" s="158"/>
      <c r="C56" s="158"/>
      <c r="D56" s="158"/>
      <c r="E56" s="158"/>
      <c r="F56" s="159"/>
      <c r="G56" s="190"/>
      <c r="H56" s="168"/>
      <c r="I56" s="161"/>
      <c r="J56" s="210"/>
      <c r="K56" s="233"/>
      <c r="L56" s="91"/>
      <c r="M56" s="92"/>
    </row>
    <row r="57" spans="1:13" s="45" customFormat="1" ht="8.5500000000000007" customHeight="1" x14ac:dyDescent="0.2">
      <c r="A57" s="98"/>
      <c r="B57" s="201" t="s">
        <v>533</v>
      </c>
      <c r="C57" s="201"/>
      <c r="D57" s="201"/>
      <c r="E57" s="201"/>
      <c r="F57" s="157"/>
      <c r="G57" s="189">
        <v>1995</v>
      </c>
      <c r="H57" s="167" t="s">
        <v>630</v>
      </c>
      <c r="I57" s="160">
        <v>94</v>
      </c>
      <c r="J57" s="209" t="s">
        <v>43</v>
      </c>
      <c r="K57" s="232">
        <v>1</v>
      </c>
      <c r="L57" s="91"/>
      <c r="M57" s="92"/>
    </row>
    <row r="58" spans="1:13" s="45" customFormat="1" ht="8.5500000000000007" customHeight="1" x14ac:dyDescent="0.2">
      <c r="A58" s="98"/>
      <c r="B58" s="158"/>
      <c r="C58" s="158"/>
      <c r="D58" s="158"/>
      <c r="E58" s="158"/>
      <c r="F58" s="159"/>
      <c r="G58" s="190"/>
      <c r="H58" s="168"/>
      <c r="I58" s="161"/>
      <c r="J58" s="210"/>
      <c r="K58" s="233"/>
      <c r="L58" s="91"/>
      <c r="M58" s="92"/>
    </row>
    <row r="59" spans="1:13" s="45" customFormat="1" ht="8.5500000000000007" customHeight="1" x14ac:dyDescent="0.2">
      <c r="A59" s="98"/>
      <c r="B59" s="201" t="s">
        <v>533</v>
      </c>
      <c r="C59" s="201"/>
      <c r="D59" s="201"/>
      <c r="E59" s="201"/>
      <c r="F59" s="157"/>
      <c r="G59" s="189">
        <v>1997</v>
      </c>
      <c r="H59" s="167">
        <v>98</v>
      </c>
      <c r="I59" s="160">
        <v>97</v>
      </c>
      <c r="J59" s="209" t="s">
        <v>341</v>
      </c>
      <c r="K59" s="232">
        <v>1</v>
      </c>
      <c r="L59" s="91"/>
      <c r="M59" s="92"/>
    </row>
    <row r="60" spans="1:13" s="45" customFormat="1" ht="8.5500000000000007" customHeight="1" x14ac:dyDescent="0.2">
      <c r="A60" s="98"/>
      <c r="B60" s="158"/>
      <c r="C60" s="158"/>
      <c r="D60" s="158"/>
      <c r="E60" s="158"/>
      <c r="F60" s="159"/>
      <c r="G60" s="190"/>
      <c r="H60" s="168"/>
      <c r="I60" s="161"/>
      <c r="J60" s="210"/>
      <c r="K60" s="233"/>
      <c r="L60" s="91"/>
      <c r="M60" s="92"/>
    </row>
    <row r="61" spans="1:13" s="45" customFormat="1" ht="8.5500000000000007" customHeight="1" x14ac:dyDescent="0.2">
      <c r="A61" s="98"/>
      <c r="B61" s="201" t="s">
        <v>533</v>
      </c>
      <c r="C61" s="201"/>
      <c r="D61" s="201"/>
      <c r="E61" s="201"/>
      <c r="F61" s="157"/>
      <c r="G61" s="189">
        <v>1998</v>
      </c>
      <c r="H61" s="167">
        <v>100</v>
      </c>
      <c r="I61" s="160">
        <v>95</v>
      </c>
      <c r="J61" s="209" t="s">
        <v>224</v>
      </c>
      <c r="K61" s="232">
        <v>4</v>
      </c>
      <c r="L61" s="91"/>
      <c r="M61" s="92"/>
    </row>
    <row r="62" spans="1:13" s="45" customFormat="1" ht="8.5500000000000007" customHeight="1" x14ac:dyDescent="0.2">
      <c r="A62" s="98"/>
      <c r="B62" s="158"/>
      <c r="C62" s="158"/>
      <c r="D62" s="158"/>
      <c r="E62" s="158"/>
      <c r="F62" s="159"/>
      <c r="G62" s="190"/>
      <c r="H62" s="168"/>
      <c r="I62" s="161"/>
      <c r="J62" s="210"/>
      <c r="K62" s="233"/>
      <c r="L62" s="91"/>
      <c r="M62" s="92"/>
    </row>
    <row r="63" spans="1:13" s="45" customFormat="1" ht="8.5500000000000007" customHeight="1" x14ac:dyDescent="0.2">
      <c r="A63" s="98"/>
      <c r="B63" s="201" t="s">
        <v>533</v>
      </c>
      <c r="C63" s="201"/>
      <c r="D63" s="201"/>
      <c r="E63" s="201"/>
      <c r="F63" s="157"/>
      <c r="G63" s="189">
        <v>1999</v>
      </c>
      <c r="H63" s="167">
        <v>100</v>
      </c>
      <c r="I63" s="160">
        <v>98</v>
      </c>
      <c r="J63" s="209" t="s">
        <v>124</v>
      </c>
      <c r="K63" s="232">
        <v>3</v>
      </c>
      <c r="L63" s="91"/>
      <c r="M63" s="92"/>
    </row>
    <row r="64" spans="1:13" s="45" customFormat="1" ht="8.5500000000000007" customHeight="1" x14ac:dyDescent="0.2">
      <c r="A64" s="98"/>
      <c r="B64" s="158"/>
      <c r="C64" s="158"/>
      <c r="D64" s="158"/>
      <c r="E64" s="158"/>
      <c r="F64" s="159"/>
      <c r="G64" s="190"/>
      <c r="H64" s="168"/>
      <c r="I64" s="161"/>
      <c r="J64" s="210"/>
      <c r="K64" s="233"/>
      <c r="L64" s="91"/>
      <c r="M64" s="92"/>
    </row>
    <row r="65" spans="1:13" s="45" customFormat="1" ht="8.5500000000000007" customHeight="1" x14ac:dyDescent="0.2">
      <c r="A65" s="98"/>
      <c r="B65" s="201" t="s">
        <v>533</v>
      </c>
      <c r="C65" s="201"/>
      <c r="D65" s="201"/>
      <c r="E65" s="201"/>
      <c r="F65" s="157"/>
      <c r="G65" s="189">
        <v>2003</v>
      </c>
      <c r="H65" s="167">
        <v>100</v>
      </c>
      <c r="I65" s="160">
        <v>98</v>
      </c>
      <c r="J65" s="209" t="s">
        <v>248</v>
      </c>
      <c r="K65" s="232">
        <v>4</v>
      </c>
      <c r="L65" s="91"/>
      <c r="M65" s="92"/>
    </row>
    <row r="66" spans="1:13" s="45" customFormat="1" ht="8.5500000000000007" customHeight="1" x14ac:dyDescent="0.2">
      <c r="A66" s="98"/>
      <c r="B66" s="158"/>
      <c r="C66" s="158"/>
      <c r="D66" s="158"/>
      <c r="E66" s="158"/>
      <c r="F66" s="159"/>
      <c r="G66" s="190"/>
      <c r="H66" s="168"/>
      <c r="I66" s="161"/>
      <c r="J66" s="210"/>
      <c r="K66" s="233"/>
      <c r="L66" s="91"/>
      <c r="M66" s="92"/>
    </row>
    <row r="67" spans="1:13" s="45" customFormat="1" ht="8.5500000000000007" customHeight="1" x14ac:dyDescent="0.2">
      <c r="A67" s="98"/>
      <c r="B67" s="213" t="s">
        <v>693</v>
      </c>
      <c r="C67" s="213"/>
      <c r="D67" s="213"/>
      <c r="E67" s="213"/>
      <c r="F67" s="213"/>
      <c r="G67" s="47"/>
      <c r="H67" s="44"/>
      <c r="I67" s="85"/>
      <c r="J67" s="110"/>
      <c r="K67" s="164"/>
      <c r="L67" s="91"/>
      <c r="M67" s="92"/>
    </row>
    <row r="68" spans="1:13" s="45" customFormat="1" ht="8.5500000000000007" customHeight="1" x14ac:dyDescent="0.2">
      <c r="A68" s="98"/>
      <c r="B68" s="171"/>
      <c r="C68" s="171"/>
      <c r="D68" s="171"/>
      <c r="E68" s="171"/>
      <c r="F68" s="171"/>
      <c r="G68" s="54"/>
      <c r="H68" s="46"/>
      <c r="I68" s="86"/>
      <c r="J68" s="111"/>
      <c r="K68" s="165"/>
      <c r="L68" s="91"/>
      <c r="M68" s="92"/>
    </row>
    <row r="69" spans="1:13" s="45" customFormat="1" ht="8.5500000000000007" customHeight="1" x14ac:dyDescent="0.2">
      <c r="A69" s="98"/>
      <c r="B69" s="201" t="s">
        <v>533</v>
      </c>
      <c r="C69" s="201"/>
      <c r="D69" s="201"/>
      <c r="E69" s="201"/>
      <c r="F69" s="157"/>
      <c r="G69" s="189">
        <v>2004</v>
      </c>
      <c r="H69" s="167">
        <v>94</v>
      </c>
      <c r="I69" s="160"/>
      <c r="J69" s="209" t="s">
        <v>263</v>
      </c>
      <c r="K69" s="232">
        <v>1</v>
      </c>
      <c r="L69" s="91"/>
      <c r="M69" s="92"/>
    </row>
    <row r="70" spans="1:13" s="45" customFormat="1" ht="8.5500000000000007" customHeight="1" x14ac:dyDescent="0.2">
      <c r="A70" s="98"/>
      <c r="B70" s="158"/>
      <c r="C70" s="158"/>
      <c r="D70" s="158"/>
      <c r="E70" s="158"/>
      <c r="F70" s="159"/>
      <c r="G70" s="190"/>
      <c r="H70" s="168"/>
      <c r="I70" s="161"/>
      <c r="J70" s="210"/>
      <c r="K70" s="233"/>
      <c r="L70" s="91"/>
      <c r="M70" s="92"/>
    </row>
    <row r="71" spans="1:13" s="45" customFormat="1" ht="8.5500000000000007" customHeight="1" x14ac:dyDescent="0.2">
      <c r="A71" s="98"/>
      <c r="B71" s="201" t="s">
        <v>533</v>
      </c>
      <c r="C71" s="201"/>
      <c r="D71" s="201"/>
      <c r="E71" s="201"/>
      <c r="F71" s="157"/>
      <c r="G71" s="189">
        <v>2005</v>
      </c>
      <c r="H71" s="167">
        <v>100</v>
      </c>
      <c r="I71" s="160">
        <v>98</v>
      </c>
      <c r="J71" s="209" t="s">
        <v>1892</v>
      </c>
      <c r="K71" s="232">
        <v>5</v>
      </c>
      <c r="L71" s="91"/>
      <c r="M71" s="92"/>
    </row>
    <row r="72" spans="1:13" s="45" customFormat="1" ht="8.5500000000000007" customHeight="1" x14ac:dyDescent="0.2">
      <c r="A72" s="98"/>
      <c r="B72" s="158"/>
      <c r="C72" s="158"/>
      <c r="D72" s="158"/>
      <c r="E72" s="158"/>
      <c r="F72" s="159"/>
      <c r="G72" s="190"/>
      <c r="H72" s="168"/>
      <c r="I72" s="161"/>
      <c r="J72" s="210"/>
      <c r="K72" s="233"/>
      <c r="L72" s="91"/>
      <c r="M72" s="92"/>
    </row>
    <row r="73" spans="1:13" s="45" customFormat="1" ht="8.5500000000000007" customHeight="1" x14ac:dyDescent="0.2">
      <c r="A73" s="98"/>
      <c r="B73" s="201" t="s">
        <v>533</v>
      </c>
      <c r="C73" s="201"/>
      <c r="D73" s="201"/>
      <c r="E73" s="201"/>
      <c r="F73" s="157"/>
      <c r="G73" s="189">
        <v>2006</v>
      </c>
      <c r="H73" s="167" t="s">
        <v>626</v>
      </c>
      <c r="I73" s="160">
        <v>97</v>
      </c>
      <c r="J73" s="209" t="s">
        <v>1972</v>
      </c>
      <c r="K73" s="232">
        <v>3</v>
      </c>
      <c r="L73" s="91"/>
      <c r="M73" s="92"/>
    </row>
    <row r="74" spans="1:13" s="45" customFormat="1" ht="8.5500000000000007" customHeight="1" x14ac:dyDescent="0.2">
      <c r="A74" s="98"/>
      <c r="B74" s="158"/>
      <c r="C74" s="158"/>
      <c r="D74" s="158"/>
      <c r="E74" s="158"/>
      <c r="F74" s="159"/>
      <c r="G74" s="190"/>
      <c r="H74" s="168"/>
      <c r="I74" s="161"/>
      <c r="J74" s="210"/>
      <c r="K74" s="233"/>
      <c r="L74" s="91"/>
      <c r="M74" s="92"/>
    </row>
    <row r="75" spans="1:13" s="45" customFormat="1" ht="8.5500000000000007" customHeight="1" x14ac:dyDescent="0.2">
      <c r="A75" s="98"/>
      <c r="B75" s="201" t="s">
        <v>533</v>
      </c>
      <c r="C75" s="201"/>
      <c r="D75" s="201"/>
      <c r="E75" s="201"/>
      <c r="F75" s="157"/>
      <c r="G75" s="189">
        <v>2007</v>
      </c>
      <c r="H75" s="167">
        <v>97</v>
      </c>
      <c r="I75" s="160">
        <v>97</v>
      </c>
      <c r="J75" s="209" t="s">
        <v>1973</v>
      </c>
      <c r="K75" s="232">
        <v>3</v>
      </c>
      <c r="L75" s="91"/>
      <c r="M75" s="92"/>
    </row>
    <row r="76" spans="1:13" s="45" customFormat="1" ht="8.5500000000000007" customHeight="1" x14ac:dyDescent="0.2">
      <c r="A76" s="98"/>
      <c r="B76" s="158"/>
      <c r="C76" s="158"/>
      <c r="D76" s="158"/>
      <c r="E76" s="158"/>
      <c r="F76" s="159"/>
      <c r="G76" s="190"/>
      <c r="H76" s="168"/>
      <c r="I76" s="161"/>
      <c r="J76" s="210"/>
      <c r="K76" s="233"/>
      <c r="L76" s="91"/>
      <c r="M76" s="92"/>
    </row>
    <row r="77" spans="1:13" s="45" customFormat="1" ht="8.5500000000000007" customHeight="1" x14ac:dyDescent="0.2">
      <c r="A77" s="98"/>
      <c r="B77" s="201" t="s">
        <v>533</v>
      </c>
      <c r="C77" s="201"/>
      <c r="D77" s="201"/>
      <c r="E77" s="201"/>
      <c r="F77" s="157"/>
      <c r="G77" s="189">
        <v>2013</v>
      </c>
      <c r="H77" s="167" t="s">
        <v>627</v>
      </c>
      <c r="I77" s="160"/>
      <c r="J77" s="209" t="s">
        <v>1974</v>
      </c>
      <c r="K77" s="232">
        <v>1</v>
      </c>
      <c r="L77" s="91"/>
      <c r="M77" s="92"/>
    </row>
    <row r="78" spans="1:13" s="45" customFormat="1" ht="8.5500000000000007" customHeight="1" x14ac:dyDescent="0.2">
      <c r="A78" s="98"/>
      <c r="B78" s="158"/>
      <c r="C78" s="158"/>
      <c r="D78" s="158"/>
      <c r="E78" s="158"/>
      <c r="F78" s="159"/>
      <c r="G78" s="190"/>
      <c r="H78" s="168"/>
      <c r="I78" s="161"/>
      <c r="J78" s="210"/>
      <c r="K78" s="233"/>
      <c r="L78" s="91"/>
      <c r="M78" s="92"/>
    </row>
    <row r="79" spans="1:13" s="45" customFormat="1" ht="8.5500000000000007" customHeight="1" x14ac:dyDescent="0.2">
      <c r="A79" s="98"/>
      <c r="B79" s="205" t="s">
        <v>532</v>
      </c>
      <c r="C79" s="205"/>
      <c r="D79" s="205"/>
      <c r="E79" s="205"/>
      <c r="F79" s="173"/>
      <c r="G79" s="189">
        <v>1985</v>
      </c>
      <c r="H79" s="167">
        <v>100</v>
      </c>
      <c r="I79" s="160">
        <v>95</v>
      </c>
      <c r="J79" s="209" t="s">
        <v>991</v>
      </c>
      <c r="K79" s="232">
        <v>1</v>
      </c>
      <c r="L79" s="91"/>
      <c r="M79" s="92"/>
    </row>
    <row r="80" spans="1:13" s="45" customFormat="1" ht="8.5500000000000007" customHeight="1" x14ac:dyDescent="0.2">
      <c r="A80" s="98"/>
      <c r="B80" s="174"/>
      <c r="C80" s="174"/>
      <c r="D80" s="174"/>
      <c r="E80" s="174"/>
      <c r="F80" s="175"/>
      <c r="G80" s="190"/>
      <c r="H80" s="168"/>
      <c r="I80" s="161"/>
      <c r="J80" s="210"/>
      <c r="K80" s="233"/>
      <c r="L80" s="91"/>
      <c r="M80" s="92"/>
    </row>
    <row r="81" spans="1:13" s="45" customFormat="1" ht="8.5500000000000007" customHeight="1" x14ac:dyDescent="0.2">
      <c r="A81" s="98"/>
      <c r="B81" s="201" t="s">
        <v>532</v>
      </c>
      <c r="C81" s="201"/>
      <c r="D81" s="201"/>
      <c r="E81" s="201"/>
      <c r="F81" s="157"/>
      <c r="G81" s="189">
        <v>1988</v>
      </c>
      <c r="H81" s="167">
        <v>100</v>
      </c>
      <c r="I81" s="160">
        <v>92</v>
      </c>
      <c r="J81" s="209" t="s">
        <v>338</v>
      </c>
      <c r="K81" s="232">
        <v>2</v>
      </c>
      <c r="L81" s="91"/>
      <c r="M81" s="92"/>
    </row>
    <row r="82" spans="1:13" s="45" customFormat="1" ht="8.5500000000000007" customHeight="1" x14ac:dyDescent="0.2">
      <c r="A82" s="98"/>
      <c r="B82" s="158"/>
      <c r="C82" s="158"/>
      <c r="D82" s="158"/>
      <c r="E82" s="158"/>
      <c r="F82" s="159"/>
      <c r="G82" s="190"/>
      <c r="H82" s="168"/>
      <c r="I82" s="161"/>
      <c r="J82" s="210"/>
      <c r="K82" s="233"/>
      <c r="L82" s="91"/>
      <c r="M82" s="92"/>
    </row>
    <row r="83" spans="1:13" s="45" customFormat="1" ht="8.5500000000000007" customHeight="1" x14ac:dyDescent="0.2">
      <c r="A83" s="98"/>
      <c r="B83" s="201" t="s">
        <v>532</v>
      </c>
      <c r="C83" s="201"/>
      <c r="D83" s="201"/>
      <c r="E83" s="201"/>
      <c r="F83" s="157"/>
      <c r="G83" s="189">
        <v>1990</v>
      </c>
      <c r="H83" s="167">
        <v>98</v>
      </c>
      <c r="I83" s="160">
        <v>95</v>
      </c>
      <c r="J83" s="209" t="s">
        <v>996</v>
      </c>
      <c r="K83" s="232">
        <v>1</v>
      </c>
      <c r="L83" s="91"/>
      <c r="M83" s="92"/>
    </row>
    <row r="84" spans="1:13" s="45" customFormat="1" ht="8.5500000000000007" customHeight="1" x14ac:dyDescent="0.2">
      <c r="A84" s="98"/>
      <c r="B84" s="158"/>
      <c r="C84" s="158"/>
      <c r="D84" s="158"/>
      <c r="E84" s="158"/>
      <c r="F84" s="159"/>
      <c r="G84" s="190"/>
      <c r="H84" s="168"/>
      <c r="I84" s="161"/>
      <c r="J84" s="210"/>
      <c r="K84" s="233"/>
      <c r="L84" s="91"/>
      <c r="M84" s="92"/>
    </row>
    <row r="85" spans="1:13" s="45" customFormat="1" ht="8.5500000000000007" customHeight="1" x14ac:dyDescent="0.2">
      <c r="A85" s="98"/>
      <c r="B85" s="201" t="s">
        <v>532</v>
      </c>
      <c r="C85" s="201"/>
      <c r="D85" s="201"/>
      <c r="E85" s="201"/>
      <c r="F85" s="157"/>
      <c r="G85" s="189">
        <v>1995</v>
      </c>
      <c r="H85" s="167">
        <v>100</v>
      </c>
      <c r="I85" s="160">
        <v>94</v>
      </c>
      <c r="J85" s="209" t="s">
        <v>43</v>
      </c>
      <c r="K85" s="232">
        <v>2</v>
      </c>
      <c r="L85" s="91"/>
      <c r="M85" s="92"/>
    </row>
    <row r="86" spans="1:13" s="45" customFormat="1" ht="8.5500000000000007" customHeight="1" x14ac:dyDescent="0.2">
      <c r="A86" s="98"/>
      <c r="B86" s="158"/>
      <c r="C86" s="158"/>
      <c r="D86" s="158"/>
      <c r="E86" s="158"/>
      <c r="F86" s="159"/>
      <c r="G86" s="190"/>
      <c r="H86" s="168"/>
      <c r="I86" s="161"/>
      <c r="J86" s="210"/>
      <c r="K86" s="233"/>
      <c r="L86" s="91"/>
      <c r="M86" s="92"/>
    </row>
    <row r="87" spans="1:13" s="45" customFormat="1" ht="8.5500000000000007" customHeight="1" x14ac:dyDescent="0.2">
      <c r="A87" s="98"/>
      <c r="B87" s="201" t="s">
        <v>532</v>
      </c>
      <c r="C87" s="201"/>
      <c r="D87" s="201"/>
      <c r="E87" s="201"/>
      <c r="F87" s="157"/>
      <c r="G87" s="189">
        <v>1998</v>
      </c>
      <c r="H87" s="167">
        <v>98</v>
      </c>
      <c r="I87" s="292">
        <v>95</v>
      </c>
      <c r="J87" s="209" t="s">
        <v>997</v>
      </c>
      <c r="K87" s="232">
        <v>4</v>
      </c>
      <c r="L87" s="91"/>
      <c r="M87" s="92"/>
    </row>
    <row r="88" spans="1:13" s="45" customFormat="1" ht="8.5500000000000007" customHeight="1" x14ac:dyDescent="0.2">
      <c r="A88" s="98"/>
      <c r="B88" s="158"/>
      <c r="C88" s="158"/>
      <c r="D88" s="158"/>
      <c r="E88" s="158"/>
      <c r="F88" s="159"/>
      <c r="G88" s="190"/>
      <c r="H88" s="168"/>
      <c r="I88" s="293"/>
      <c r="J88" s="210"/>
      <c r="K88" s="233"/>
      <c r="L88" s="91"/>
      <c r="M88" s="92"/>
    </row>
    <row r="89" spans="1:13" s="45" customFormat="1" ht="8.5500000000000007" customHeight="1" x14ac:dyDescent="0.2">
      <c r="A89" s="98"/>
      <c r="B89" s="201" t="s">
        <v>532</v>
      </c>
      <c r="C89" s="201"/>
      <c r="D89" s="201"/>
      <c r="E89" s="201"/>
      <c r="F89" s="157"/>
      <c r="G89" s="189">
        <v>1999</v>
      </c>
      <c r="H89" s="167">
        <v>100</v>
      </c>
      <c r="I89" s="160">
        <v>99</v>
      </c>
      <c r="J89" s="209" t="s">
        <v>139</v>
      </c>
      <c r="K89" s="232">
        <v>4</v>
      </c>
      <c r="L89" s="91"/>
      <c r="M89" s="92"/>
    </row>
    <row r="90" spans="1:13" s="45" customFormat="1" ht="8.5500000000000007" customHeight="1" x14ac:dyDescent="0.2">
      <c r="A90" s="98"/>
      <c r="B90" s="158"/>
      <c r="C90" s="158"/>
      <c r="D90" s="158"/>
      <c r="E90" s="158"/>
      <c r="F90" s="159"/>
      <c r="G90" s="190"/>
      <c r="H90" s="168"/>
      <c r="I90" s="161"/>
      <c r="J90" s="210"/>
      <c r="K90" s="233"/>
      <c r="L90" s="91"/>
      <c r="M90" s="92"/>
    </row>
    <row r="91" spans="1:13" s="45" customFormat="1" ht="8.5500000000000007" customHeight="1" x14ac:dyDescent="0.2">
      <c r="A91" s="98"/>
      <c r="B91" s="201" t="s">
        <v>532</v>
      </c>
      <c r="C91" s="201"/>
      <c r="D91" s="201"/>
      <c r="E91" s="201"/>
      <c r="F91" s="157"/>
      <c r="G91" s="189">
        <v>2001</v>
      </c>
      <c r="H91" s="167" t="s">
        <v>44</v>
      </c>
      <c r="I91" s="160">
        <v>97</v>
      </c>
      <c r="J91" s="209" t="s">
        <v>45</v>
      </c>
      <c r="K91" s="232">
        <v>2</v>
      </c>
      <c r="L91" s="91"/>
      <c r="M91" s="92"/>
    </row>
    <row r="92" spans="1:13" s="45" customFormat="1" ht="8.5500000000000007" customHeight="1" x14ac:dyDescent="0.2">
      <c r="A92" s="98"/>
      <c r="B92" s="158"/>
      <c r="C92" s="158"/>
      <c r="D92" s="158"/>
      <c r="E92" s="158"/>
      <c r="F92" s="159"/>
      <c r="G92" s="190"/>
      <c r="H92" s="168"/>
      <c r="I92" s="161"/>
      <c r="J92" s="210"/>
      <c r="K92" s="233"/>
      <c r="L92" s="91"/>
      <c r="M92" s="92"/>
    </row>
    <row r="93" spans="1:13" s="45" customFormat="1" ht="8.5500000000000007" customHeight="1" x14ac:dyDescent="0.2">
      <c r="A93" s="98"/>
      <c r="B93" s="201" t="s">
        <v>532</v>
      </c>
      <c r="C93" s="201"/>
      <c r="D93" s="201"/>
      <c r="E93" s="201"/>
      <c r="F93" s="157"/>
      <c r="G93" s="189">
        <v>2003</v>
      </c>
      <c r="H93" s="167">
        <v>100</v>
      </c>
      <c r="I93" s="160">
        <v>98</v>
      </c>
      <c r="J93" s="209" t="s">
        <v>1975</v>
      </c>
      <c r="K93" s="232">
        <v>3</v>
      </c>
      <c r="L93" s="91"/>
      <c r="M93" s="92"/>
    </row>
    <row r="94" spans="1:13" s="45" customFormat="1" ht="8.5500000000000007" customHeight="1" x14ac:dyDescent="0.2">
      <c r="A94" s="98"/>
      <c r="B94" s="158"/>
      <c r="C94" s="158"/>
      <c r="D94" s="158"/>
      <c r="E94" s="158"/>
      <c r="F94" s="159"/>
      <c r="G94" s="190"/>
      <c r="H94" s="168"/>
      <c r="I94" s="161"/>
      <c r="J94" s="210"/>
      <c r="K94" s="233"/>
      <c r="L94" s="91"/>
      <c r="M94" s="92"/>
    </row>
    <row r="95" spans="1:13" s="45" customFormat="1" ht="8.5500000000000007" customHeight="1" x14ac:dyDescent="0.2">
      <c r="A95" s="98"/>
      <c r="B95" s="201" t="s">
        <v>532</v>
      </c>
      <c r="C95" s="201"/>
      <c r="D95" s="201"/>
      <c r="E95" s="201"/>
      <c r="F95" s="157"/>
      <c r="G95" s="189">
        <v>2005</v>
      </c>
      <c r="H95" s="167">
        <v>100</v>
      </c>
      <c r="I95" s="160">
        <v>99</v>
      </c>
      <c r="J95" s="209" t="s">
        <v>258</v>
      </c>
      <c r="K95" s="232">
        <v>5</v>
      </c>
      <c r="L95" s="91"/>
      <c r="M95" s="92"/>
    </row>
    <row r="96" spans="1:13" s="45" customFormat="1" ht="8.5500000000000007" customHeight="1" x14ac:dyDescent="0.2">
      <c r="A96" s="98"/>
      <c r="B96" s="158"/>
      <c r="C96" s="158"/>
      <c r="D96" s="158"/>
      <c r="E96" s="158"/>
      <c r="F96" s="159"/>
      <c r="G96" s="190"/>
      <c r="H96" s="168"/>
      <c r="I96" s="161"/>
      <c r="J96" s="210"/>
      <c r="K96" s="233"/>
      <c r="L96" s="91"/>
      <c r="M96" s="92"/>
    </row>
    <row r="97" spans="1:13" s="45" customFormat="1" ht="8.5500000000000007" customHeight="1" x14ac:dyDescent="0.2">
      <c r="A97" s="98"/>
      <c r="B97" s="201" t="s">
        <v>532</v>
      </c>
      <c r="C97" s="201"/>
      <c r="D97" s="201"/>
      <c r="E97" s="201"/>
      <c r="F97" s="157"/>
      <c r="G97" s="189">
        <v>2006</v>
      </c>
      <c r="H97" s="167" t="s">
        <v>633</v>
      </c>
      <c r="I97" s="160">
        <v>97</v>
      </c>
      <c r="J97" s="209" t="s">
        <v>1143</v>
      </c>
      <c r="K97" s="232">
        <v>2</v>
      </c>
      <c r="L97" s="91"/>
      <c r="M97" s="92"/>
    </row>
    <row r="98" spans="1:13" s="45" customFormat="1" ht="8.5500000000000007" customHeight="1" x14ac:dyDescent="0.2">
      <c r="A98" s="98"/>
      <c r="B98" s="158"/>
      <c r="C98" s="158"/>
      <c r="D98" s="158"/>
      <c r="E98" s="158"/>
      <c r="F98" s="159"/>
      <c r="G98" s="190"/>
      <c r="H98" s="168"/>
      <c r="I98" s="161"/>
      <c r="J98" s="210"/>
      <c r="K98" s="233"/>
      <c r="L98" s="91"/>
      <c r="M98" s="92"/>
    </row>
    <row r="99" spans="1:13" s="45" customFormat="1" ht="8.5500000000000007" customHeight="1" x14ac:dyDescent="0.2">
      <c r="A99" s="98"/>
      <c r="B99" s="201" t="s">
        <v>532</v>
      </c>
      <c r="C99" s="201"/>
      <c r="D99" s="201"/>
      <c r="E99" s="201"/>
      <c r="F99" s="157"/>
      <c r="G99" s="189">
        <v>2007</v>
      </c>
      <c r="H99" s="167">
        <v>97</v>
      </c>
      <c r="I99" s="160">
        <v>96</v>
      </c>
      <c r="J99" s="209" t="s">
        <v>327</v>
      </c>
      <c r="K99" s="232">
        <v>1</v>
      </c>
      <c r="L99" s="91"/>
      <c r="M99" s="92"/>
    </row>
    <row r="100" spans="1:13" s="45" customFormat="1" ht="8.5500000000000007" customHeight="1" x14ac:dyDescent="0.2">
      <c r="A100" s="98"/>
      <c r="B100" s="158"/>
      <c r="C100" s="158"/>
      <c r="D100" s="158"/>
      <c r="E100" s="158"/>
      <c r="F100" s="159"/>
      <c r="G100" s="190"/>
      <c r="H100" s="168"/>
      <c r="I100" s="161"/>
      <c r="J100" s="210"/>
      <c r="K100" s="233"/>
      <c r="L100" s="91"/>
      <c r="M100" s="92"/>
    </row>
    <row r="101" spans="1:13" s="45" customFormat="1" ht="8.5500000000000007" customHeight="1" x14ac:dyDescent="0.2">
      <c r="A101" s="98"/>
      <c r="B101" s="201" t="s">
        <v>532</v>
      </c>
      <c r="C101" s="201"/>
      <c r="D101" s="201"/>
      <c r="E101" s="201"/>
      <c r="F101" s="157"/>
      <c r="G101" s="189">
        <v>2009</v>
      </c>
      <c r="H101" s="167">
        <v>100</v>
      </c>
      <c r="I101" s="160"/>
      <c r="J101" s="209" t="s">
        <v>342</v>
      </c>
      <c r="K101" s="232">
        <v>1</v>
      </c>
      <c r="L101" s="91"/>
      <c r="M101" s="92"/>
    </row>
    <row r="102" spans="1:13" s="45" customFormat="1" ht="8.5500000000000007" customHeight="1" x14ac:dyDescent="0.2">
      <c r="A102" s="98"/>
      <c r="B102" s="158"/>
      <c r="C102" s="158"/>
      <c r="D102" s="158"/>
      <c r="E102" s="158"/>
      <c r="F102" s="159"/>
      <c r="G102" s="190"/>
      <c r="H102" s="168"/>
      <c r="I102" s="161"/>
      <c r="J102" s="210"/>
      <c r="K102" s="233"/>
      <c r="L102" s="91"/>
      <c r="M102" s="92"/>
    </row>
    <row r="103" spans="1:13" s="45" customFormat="1" ht="8.5500000000000007" customHeight="1" x14ac:dyDescent="0.2">
      <c r="A103" s="98"/>
      <c r="B103" s="205" t="s">
        <v>1534</v>
      </c>
      <c r="C103" s="205"/>
      <c r="D103" s="205"/>
      <c r="E103" s="205"/>
      <c r="F103" s="173"/>
      <c r="G103" s="189">
        <v>1979</v>
      </c>
      <c r="H103" s="167"/>
      <c r="I103" s="160"/>
      <c r="J103" s="209"/>
      <c r="K103" s="232">
        <v>1</v>
      </c>
      <c r="L103" s="91"/>
      <c r="M103" s="92"/>
    </row>
    <row r="104" spans="1:13" s="45" customFormat="1" ht="8.5500000000000007" customHeight="1" x14ac:dyDescent="0.2">
      <c r="A104" s="98"/>
      <c r="B104" s="174"/>
      <c r="C104" s="174"/>
      <c r="D104" s="174"/>
      <c r="E104" s="174"/>
      <c r="F104" s="175"/>
      <c r="G104" s="190"/>
      <c r="H104" s="168"/>
      <c r="I104" s="161"/>
      <c r="J104" s="210"/>
      <c r="K104" s="233"/>
      <c r="L104" s="91"/>
      <c r="M104" s="92"/>
    </row>
    <row r="105" spans="1:13" s="45" customFormat="1" ht="8.5500000000000007" customHeight="1" x14ac:dyDescent="0.2">
      <c r="A105" s="98"/>
      <c r="B105" s="201" t="s">
        <v>1464</v>
      </c>
      <c r="C105" s="201"/>
      <c r="D105" s="201"/>
      <c r="E105" s="201"/>
      <c r="F105" s="157"/>
      <c r="G105" s="189">
        <v>1982</v>
      </c>
      <c r="H105" s="167"/>
      <c r="I105" s="160"/>
      <c r="J105" s="209"/>
      <c r="K105" s="232">
        <v>1</v>
      </c>
      <c r="L105" s="91"/>
      <c r="M105" s="92"/>
    </row>
    <row r="106" spans="1:13" s="45" customFormat="1" ht="8.5500000000000007" customHeight="1" x14ac:dyDescent="0.2">
      <c r="A106" s="98"/>
      <c r="B106" s="158"/>
      <c r="C106" s="158"/>
      <c r="D106" s="158"/>
      <c r="E106" s="158"/>
      <c r="F106" s="159"/>
      <c r="G106" s="190"/>
      <c r="H106" s="168"/>
      <c r="I106" s="161"/>
      <c r="J106" s="210"/>
      <c r="K106" s="233"/>
      <c r="L106" s="91"/>
      <c r="M106" s="92"/>
    </row>
    <row r="107" spans="1:13" s="45" customFormat="1" ht="8.5500000000000007" customHeight="1" x14ac:dyDescent="0.2">
      <c r="A107" s="98"/>
      <c r="B107" s="201" t="s">
        <v>1373</v>
      </c>
      <c r="C107" s="201"/>
      <c r="D107" s="201"/>
      <c r="E107" s="201"/>
      <c r="F107" s="157"/>
      <c r="G107" s="189">
        <v>1998</v>
      </c>
      <c r="H107" s="167">
        <v>96</v>
      </c>
      <c r="I107" s="160">
        <v>92</v>
      </c>
      <c r="J107" s="209" t="s">
        <v>251</v>
      </c>
      <c r="K107" s="232">
        <v>1</v>
      </c>
      <c r="L107" s="91"/>
      <c r="M107" s="92"/>
    </row>
    <row r="108" spans="1:13" s="45" customFormat="1" ht="8.5500000000000007" customHeight="1" x14ac:dyDescent="0.2">
      <c r="A108" s="98"/>
      <c r="B108" s="158"/>
      <c r="C108" s="158"/>
      <c r="D108" s="158"/>
      <c r="E108" s="158"/>
      <c r="F108" s="159"/>
      <c r="G108" s="190"/>
      <c r="H108" s="168"/>
      <c r="I108" s="161"/>
      <c r="J108" s="210"/>
      <c r="K108" s="233"/>
      <c r="L108" s="91"/>
      <c r="M108" s="92"/>
    </row>
    <row r="109" spans="1:13" s="45" customFormat="1" ht="8.5500000000000007" customHeight="1" x14ac:dyDescent="0.2">
      <c r="A109" s="98"/>
      <c r="B109" s="294" t="s">
        <v>1374</v>
      </c>
      <c r="C109" s="294"/>
      <c r="D109" s="294"/>
      <c r="E109" s="294"/>
      <c r="F109" s="262"/>
      <c r="G109" s="189">
        <v>1999</v>
      </c>
      <c r="H109" s="167">
        <v>100</v>
      </c>
      <c r="I109" s="160">
        <v>97</v>
      </c>
      <c r="J109" s="209" t="s">
        <v>135</v>
      </c>
      <c r="K109" s="232">
        <v>2</v>
      </c>
      <c r="L109" s="91"/>
      <c r="M109" s="92"/>
    </row>
    <row r="110" spans="1:13" s="45" customFormat="1" ht="8.5500000000000007" customHeight="1" x14ac:dyDescent="0.2">
      <c r="A110" s="98"/>
      <c r="B110" s="263"/>
      <c r="C110" s="263"/>
      <c r="D110" s="263"/>
      <c r="E110" s="263"/>
      <c r="F110" s="264"/>
      <c r="G110" s="190"/>
      <c r="H110" s="168"/>
      <c r="I110" s="161"/>
      <c r="J110" s="210"/>
      <c r="K110" s="233"/>
      <c r="L110" s="91"/>
      <c r="M110" s="92"/>
    </row>
    <row r="111" spans="1:13" s="45" customFormat="1" ht="8.5500000000000007" customHeight="1" x14ac:dyDescent="0.2">
      <c r="A111" s="98"/>
      <c r="B111" s="281" t="s">
        <v>1374</v>
      </c>
      <c r="C111" s="281"/>
      <c r="D111" s="281"/>
      <c r="E111" s="281"/>
      <c r="F111" s="184"/>
      <c r="G111" s="189">
        <v>2005</v>
      </c>
      <c r="H111" s="167">
        <v>97</v>
      </c>
      <c r="I111" s="160">
        <v>97</v>
      </c>
      <c r="J111" s="209" t="s">
        <v>492</v>
      </c>
      <c r="K111" s="232">
        <v>3</v>
      </c>
      <c r="L111" s="91"/>
      <c r="M111" s="92"/>
    </row>
    <row r="112" spans="1:13" s="45" customFormat="1" ht="8.5500000000000007" customHeight="1" x14ac:dyDescent="0.2">
      <c r="A112" s="98"/>
      <c r="B112" s="185"/>
      <c r="C112" s="185"/>
      <c r="D112" s="185"/>
      <c r="E112" s="185"/>
      <c r="F112" s="186"/>
      <c r="G112" s="190"/>
      <c r="H112" s="168"/>
      <c r="I112" s="161"/>
      <c r="J112" s="210"/>
      <c r="K112" s="233"/>
      <c r="L112" s="91"/>
      <c r="M112" s="92"/>
    </row>
    <row r="113" spans="1:13" s="45" customFormat="1" ht="8.5500000000000007" customHeight="1" x14ac:dyDescent="0.2">
      <c r="A113" s="98"/>
      <c r="B113" s="281" t="s">
        <v>1375</v>
      </c>
      <c r="C113" s="281"/>
      <c r="D113" s="281"/>
      <c r="E113" s="281"/>
      <c r="F113" s="184"/>
      <c r="G113" s="189">
        <v>2006</v>
      </c>
      <c r="H113" s="167">
        <v>95</v>
      </c>
      <c r="I113" s="160">
        <v>95</v>
      </c>
      <c r="J113" s="209" t="s">
        <v>408</v>
      </c>
      <c r="K113" s="232">
        <v>1</v>
      </c>
      <c r="L113" s="91"/>
      <c r="M113" s="92"/>
    </row>
    <row r="114" spans="1:13" s="45" customFormat="1" ht="8.5500000000000007" customHeight="1" x14ac:dyDescent="0.2">
      <c r="A114" s="98"/>
      <c r="B114" s="185"/>
      <c r="C114" s="185"/>
      <c r="D114" s="185"/>
      <c r="E114" s="185"/>
      <c r="F114" s="186"/>
      <c r="G114" s="190"/>
      <c r="H114" s="168"/>
      <c r="I114" s="161"/>
      <c r="J114" s="210"/>
      <c r="K114" s="233"/>
      <c r="L114" s="91"/>
      <c r="M114" s="92"/>
    </row>
    <row r="115" spans="1:13" s="45" customFormat="1" ht="8.5500000000000007" customHeight="1" x14ac:dyDescent="0.2">
      <c r="A115" s="98"/>
      <c r="B115" s="201" t="s">
        <v>534</v>
      </c>
      <c r="C115" s="201"/>
      <c r="D115" s="201"/>
      <c r="E115" s="201"/>
      <c r="F115" s="157"/>
      <c r="G115" s="251">
        <v>1991</v>
      </c>
      <c r="H115" s="253">
        <v>100</v>
      </c>
      <c r="I115" s="160">
        <v>86</v>
      </c>
      <c r="J115" s="209" t="s">
        <v>1014</v>
      </c>
      <c r="K115" s="234">
        <v>3</v>
      </c>
      <c r="L115" s="91"/>
      <c r="M115" s="92"/>
    </row>
    <row r="116" spans="1:13" s="45" customFormat="1" ht="8.5500000000000007" customHeight="1" x14ac:dyDescent="0.2">
      <c r="A116" s="98"/>
      <c r="B116" s="158"/>
      <c r="C116" s="158"/>
      <c r="D116" s="158"/>
      <c r="E116" s="158"/>
      <c r="F116" s="159"/>
      <c r="G116" s="252"/>
      <c r="H116" s="254"/>
      <c r="I116" s="161"/>
      <c r="J116" s="210"/>
      <c r="K116" s="235"/>
      <c r="L116" s="91"/>
      <c r="M116" s="92"/>
    </row>
    <row r="117" spans="1:13" s="45" customFormat="1" ht="8.5500000000000007" customHeight="1" x14ac:dyDescent="0.2">
      <c r="A117" s="98"/>
      <c r="B117" s="213" t="s">
        <v>810</v>
      </c>
      <c r="C117" s="213"/>
      <c r="D117" s="213"/>
      <c r="E117" s="213"/>
      <c r="F117" s="213"/>
      <c r="G117" s="47"/>
      <c r="H117" s="47"/>
      <c r="I117" s="48"/>
      <c r="J117" s="104"/>
      <c r="K117" s="236">
        <v>114</v>
      </c>
      <c r="L117" s="290">
        <f>+K117</f>
        <v>114</v>
      </c>
      <c r="M117" s="92"/>
    </row>
    <row r="118" spans="1:13" s="45" customFormat="1" ht="8.5500000000000007" customHeight="1" x14ac:dyDescent="0.2">
      <c r="A118" s="98"/>
      <c r="B118" s="171"/>
      <c r="C118" s="171"/>
      <c r="D118" s="171"/>
      <c r="E118" s="171"/>
      <c r="F118" s="171"/>
      <c r="G118" s="54"/>
      <c r="H118" s="54"/>
      <c r="I118" s="49"/>
      <c r="J118" s="105"/>
      <c r="K118" s="225"/>
      <c r="L118" s="231"/>
      <c r="M118" s="92"/>
    </row>
    <row r="119" spans="1:13" s="45" customFormat="1" ht="8.5500000000000007" customHeight="1" x14ac:dyDescent="0.2">
      <c r="A119" s="98"/>
      <c r="B119" s="286" t="s">
        <v>159</v>
      </c>
      <c r="C119" s="286"/>
      <c r="D119" s="286"/>
      <c r="E119" s="286"/>
      <c r="F119" s="286"/>
      <c r="G119" s="75"/>
      <c r="H119" s="75"/>
      <c r="I119" s="75"/>
      <c r="J119" s="106"/>
      <c r="K119" s="75"/>
      <c r="L119" s="91"/>
      <c r="M119" s="92"/>
    </row>
    <row r="120" spans="1:13" s="45" customFormat="1" ht="8.5500000000000007" customHeight="1" x14ac:dyDescent="0.2">
      <c r="A120" s="98"/>
      <c r="B120" s="287"/>
      <c r="C120" s="287"/>
      <c r="D120" s="287"/>
      <c r="E120" s="287"/>
      <c r="F120" s="287"/>
      <c r="G120" s="76"/>
      <c r="H120" s="76"/>
      <c r="I120" s="76"/>
      <c r="J120" s="107"/>
      <c r="K120" s="76"/>
      <c r="L120" s="91"/>
      <c r="M120" s="92"/>
    </row>
    <row r="121" spans="1:13" s="45" customFormat="1" ht="8.5500000000000007" customHeight="1" x14ac:dyDescent="0.2">
      <c r="A121" s="98"/>
      <c r="B121" s="205" t="s">
        <v>673</v>
      </c>
      <c r="C121" s="205"/>
      <c r="D121" s="205"/>
      <c r="E121" s="205"/>
      <c r="F121" s="173"/>
      <c r="G121" s="295">
        <v>1995</v>
      </c>
      <c r="H121" s="253">
        <v>97</v>
      </c>
      <c r="I121" s="160">
        <v>98</v>
      </c>
      <c r="J121" s="209" t="s">
        <v>337</v>
      </c>
      <c r="K121" s="234">
        <v>2</v>
      </c>
      <c r="L121" s="91"/>
      <c r="M121" s="92"/>
    </row>
    <row r="122" spans="1:13" s="45" customFormat="1" ht="8.5500000000000007" customHeight="1" x14ac:dyDescent="0.2">
      <c r="A122" s="98"/>
      <c r="B122" s="174"/>
      <c r="C122" s="174"/>
      <c r="D122" s="174"/>
      <c r="E122" s="174"/>
      <c r="F122" s="175"/>
      <c r="G122" s="296"/>
      <c r="H122" s="254"/>
      <c r="I122" s="161"/>
      <c r="J122" s="210"/>
      <c r="K122" s="235"/>
      <c r="L122" s="91"/>
      <c r="M122" s="92"/>
    </row>
    <row r="123" spans="1:13" s="45" customFormat="1" ht="8.5500000000000007" customHeight="1" x14ac:dyDescent="0.2">
      <c r="A123" s="98"/>
      <c r="B123" s="213" t="s">
        <v>694</v>
      </c>
      <c r="C123" s="213"/>
      <c r="D123" s="213"/>
      <c r="E123" s="213"/>
      <c r="F123" s="213"/>
      <c r="G123" s="297"/>
      <c r="H123" s="47"/>
      <c r="I123" s="48"/>
      <c r="J123" s="104"/>
      <c r="K123" s="164"/>
      <c r="L123" s="91"/>
      <c r="M123" s="92"/>
    </row>
    <row r="124" spans="1:13" s="45" customFormat="1" ht="8.5500000000000007" customHeight="1" x14ac:dyDescent="0.2">
      <c r="A124" s="98"/>
      <c r="B124" s="171"/>
      <c r="C124" s="171"/>
      <c r="D124" s="171"/>
      <c r="E124" s="171"/>
      <c r="F124" s="171"/>
      <c r="G124" s="188"/>
      <c r="H124" s="54"/>
      <c r="I124" s="49"/>
      <c r="J124" s="105"/>
      <c r="K124" s="165"/>
      <c r="L124" s="91"/>
      <c r="M124" s="92"/>
    </row>
    <row r="125" spans="1:13" s="45" customFormat="1" ht="8.5500000000000007" customHeight="1" x14ac:dyDescent="0.2">
      <c r="A125" s="98"/>
      <c r="B125" s="201" t="s">
        <v>80</v>
      </c>
      <c r="C125" s="201"/>
      <c r="D125" s="201"/>
      <c r="E125" s="201"/>
      <c r="F125" s="157"/>
      <c r="G125" s="251">
        <v>1984</v>
      </c>
      <c r="H125" s="253">
        <v>78</v>
      </c>
      <c r="I125" s="160"/>
      <c r="J125" s="284"/>
      <c r="K125" s="234">
        <v>1</v>
      </c>
      <c r="L125" s="91"/>
      <c r="M125" s="92"/>
    </row>
    <row r="126" spans="1:13" s="45" customFormat="1" ht="8.5500000000000007" customHeight="1" x14ac:dyDescent="0.2">
      <c r="A126" s="98"/>
      <c r="B126" s="158"/>
      <c r="C126" s="158"/>
      <c r="D126" s="158"/>
      <c r="E126" s="158"/>
      <c r="F126" s="159"/>
      <c r="G126" s="252"/>
      <c r="H126" s="254"/>
      <c r="I126" s="161"/>
      <c r="J126" s="285"/>
      <c r="K126" s="235"/>
      <c r="L126" s="91"/>
      <c r="M126" s="92"/>
    </row>
    <row r="127" spans="1:13" s="45" customFormat="1" ht="8.5500000000000007" customHeight="1" x14ac:dyDescent="0.2">
      <c r="A127" s="98"/>
      <c r="B127" s="201" t="s">
        <v>80</v>
      </c>
      <c r="C127" s="201"/>
      <c r="D127" s="201"/>
      <c r="E127" s="201"/>
      <c r="F127" s="157"/>
      <c r="G127" s="251">
        <v>1986</v>
      </c>
      <c r="H127" s="253">
        <v>88</v>
      </c>
      <c r="I127" s="160"/>
      <c r="J127" s="209"/>
      <c r="K127" s="234">
        <v>1</v>
      </c>
      <c r="L127" s="91"/>
      <c r="M127" s="92"/>
    </row>
    <row r="128" spans="1:13" s="45" customFormat="1" ht="8.5500000000000007" customHeight="1" x14ac:dyDescent="0.2">
      <c r="A128" s="98"/>
      <c r="B128" s="158"/>
      <c r="C128" s="158"/>
      <c r="D128" s="158"/>
      <c r="E128" s="158"/>
      <c r="F128" s="159"/>
      <c r="G128" s="252"/>
      <c r="H128" s="254"/>
      <c r="I128" s="161"/>
      <c r="J128" s="210"/>
      <c r="K128" s="235"/>
      <c r="L128" s="91"/>
      <c r="M128" s="92"/>
    </row>
    <row r="129" spans="1:13" s="45" customFormat="1" ht="8.5500000000000007" customHeight="1" x14ac:dyDescent="0.2">
      <c r="A129" s="98"/>
      <c r="B129" s="201" t="s">
        <v>80</v>
      </c>
      <c r="C129" s="201"/>
      <c r="D129" s="201"/>
      <c r="E129" s="201"/>
      <c r="F129" s="157"/>
      <c r="G129" s="251">
        <v>1989</v>
      </c>
      <c r="H129" s="253">
        <v>95</v>
      </c>
      <c r="I129" s="160"/>
      <c r="J129" s="209" t="s">
        <v>62</v>
      </c>
      <c r="K129" s="234">
        <v>2</v>
      </c>
      <c r="L129" s="91"/>
      <c r="M129" s="92"/>
    </row>
    <row r="130" spans="1:13" s="45" customFormat="1" ht="8.5500000000000007" customHeight="1" x14ac:dyDescent="0.2">
      <c r="A130" s="98"/>
      <c r="B130" s="158"/>
      <c r="C130" s="158"/>
      <c r="D130" s="158"/>
      <c r="E130" s="158"/>
      <c r="F130" s="159"/>
      <c r="G130" s="252"/>
      <c r="H130" s="254"/>
      <c r="I130" s="161"/>
      <c r="J130" s="210"/>
      <c r="K130" s="235"/>
      <c r="L130" s="91"/>
      <c r="M130" s="92"/>
    </row>
    <row r="131" spans="1:13" s="45" customFormat="1" ht="8.5500000000000007" customHeight="1" x14ac:dyDescent="0.2">
      <c r="A131" s="98"/>
      <c r="B131" s="201" t="s">
        <v>80</v>
      </c>
      <c r="C131" s="201"/>
      <c r="D131" s="201"/>
      <c r="E131" s="201"/>
      <c r="F131" s="157"/>
      <c r="G131" s="251">
        <v>1990</v>
      </c>
      <c r="H131" s="253">
        <v>99</v>
      </c>
      <c r="I131" s="160"/>
      <c r="J131" s="209" t="s">
        <v>117</v>
      </c>
      <c r="K131" s="234">
        <v>2</v>
      </c>
      <c r="L131" s="91"/>
      <c r="M131" s="92"/>
    </row>
    <row r="132" spans="1:13" s="45" customFormat="1" ht="8.5500000000000007" customHeight="1" x14ac:dyDescent="0.2">
      <c r="A132" s="98"/>
      <c r="B132" s="158"/>
      <c r="C132" s="158"/>
      <c r="D132" s="158"/>
      <c r="E132" s="158"/>
      <c r="F132" s="159"/>
      <c r="G132" s="252"/>
      <c r="H132" s="254"/>
      <c r="I132" s="161"/>
      <c r="J132" s="210"/>
      <c r="K132" s="235"/>
      <c r="L132" s="91"/>
      <c r="M132" s="92"/>
    </row>
    <row r="133" spans="1:13" s="45" customFormat="1" ht="8.5500000000000007" customHeight="1" x14ac:dyDescent="0.2">
      <c r="A133" s="98"/>
      <c r="B133" s="201" t="s">
        <v>80</v>
      </c>
      <c r="C133" s="201"/>
      <c r="D133" s="201"/>
      <c r="E133" s="201"/>
      <c r="F133" s="157"/>
      <c r="G133" s="251">
        <v>1992</v>
      </c>
      <c r="H133" s="253">
        <v>88</v>
      </c>
      <c r="I133" s="160"/>
      <c r="J133" s="209"/>
      <c r="K133" s="234">
        <v>1</v>
      </c>
      <c r="L133" s="91"/>
      <c r="M133" s="92"/>
    </row>
    <row r="134" spans="1:13" s="45" customFormat="1" ht="8.5500000000000007" customHeight="1" x14ac:dyDescent="0.2">
      <c r="A134" s="98"/>
      <c r="B134" s="158"/>
      <c r="C134" s="158"/>
      <c r="D134" s="158"/>
      <c r="E134" s="158"/>
      <c r="F134" s="159"/>
      <c r="G134" s="252"/>
      <c r="H134" s="254"/>
      <c r="I134" s="161"/>
      <c r="J134" s="210"/>
      <c r="K134" s="235"/>
      <c r="L134" s="91"/>
      <c r="M134" s="92"/>
    </row>
    <row r="135" spans="1:13" s="45" customFormat="1" ht="8.5500000000000007" customHeight="1" x14ac:dyDescent="0.2">
      <c r="A135" s="98"/>
      <c r="B135" s="201" t="s">
        <v>80</v>
      </c>
      <c r="C135" s="201"/>
      <c r="D135" s="201"/>
      <c r="E135" s="201"/>
      <c r="F135" s="157"/>
      <c r="G135" s="251">
        <v>1995</v>
      </c>
      <c r="H135" s="253">
        <v>95</v>
      </c>
      <c r="I135" s="160">
        <v>98</v>
      </c>
      <c r="J135" s="209" t="s">
        <v>305</v>
      </c>
      <c r="K135" s="234">
        <v>1</v>
      </c>
      <c r="L135" s="91"/>
      <c r="M135" s="92"/>
    </row>
    <row r="136" spans="1:13" s="45" customFormat="1" ht="8.5500000000000007" customHeight="1" x14ac:dyDescent="0.2">
      <c r="A136" s="98"/>
      <c r="B136" s="158"/>
      <c r="C136" s="158"/>
      <c r="D136" s="158"/>
      <c r="E136" s="158"/>
      <c r="F136" s="159"/>
      <c r="G136" s="252"/>
      <c r="H136" s="254"/>
      <c r="I136" s="161"/>
      <c r="J136" s="210"/>
      <c r="K136" s="235"/>
      <c r="L136" s="91"/>
      <c r="M136" s="92"/>
    </row>
    <row r="137" spans="1:13" s="45" customFormat="1" ht="8.5500000000000007" customHeight="1" x14ac:dyDescent="0.2">
      <c r="A137" s="98"/>
      <c r="B137" s="201" t="s">
        <v>80</v>
      </c>
      <c r="C137" s="201"/>
      <c r="D137" s="201"/>
      <c r="E137" s="201"/>
      <c r="F137" s="157"/>
      <c r="G137" s="251">
        <v>1998</v>
      </c>
      <c r="H137" s="253" t="s">
        <v>627</v>
      </c>
      <c r="I137" s="160"/>
      <c r="J137" s="209" t="s">
        <v>999</v>
      </c>
      <c r="K137" s="234">
        <v>1</v>
      </c>
      <c r="L137" s="91"/>
      <c r="M137" s="92"/>
    </row>
    <row r="138" spans="1:13" s="45" customFormat="1" ht="8.5500000000000007" customHeight="1" x14ac:dyDescent="0.2">
      <c r="A138" s="98"/>
      <c r="B138" s="158"/>
      <c r="C138" s="158"/>
      <c r="D138" s="158"/>
      <c r="E138" s="158"/>
      <c r="F138" s="159"/>
      <c r="G138" s="252"/>
      <c r="H138" s="254"/>
      <c r="I138" s="161"/>
      <c r="J138" s="210"/>
      <c r="K138" s="235"/>
      <c r="L138" s="91"/>
      <c r="M138" s="92"/>
    </row>
    <row r="139" spans="1:13" s="45" customFormat="1" ht="8.5500000000000007" customHeight="1" x14ac:dyDescent="0.2">
      <c r="A139" s="98"/>
      <c r="B139" s="201" t="s">
        <v>80</v>
      </c>
      <c r="C139" s="201"/>
      <c r="D139" s="201"/>
      <c r="E139" s="201"/>
      <c r="F139" s="157"/>
      <c r="G139" s="251">
        <v>1999</v>
      </c>
      <c r="H139" s="253">
        <v>96</v>
      </c>
      <c r="I139" s="160">
        <v>95</v>
      </c>
      <c r="J139" s="209" t="s">
        <v>1000</v>
      </c>
      <c r="K139" s="234">
        <v>2</v>
      </c>
      <c r="L139" s="91"/>
      <c r="M139" s="92"/>
    </row>
    <row r="140" spans="1:13" s="45" customFormat="1" ht="8.5500000000000007" customHeight="1" x14ac:dyDescent="0.2">
      <c r="A140" s="98"/>
      <c r="B140" s="158"/>
      <c r="C140" s="158"/>
      <c r="D140" s="158"/>
      <c r="E140" s="158"/>
      <c r="F140" s="159"/>
      <c r="G140" s="252"/>
      <c r="H140" s="254"/>
      <c r="I140" s="161"/>
      <c r="J140" s="210"/>
      <c r="K140" s="235"/>
      <c r="L140" s="91"/>
      <c r="M140" s="92"/>
    </row>
    <row r="141" spans="1:13" s="45" customFormat="1" ht="8.5500000000000007" customHeight="1" x14ac:dyDescent="0.2">
      <c r="A141" s="98"/>
      <c r="B141" s="201" t="s">
        <v>80</v>
      </c>
      <c r="C141" s="201"/>
      <c r="D141" s="201"/>
      <c r="E141" s="201"/>
      <c r="F141" s="157"/>
      <c r="G141" s="251">
        <v>2000</v>
      </c>
      <c r="H141" s="253">
        <v>96</v>
      </c>
      <c r="I141" s="160">
        <v>95</v>
      </c>
      <c r="J141" s="209" t="s">
        <v>110</v>
      </c>
      <c r="K141" s="234">
        <v>3</v>
      </c>
      <c r="L141" s="91"/>
      <c r="M141" s="92"/>
    </row>
    <row r="142" spans="1:13" s="45" customFormat="1" ht="8.5500000000000007" customHeight="1" x14ac:dyDescent="0.2">
      <c r="A142" s="98"/>
      <c r="B142" s="158"/>
      <c r="C142" s="158"/>
      <c r="D142" s="158"/>
      <c r="E142" s="158"/>
      <c r="F142" s="159"/>
      <c r="G142" s="252"/>
      <c r="H142" s="254"/>
      <c r="I142" s="161"/>
      <c r="J142" s="210"/>
      <c r="K142" s="235"/>
      <c r="L142" s="91"/>
      <c r="M142" s="92"/>
    </row>
    <row r="143" spans="1:13" s="45" customFormat="1" ht="8.5500000000000007" customHeight="1" x14ac:dyDescent="0.2">
      <c r="A143" s="98"/>
      <c r="B143" s="201" t="s">
        <v>80</v>
      </c>
      <c r="C143" s="201"/>
      <c r="D143" s="201"/>
      <c r="E143" s="201"/>
      <c r="F143" s="157"/>
      <c r="G143" s="251">
        <v>2001</v>
      </c>
      <c r="H143" s="298" t="s">
        <v>854</v>
      </c>
      <c r="I143" s="160"/>
      <c r="J143" s="284"/>
      <c r="K143" s="234">
        <v>1</v>
      </c>
      <c r="L143" s="91"/>
      <c r="M143" s="92"/>
    </row>
    <row r="144" spans="1:13" s="45" customFormat="1" ht="8.5500000000000007" customHeight="1" x14ac:dyDescent="0.2">
      <c r="A144" s="98"/>
      <c r="B144" s="158"/>
      <c r="C144" s="158"/>
      <c r="D144" s="158"/>
      <c r="E144" s="158"/>
      <c r="F144" s="159"/>
      <c r="G144" s="252"/>
      <c r="H144" s="299"/>
      <c r="I144" s="161"/>
      <c r="J144" s="285"/>
      <c r="K144" s="235"/>
      <c r="L144" s="91"/>
      <c r="M144" s="92"/>
    </row>
    <row r="145" spans="1:13" s="45" customFormat="1" ht="8.5500000000000007" customHeight="1" x14ac:dyDescent="0.2">
      <c r="A145" s="98"/>
      <c r="B145" s="201" t="s">
        <v>80</v>
      </c>
      <c r="C145" s="201"/>
      <c r="D145" s="201"/>
      <c r="E145" s="201"/>
      <c r="F145" s="157"/>
      <c r="G145" s="251">
        <v>2003</v>
      </c>
      <c r="H145" s="253">
        <v>100</v>
      </c>
      <c r="I145" s="160">
        <v>99</v>
      </c>
      <c r="J145" s="209" t="s">
        <v>1001</v>
      </c>
      <c r="K145" s="234">
        <v>5</v>
      </c>
      <c r="L145" s="91"/>
      <c r="M145" s="92"/>
    </row>
    <row r="146" spans="1:13" s="45" customFormat="1" ht="8.5500000000000007" customHeight="1" x14ac:dyDescent="0.2">
      <c r="A146" s="98"/>
      <c r="B146" s="158"/>
      <c r="C146" s="158"/>
      <c r="D146" s="158"/>
      <c r="E146" s="158"/>
      <c r="F146" s="159"/>
      <c r="G146" s="252"/>
      <c r="H146" s="254"/>
      <c r="I146" s="161"/>
      <c r="J146" s="210"/>
      <c r="K146" s="235"/>
      <c r="L146" s="91"/>
      <c r="M146" s="92"/>
    </row>
    <row r="147" spans="1:13" s="45" customFormat="1" ht="8.5500000000000007" customHeight="1" x14ac:dyDescent="0.2">
      <c r="A147" s="98"/>
      <c r="B147" s="201" t="s">
        <v>80</v>
      </c>
      <c r="C147" s="201"/>
      <c r="D147" s="201"/>
      <c r="E147" s="201"/>
      <c r="F147" s="157"/>
      <c r="G147" s="251">
        <v>2005</v>
      </c>
      <c r="H147" s="253">
        <v>96</v>
      </c>
      <c r="I147" s="160">
        <v>98</v>
      </c>
      <c r="J147" s="209" t="s">
        <v>257</v>
      </c>
      <c r="K147" s="234">
        <v>3</v>
      </c>
      <c r="L147" s="91"/>
      <c r="M147" s="92"/>
    </row>
    <row r="148" spans="1:13" s="45" customFormat="1" ht="8.5500000000000007" customHeight="1" x14ac:dyDescent="0.2">
      <c r="A148" s="98"/>
      <c r="B148" s="158"/>
      <c r="C148" s="158"/>
      <c r="D148" s="158"/>
      <c r="E148" s="158"/>
      <c r="F148" s="159"/>
      <c r="G148" s="252"/>
      <c r="H148" s="254"/>
      <c r="I148" s="161"/>
      <c r="J148" s="210"/>
      <c r="K148" s="235"/>
      <c r="L148" s="91"/>
      <c r="M148" s="92"/>
    </row>
    <row r="149" spans="1:13" s="45" customFormat="1" ht="8.5500000000000007" customHeight="1" x14ac:dyDescent="0.2">
      <c r="A149" s="98"/>
      <c r="B149" s="201" t="s">
        <v>80</v>
      </c>
      <c r="C149" s="201"/>
      <c r="D149" s="201"/>
      <c r="E149" s="201"/>
      <c r="F149" s="157"/>
      <c r="G149" s="251">
        <v>2006</v>
      </c>
      <c r="H149" s="253">
        <v>96</v>
      </c>
      <c r="I149" s="160">
        <v>99</v>
      </c>
      <c r="J149" s="209" t="s">
        <v>50</v>
      </c>
      <c r="K149" s="232">
        <v>2</v>
      </c>
      <c r="L149" s="91"/>
      <c r="M149" s="92"/>
    </row>
    <row r="150" spans="1:13" s="45" customFormat="1" ht="8.5500000000000007" customHeight="1" x14ac:dyDescent="0.2">
      <c r="A150" s="98"/>
      <c r="B150" s="158"/>
      <c r="C150" s="158"/>
      <c r="D150" s="158"/>
      <c r="E150" s="158"/>
      <c r="F150" s="159"/>
      <c r="G150" s="252"/>
      <c r="H150" s="254"/>
      <c r="I150" s="161"/>
      <c r="J150" s="210"/>
      <c r="K150" s="233"/>
      <c r="L150" s="91"/>
      <c r="M150" s="92"/>
    </row>
    <row r="151" spans="1:13" s="45" customFormat="1" ht="8.5500000000000007" customHeight="1" x14ac:dyDescent="0.2">
      <c r="A151" s="98"/>
      <c r="B151" s="201" t="s">
        <v>80</v>
      </c>
      <c r="C151" s="201"/>
      <c r="D151" s="201"/>
      <c r="E151" s="201"/>
      <c r="F151" s="157"/>
      <c r="G151" s="251">
        <v>2008</v>
      </c>
      <c r="H151" s="253">
        <v>90</v>
      </c>
      <c r="I151" s="160"/>
      <c r="J151" s="209" t="s">
        <v>857</v>
      </c>
      <c r="K151" s="232">
        <v>1</v>
      </c>
      <c r="L151" s="91"/>
      <c r="M151" s="92"/>
    </row>
    <row r="152" spans="1:13" s="45" customFormat="1" ht="8.5500000000000007" customHeight="1" x14ac:dyDescent="0.2">
      <c r="A152" s="98"/>
      <c r="B152" s="158"/>
      <c r="C152" s="158"/>
      <c r="D152" s="158"/>
      <c r="E152" s="158"/>
      <c r="F152" s="159"/>
      <c r="G152" s="252"/>
      <c r="H152" s="254"/>
      <c r="I152" s="161"/>
      <c r="J152" s="210"/>
      <c r="K152" s="233"/>
      <c r="L152" s="91"/>
      <c r="M152" s="92"/>
    </row>
    <row r="153" spans="1:13" s="45" customFormat="1" ht="8.5500000000000007" customHeight="1" x14ac:dyDescent="0.2">
      <c r="A153" s="98"/>
      <c r="B153" s="201" t="s">
        <v>80</v>
      </c>
      <c r="C153" s="201"/>
      <c r="D153" s="201"/>
      <c r="E153" s="201"/>
      <c r="F153" s="157"/>
      <c r="G153" s="251">
        <v>2009</v>
      </c>
      <c r="H153" s="253">
        <v>100</v>
      </c>
      <c r="I153" s="160">
        <v>93</v>
      </c>
      <c r="J153" s="209" t="s">
        <v>1002</v>
      </c>
      <c r="K153" s="234">
        <v>2</v>
      </c>
      <c r="L153" s="91"/>
      <c r="M153" s="92"/>
    </row>
    <row r="154" spans="1:13" s="45" customFormat="1" ht="8.5500000000000007" customHeight="1" x14ac:dyDescent="0.2">
      <c r="A154" s="98"/>
      <c r="B154" s="158"/>
      <c r="C154" s="158"/>
      <c r="D154" s="158"/>
      <c r="E154" s="158"/>
      <c r="F154" s="159"/>
      <c r="G154" s="252"/>
      <c r="H154" s="254"/>
      <c r="I154" s="161"/>
      <c r="J154" s="210"/>
      <c r="K154" s="235"/>
      <c r="L154" s="91"/>
      <c r="M154" s="92"/>
    </row>
    <row r="155" spans="1:13" s="45" customFormat="1" ht="8.5500000000000007" customHeight="1" x14ac:dyDescent="0.2">
      <c r="A155" s="98"/>
      <c r="B155" s="201" t="s">
        <v>24</v>
      </c>
      <c r="C155" s="201"/>
      <c r="D155" s="201"/>
      <c r="E155" s="201"/>
      <c r="F155" s="157"/>
      <c r="G155" s="251">
        <v>1978</v>
      </c>
      <c r="H155" s="253">
        <v>100</v>
      </c>
      <c r="I155" s="160">
        <v>99</v>
      </c>
      <c r="J155" s="209" t="s">
        <v>340</v>
      </c>
      <c r="K155" s="234">
        <v>1</v>
      </c>
      <c r="L155" s="91"/>
      <c r="M155" s="92"/>
    </row>
    <row r="156" spans="1:13" s="45" customFormat="1" ht="8.5500000000000007" customHeight="1" x14ac:dyDescent="0.2">
      <c r="A156" s="98"/>
      <c r="B156" s="158"/>
      <c r="C156" s="158"/>
      <c r="D156" s="158"/>
      <c r="E156" s="158"/>
      <c r="F156" s="159"/>
      <c r="G156" s="252"/>
      <c r="H156" s="254"/>
      <c r="I156" s="161"/>
      <c r="J156" s="210"/>
      <c r="K156" s="235"/>
      <c r="L156" s="91"/>
      <c r="M156" s="92"/>
    </row>
    <row r="157" spans="1:13" s="45" customFormat="1" ht="8.5500000000000007" customHeight="1" x14ac:dyDescent="0.2">
      <c r="A157" s="98"/>
      <c r="B157" s="201" t="s">
        <v>24</v>
      </c>
      <c r="C157" s="201"/>
      <c r="D157" s="201"/>
      <c r="E157" s="201"/>
      <c r="F157" s="157"/>
      <c r="G157" s="251">
        <v>1982</v>
      </c>
      <c r="H157" s="253">
        <v>92</v>
      </c>
      <c r="I157" s="160"/>
      <c r="J157" s="209" t="s">
        <v>849</v>
      </c>
      <c r="K157" s="234">
        <v>3</v>
      </c>
      <c r="L157" s="91"/>
      <c r="M157" s="92"/>
    </row>
    <row r="158" spans="1:13" s="45" customFormat="1" ht="8.5500000000000007" customHeight="1" x14ac:dyDescent="0.2">
      <c r="A158" s="98"/>
      <c r="B158" s="158"/>
      <c r="C158" s="158"/>
      <c r="D158" s="158"/>
      <c r="E158" s="158"/>
      <c r="F158" s="159"/>
      <c r="G158" s="252"/>
      <c r="H158" s="254"/>
      <c r="I158" s="161"/>
      <c r="J158" s="210"/>
      <c r="K158" s="235"/>
      <c r="L158" s="91"/>
      <c r="M158" s="92"/>
    </row>
    <row r="159" spans="1:13" s="45" customFormat="1" ht="8.5500000000000007" customHeight="1" x14ac:dyDescent="0.2">
      <c r="A159" s="98"/>
      <c r="B159" s="201" t="s">
        <v>1089</v>
      </c>
      <c r="C159" s="201"/>
      <c r="D159" s="201"/>
      <c r="E159" s="201"/>
      <c r="F159" s="157"/>
      <c r="G159" s="251">
        <v>1985</v>
      </c>
      <c r="H159" s="253">
        <v>95</v>
      </c>
      <c r="I159" s="160"/>
      <c r="J159" s="209" t="s">
        <v>310</v>
      </c>
      <c r="K159" s="232">
        <v>1</v>
      </c>
      <c r="L159" s="91"/>
      <c r="M159" s="92"/>
    </row>
    <row r="160" spans="1:13" s="45" customFormat="1" ht="8.5500000000000007" customHeight="1" x14ac:dyDescent="0.2">
      <c r="A160" s="98"/>
      <c r="B160" s="158"/>
      <c r="C160" s="158"/>
      <c r="D160" s="158"/>
      <c r="E160" s="158"/>
      <c r="F160" s="159"/>
      <c r="G160" s="252"/>
      <c r="H160" s="254"/>
      <c r="I160" s="161"/>
      <c r="J160" s="210"/>
      <c r="K160" s="233"/>
      <c r="L160" s="91"/>
      <c r="M160" s="92"/>
    </row>
    <row r="161" spans="1:13" s="45" customFormat="1" ht="8.5500000000000007" customHeight="1" x14ac:dyDescent="0.2">
      <c r="A161" s="98"/>
      <c r="B161" s="201" t="s">
        <v>24</v>
      </c>
      <c r="C161" s="201"/>
      <c r="D161" s="201"/>
      <c r="E161" s="201"/>
      <c r="F161" s="157"/>
      <c r="G161" s="251">
        <v>1989</v>
      </c>
      <c r="H161" s="253">
        <v>96</v>
      </c>
      <c r="I161" s="160"/>
      <c r="J161" s="209" t="s">
        <v>7</v>
      </c>
      <c r="K161" s="234">
        <v>3</v>
      </c>
      <c r="L161" s="91"/>
      <c r="M161" s="92"/>
    </row>
    <row r="162" spans="1:13" s="45" customFormat="1" ht="8.5500000000000007" customHeight="1" x14ac:dyDescent="0.2">
      <c r="A162" s="98"/>
      <c r="B162" s="158"/>
      <c r="C162" s="158"/>
      <c r="D162" s="158"/>
      <c r="E162" s="158"/>
      <c r="F162" s="159"/>
      <c r="G162" s="252"/>
      <c r="H162" s="254"/>
      <c r="I162" s="161"/>
      <c r="J162" s="210"/>
      <c r="K162" s="235"/>
      <c r="L162" s="91"/>
      <c r="M162" s="92"/>
    </row>
    <row r="163" spans="1:13" s="45" customFormat="1" ht="8.5500000000000007" customHeight="1" x14ac:dyDescent="0.2">
      <c r="A163" s="98"/>
      <c r="B163" s="201" t="s">
        <v>24</v>
      </c>
      <c r="C163" s="201"/>
      <c r="D163" s="201"/>
      <c r="E163" s="201"/>
      <c r="F163" s="157"/>
      <c r="G163" s="251">
        <v>1990</v>
      </c>
      <c r="H163" s="253">
        <v>100</v>
      </c>
      <c r="I163" s="160">
        <v>97</v>
      </c>
      <c r="J163" s="209" t="s">
        <v>1003</v>
      </c>
      <c r="K163" s="234">
        <v>7</v>
      </c>
      <c r="L163" s="91"/>
      <c r="M163" s="92"/>
    </row>
    <row r="164" spans="1:13" s="45" customFormat="1" ht="8.5500000000000007" customHeight="1" x14ac:dyDescent="0.2">
      <c r="A164" s="98"/>
      <c r="B164" s="158"/>
      <c r="C164" s="158"/>
      <c r="D164" s="158"/>
      <c r="E164" s="158"/>
      <c r="F164" s="159"/>
      <c r="G164" s="252"/>
      <c r="H164" s="254"/>
      <c r="I164" s="161"/>
      <c r="J164" s="210"/>
      <c r="K164" s="235"/>
      <c r="L164" s="91"/>
      <c r="M164" s="92"/>
    </row>
    <row r="165" spans="1:13" s="45" customFormat="1" ht="8.5500000000000007" customHeight="1" x14ac:dyDescent="0.2">
      <c r="A165" s="98"/>
      <c r="B165" s="201" t="s">
        <v>24</v>
      </c>
      <c r="C165" s="201"/>
      <c r="D165" s="201"/>
      <c r="E165" s="201"/>
      <c r="F165" s="157"/>
      <c r="G165" s="251">
        <v>2003</v>
      </c>
      <c r="H165" s="253" t="s">
        <v>627</v>
      </c>
      <c r="I165" s="160"/>
      <c r="J165" s="209" t="s">
        <v>130</v>
      </c>
      <c r="K165" s="234">
        <v>3</v>
      </c>
      <c r="L165" s="91"/>
      <c r="M165" s="92"/>
    </row>
    <row r="166" spans="1:13" s="45" customFormat="1" ht="8.5500000000000007" customHeight="1" x14ac:dyDescent="0.2">
      <c r="A166" s="98"/>
      <c r="B166" s="158"/>
      <c r="C166" s="158"/>
      <c r="D166" s="158"/>
      <c r="E166" s="158"/>
      <c r="F166" s="159"/>
      <c r="G166" s="252"/>
      <c r="H166" s="254"/>
      <c r="I166" s="161"/>
      <c r="J166" s="210"/>
      <c r="K166" s="235"/>
      <c r="L166" s="91"/>
      <c r="M166" s="92"/>
    </row>
    <row r="167" spans="1:13" s="45" customFormat="1" ht="8.5500000000000007" customHeight="1" x14ac:dyDescent="0.2">
      <c r="A167" s="98"/>
      <c r="B167" s="201" t="s">
        <v>24</v>
      </c>
      <c r="C167" s="201"/>
      <c r="D167" s="201"/>
      <c r="E167" s="201"/>
      <c r="F167" s="157"/>
      <c r="G167" s="251">
        <v>2009</v>
      </c>
      <c r="H167" s="253" t="s">
        <v>640</v>
      </c>
      <c r="I167" s="160">
        <v>95</v>
      </c>
      <c r="J167" s="209" t="s">
        <v>353</v>
      </c>
      <c r="K167" s="234">
        <v>2</v>
      </c>
      <c r="L167" s="91"/>
      <c r="M167" s="92"/>
    </row>
    <row r="168" spans="1:13" s="45" customFormat="1" ht="8.5500000000000007" customHeight="1" x14ac:dyDescent="0.2">
      <c r="A168" s="98"/>
      <c r="B168" s="158"/>
      <c r="C168" s="158"/>
      <c r="D168" s="158"/>
      <c r="E168" s="158"/>
      <c r="F168" s="159"/>
      <c r="G168" s="252"/>
      <c r="H168" s="254"/>
      <c r="I168" s="161"/>
      <c r="J168" s="210"/>
      <c r="K168" s="235"/>
      <c r="L168" s="91"/>
      <c r="M168" s="92"/>
    </row>
    <row r="169" spans="1:13" s="45" customFormat="1" ht="8.5500000000000007" customHeight="1" x14ac:dyDescent="0.2">
      <c r="A169" s="98"/>
      <c r="B169" s="201" t="s">
        <v>24</v>
      </c>
      <c r="C169" s="201"/>
      <c r="D169" s="201"/>
      <c r="E169" s="201"/>
      <c r="F169" s="157"/>
      <c r="G169" s="251">
        <v>2011</v>
      </c>
      <c r="H169" s="253">
        <v>95</v>
      </c>
      <c r="I169" s="160"/>
      <c r="J169" s="209" t="s">
        <v>1309</v>
      </c>
      <c r="K169" s="234">
        <v>3</v>
      </c>
      <c r="L169" s="91"/>
      <c r="M169" s="92"/>
    </row>
    <row r="170" spans="1:13" s="45" customFormat="1" ht="8.5500000000000007" customHeight="1" x14ac:dyDescent="0.2">
      <c r="A170" s="98"/>
      <c r="B170" s="158"/>
      <c r="C170" s="158"/>
      <c r="D170" s="158"/>
      <c r="E170" s="158"/>
      <c r="F170" s="159"/>
      <c r="G170" s="252"/>
      <c r="H170" s="254"/>
      <c r="I170" s="161"/>
      <c r="J170" s="210"/>
      <c r="K170" s="235"/>
      <c r="L170" s="91"/>
      <c r="M170" s="92"/>
    </row>
    <row r="171" spans="1:13" s="45" customFormat="1" ht="8.5500000000000007" customHeight="1" x14ac:dyDescent="0.2">
      <c r="A171" s="98"/>
      <c r="B171" s="201" t="s">
        <v>24</v>
      </c>
      <c r="C171" s="201"/>
      <c r="D171" s="201"/>
      <c r="E171" s="201"/>
      <c r="F171" s="157"/>
      <c r="G171" s="251">
        <v>2017</v>
      </c>
      <c r="H171" s="253">
        <v>98</v>
      </c>
      <c r="I171" s="160"/>
      <c r="J171" s="209" t="s">
        <v>1558</v>
      </c>
      <c r="K171" s="234">
        <v>1</v>
      </c>
      <c r="L171" s="91"/>
      <c r="M171" s="92"/>
    </row>
    <row r="172" spans="1:13" s="45" customFormat="1" ht="8.5500000000000007" customHeight="1" x14ac:dyDescent="0.2">
      <c r="A172" s="98"/>
      <c r="B172" s="158"/>
      <c r="C172" s="158"/>
      <c r="D172" s="158"/>
      <c r="E172" s="158"/>
      <c r="F172" s="159"/>
      <c r="G172" s="252"/>
      <c r="H172" s="254"/>
      <c r="I172" s="161"/>
      <c r="J172" s="210"/>
      <c r="K172" s="235"/>
      <c r="L172" s="91"/>
      <c r="M172" s="92"/>
    </row>
    <row r="173" spans="1:13" s="45" customFormat="1" ht="8.5500000000000007" customHeight="1" x14ac:dyDescent="0.2">
      <c r="A173" s="98"/>
      <c r="B173" s="201" t="s">
        <v>538</v>
      </c>
      <c r="C173" s="201"/>
      <c r="D173" s="201"/>
      <c r="E173" s="201"/>
      <c r="F173" s="157"/>
      <c r="G173" s="251">
        <v>1989</v>
      </c>
      <c r="H173" s="253">
        <v>100</v>
      </c>
      <c r="I173" s="160"/>
      <c r="J173" s="209" t="s">
        <v>339</v>
      </c>
      <c r="K173" s="234">
        <v>2</v>
      </c>
      <c r="L173" s="91"/>
      <c r="M173" s="92"/>
    </row>
    <row r="174" spans="1:13" s="45" customFormat="1" ht="8.5500000000000007" customHeight="1" x14ac:dyDescent="0.2">
      <c r="A174" s="98"/>
      <c r="B174" s="158"/>
      <c r="C174" s="158"/>
      <c r="D174" s="158"/>
      <c r="E174" s="158"/>
      <c r="F174" s="159"/>
      <c r="G174" s="252"/>
      <c r="H174" s="254"/>
      <c r="I174" s="161"/>
      <c r="J174" s="210"/>
      <c r="K174" s="235"/>
      <c r="L174" s="91"/>
      <c r="M174" s="92"/>
    </row>
    <row r="175" spans="1:13" s="45" customFormat="1" ht="8.5500000000000007" customHeight="1" x14ac:dyDescent="0.2">
      <c r="A175" s="98"/>
      <c r="B175" s="201" t="s">
        <v>538</v>
      </c>
      <c r="C175" s="201"/>
      <c r="D175" s="201"/>
      <c r="E175" s="201"/>
      <c r="F175" s="157"/>
      <c r="G175" s="251">
        <v>1990</v>
      </c>
      <c r="H175" s="253">
        <v>100</v>
      </c>
      <c r="I175" s="160">
        <v>85</v>
      </c>
      <c r="J175" s="209" t="s">
        <v>1004</v>
      </c>
      <c r="K175" s="234">
        <v>3</v>
      </c>
      <c r="L175" s="91"/>
      <c r="M175" s="92"/>
    </row>
    <row r="176" spans="1:13" s="45" customFormat="1" ht="8.5500000000000007" customHeight="1" x14ac:dyDescent="0.2">
      <c r="A176" s="98"/>
      <c r="B176" s="158"/>
      <c r="C176" s="158"/>
      <c r="D176" s="158"/>
      <c r="E176" s="158"/>
      <c r="F176" s="159"/>
      <c r="G176" s="252"/>
      <c r="H176" s="254"/>
      <c r="I176" s="161"/>
      <c r="J176" s="210"/>
      <c r="K176" s="235"/>
      <c r="L176" s="91"/>
      <c r="M176" s="92"/>
    </row>
    <row r="177" spans="1:13" s="45" customFormat="1" ht="8.5500000000000007" customHeight="1" x14ac:dyDescent="0.2">
      <c r="A177" s="98"/>
      <c r="B177" s="201" t="s">
        <v>538</v>
      </c>
      <c r="C177" s="201"/>
      <c r="D177" s="201"/>
      <c r="E177" s="201"/>
      <c r="F177" s="157"/>
      <c r="G177" s="251">
        <v>1991</v>
      </c>
      <c r="H177" s="253">
        <v>100</v>
      </c>
      <c r="I177" s="160">
        <v>87</v>
      </c>
      <c r="J177" s="209" t="s">
        <v>1005</v>
      </c>
      <c r="K177" s="234">
        <v>1</v>
      </c>
      <c r="L177" s="91"/>
      <c r="M177" s="92"/>
    </row>
    <row r="178" spans="1:13" s="45" customFormat="1" ht="8.5500000000000007" customHeight="1" x14ac:dyDescent="0.2">
      <c r="A178" s="98"/>
      <c r="B178" s="158"/>
      <c r="C178" s="158"/>
      <c r="D178" s="158"/>
      <c r="E178" s="158"/>
      <c r="F178" s="159"/>
      <c r="G178" s="252"/>
      <c r="H178" s="254"/>
      <c r="I178" s="161"/>
      <c r="J178" s="210"/>
      <c r="K178" s="235"/>
      <c r="L178" s="91"/>
      <c r="M178" s="92"/>
    </row>
    <row r="179" spans="1:13" s="45" customFormat="1" ht="8.5500000000000007" customHeight="1" x14ac:dyDescent="0.2">
      <c r="A179" s="98"/>
      <c r="B179" s="213" t="s">
        <v>694</v>
      </c>
      <c r="C179" s="213"/>
      <c r="D179" s="213"/>
      <c r="E179" s="213"/>
      <c r="F179" s="213"/>
      <c r="G179" s="297"/>
      <c r="H179" s="47"/>
      <c r="I179" s="48"/>
      <c r="J179" s="104"/>
      <c r="K179" s="164"/>
      <c r="L179" s="91"/>
      <c r="M179" s="92"/>
    </row>
    <row r="180" spans="1:13" s="45" customFormat="1" ht="8.5500000000000007" customHeight="1" x14ac:dyDescent="0.2">
      <c r="A180" s="98"/>
      <c r="B180" s="171"/>
      <c r="C180" s="171"/>
      <c r="D180" s="171"/>
      <c r="E180" s="171"/>
      <c r="F180" s="171"/>
      <c r="G180" s="188"/>
      <c r="H180" s="54"/>
      <c r="I180" s="49"/>
      <c r="J180" s="105"/>
      <c r="K180" s="165"/>
      <c r="L180" s="91"/>
      <c r="M180" s="92"/>
    </row>
    <row r="181" spans="1:13" s="45" customFormat="1" ht="8.5500000000000007" customHeight="1" x14ac:dyDescent="0.2">
      <c r="A181" s="98"/>
      <c r="B181" s="201" t="s">
        <v>538</v>
      </c>
      <c r="C181" s="201"/>
      <c r="D181" s="201"/>
      <c r="E181" s="201"/>
      <c r="F181" s="157"/>
      <c r="G181" s="251">
        <v>1992</v>
      </c>
      <c r="H181" s="253">
        <v>95</v>
      </c>
      <c r="I181" s="160">
        <v>87</v>
      </c>
      <c r="J181" s="209" t="s">
        <v>400</v>
      </c>
      <c r="K181" s="234">
        <v>2</v>
      </c>
      <c r="L181" s="91"/>
      <c r="M181" s="92"/>
    </row>
    <row r="182" spans="1:13" s="45" customFormat="1" ht="8.5500000000000007" customHeight="1" x14ac:dyDescent="0.2">
      <c r="A182" s="98"/>
      <c r="B182" s="158"/>
      <c r="C182" s="158"/>
      <c r="D182" s="158"/>
      <c r="E182" s="158"/>
      <c r="F182" s="159"/>
      <c r="G182" s="252"/>
      <c r="H182" s="254"/>
      <c r="I182" s="161"/>
      <c r="J182" s="210"/>
      <c r="K182" s="235"/>
      <c r="L182" s="91"/>
      <c r="M182" s="92"/>
    </row>
    <row r="183" spans="1:13" s="45" customFormat="1" ht="8.5500000000000007" customHeight="1" x14ac:dyDescent="0.2">
      <c r="A183" s="98"/>
      <c r="B183" s="201" t="s">
        <v>538</v>
      </c>
      <c r="C183" s="201"/>
      <c r="D183" s="201"/>
      <c r="E183" s="201"/>
      <c r="F183" s="157"/>
      <c r="G183" s="251">
        <v>1995</v>
      </c>
      <c r="H183" s="253">
        <v>99</v>
      </c>
      <c r="I183" s="160">
        <v>94</v>
      </c>
      <c r="J183" s="209" t="s">
        <v>366</v>
      </c>
      <c r="K183" s="234">
        <v>2</v>
      </c>
      <c r="L183" s="91"/>
      <c r="M183" s="92"/>
    </row>
    <row r="184" spans="1:13" s="45" customFormat="1" ht="8.5500000000000007" customHeight="1" x14ac:dyDescent="0.2">
      <c r="A184" s="98"/>
      <c r="B184" s="158"/>
      <c r="C184" s="158"/>
      <c r="D184" s="158"/>
      <c r="E184" s="158"/>
      <c r="F184" s="159"/>
      <c r="G184" s="252"/>
      <c r="H184" s="254"/>
      <c r="I184" s="161"/>
      <c r="J184" s="210"/>
      <c r="K184" s="235"/>
      <c r="L184" s="91"/>
      <c r="M184" s="92"/>
    </row>
    <row r="185" spans="1:13" s="45" customFormat="1" ht="8.5500000000000007" customHeight="1" x14ac:dyDescent="0.2">
      <c r="A185" s="98"/>
      <c r="B185" s="201" t="s">
        <v>538</v>
      </c>
      <c r="C185" s="201"/>
      <c r="D185" s="201"/>
      <c r="E185" s="201"/>
      <c r="F185" s="157"/>
      <c r="G185" s="251">
        <v>1998</v>
      </c>
      <c r="H185" s="253">
        <v>98</v>
      </c>
      <c r="I185" s="160"/>
      <c r="J185" s="209" t="s">
        <v>7</v>
      </c>
      <c r="K185" s="234">
        <v>4</v>
      </c>
      <c r="L185" s="91"/>
      <c r="M185" s="92"/>
    </row>
    <row r="186" spans="1:13" s="45" customFormat="1" ht="8.5500000000000007" customHeight="1" x14ac:dyDescent="0.2">
      <c r="A186" s="98"/>
      <c r="B186" s="158"/>
      <c r="C186" s="158"/>
      <c r="D186" s="158"/>
      <c r="E186" s="158"/>
      <c r="F186" s="159"/>
      <c r="G186" s="252"/>
      <c r="H186" s="254"/>
      <c r="I186" s="161"/>
      <c r="J186" s="210"/>
      <c r="K186" s="235"/>
      <c r="L186" s="91"/>
      <c r="M186" s="92"/>
    </row>
    <row r="187" spans="1:13" s="45" customFormat="1" ht="8.5500000000000007" customHeight="1" x14ac:dyDescent="0.2">
      <c r="A187" s="98"/>
      <c r="B187" s="201" t="s">
        <v>538</v>
      </c>
      <c r="C187" s="201"/>
      <c r="D187" s="201"/>
      <c r="E187" s="201"/>
      <c r="F187" s="157"/>
      <c r="G187" s="251">
        <v>2000</v>
      </c>
      <c r="H187" s="253">
        <v>98</v>
      </c>
      <c r="I187" s="160">
        <v>94</v>
      </c>
      <c r="J187" s="209" t="s">
        <v>1006</v>
      </c>
      <c r="K187" s="234">
        <v>2</v>
      </c>
      <c r="L187" s="91"/>
      <c r="M187" s="92"/>
    </row>
    <row r="188" spans="1:13" s="45" customFormat="1" ht="8.5500000000000007" customHeight="1" x14ac:dyDescent="0.2">
      <c r="A188" s="98"/>
      <c r="B188" s="158"/>
      <c r="C188" s="158"/>
      <c r="D188" s="158"/>
      <c r="E188" s="158"/>
      <c r="F188" s="159"/>
      <c r="G188" s="252"/>
      <c r="H188" s="254"/>
      <c r="I188" s="161"/>
      <c r="J188" s="210"/>
      <c r="K188" s="235"/>
      <c r="L188" s="91"/>
      <c r="M188" s="92"/>
    </row>
    <row r="189" spans="1:13" s="45" customFormat="1" ht="8.5500000000000007" customHeight="1" x14ac:dyDescent="0.2">
      <c r="A189" s="98"/>
      <c r="B189" s="201" t="s">
        <v>538</v>
      </c>
      <c r="C189" s="201"/>
      <c r="D189" s="201"/>
      <c r="E189" s="201"/>
      <c r="F189" s="157"/>
      <c r="G189" s="251">
        <v>2003</v>
      </c>
      <c r="H189" s="253">
        <v>100</v>
      </c>
      <c r="I189" s="160">
        <v>95</v>
      </c>
      <c r="J189" s="209" t="s">
        <v>1007</v>
      </c>
      <c r="K189" s="234">
        <v>3</v>
      </c>
      <c r="L189" s="91"/>
      <c r="M189" s="92"/>
    </row>
    <row r="190" spans="1:13" s="45" customFormat="1" ht="8.5500000000000007" customHeight="1" x14ac:dyDescent="0.2">
      <c r="A190" s="98"/>
      <c r="B190" s="158"/>
      <c r="C190" s="158"/>
      <c r="D190" s="158"/>
      <c r="E190" s="158"/>
      <c r="F190" s="159"/>
      <c r="G190" s="252"/>
      <c r="H190" s="254"/>
      <c r="I190" s="161"/>
      <c r="J190" s="210"/>
      <c r="K190" s="235"/>
      <c r="L190" s="91"/>
      <c r="M190" s="92"/>
    </row>
    <row r="191" spans="1:13" s="45" customFormat="1" ht="8.5500000000000007" customHeight="1" x14ac:dyDescent="0.2">
      <c r="A191" s="98"/>
      <c r="B191" s="201" t="s">
        <v>538</v>
      </c>
      <c r="C191" s="201"/>
      <c r="D191" s="201"/>
      <c r="E191" s="201"/>
      <c r="F191" s="157"/>
      <c r="G191" s="251">
        <v>2005</v>
      </c>
      <c r="H191" s="253">
        <v>100</v>
      </c>
      <c r="I191" s="160">
        <v>96</v>
      </c>
      <c r="J191" s="209" t="s">
        <v>1008</v>
      </c>
      <c r="K191" s="234">
        <v>3</v>
      </c>
      <c r="L191" s="91"/>
      <c r="M191" s="92"/>
    </row>
    <row r="192" spans="1:13" s="45" customFormat="1" ht="8.5500000000000007" customHeight="1" x14ac:dyDescent="0.2">
      <c r="A192" s="98"/>
      <c r="B192" s="158"/>
      <c r="C192" s="158"/>
      <c r="D192" s="158"/>
      <c r="E192" s="158"/>
      <c r="F192" s="159"/>
      <c r="G192" s="252"/>
      <c r="H192" s="254"/>
      <c r="I192" s="161"/>
      <c r="J192" s="210"/>
      <c r="K192" s="235"/>
      <c r="L192" s="91"/>
      <c r="M192" s="92"/>
    </row>
    <row r="193" spans="1:13" s="45" customFormat="1" ht="8.5500000000000007" customHeight="1" x14ac:dyDescent="0.2">
      <c r="A193" s="98"/>
      <c r="B193" s="201" t="s">
        <v>538</v>
      </c>
      <c r="C193" s="201"/>
      <c r="D193" s="201"/>
      <c r="E193" s="201"/>
      <c r="F193" s="157"/>
      <c r="G193" s="251">
        <v>2006</v>
      </c>
      <c r="H193" s="253">
        <v>97</v>
      </c>
      <c r="I193" s="160">
        <v>96</v>
      </c>
      <c r="J193" s="209" t="s">
        <v>257</v>
      </c>
      <c r="K193" s="234">
        <v>2</v>
      </c>
      <c r="L193" s="91"/>
      <c r="M193" s="92"/>
    </row>
    <row r="194" spans="1:13" s="45" customFormat="1" ht="8.5500000000000007" customHeight="1" x14ac:dyDescent="0.2">
      <c r="A194" s="98"/>
      <c r="B194" s="158"/>
      <c r="C194" s="158"/>
      <c r="D194" s="158"/>
      <c r="E194" s="158"/>
      <c r="F194" s="159"/>
      <c r="G194" s="252"/>
      <c r="H194" s="254"/>
      <c r="I194" s="161"/>
      <c r="J194" s="210"/>
      <c r="K194" s="235"/>
      <c r="L194" s="91"/>
      <c r="M194" s="92"/>
    </row>
    <row r="195" spans="1:13" s="45" customFormat="1" ht="8.5500000000000007" customHeight="1" x14ac:dyDescent="0.2">
      <c r="A195" s="98"/>
      <c r="B195" s="201" t="s">
        <v>538</v>
      </c>
      <c r="C195" s="201"/>
      <c r="D195" s="201"/>
      <c r="E195" s="201"/>
      <c r="F195" s="157"/>
      <c r="G195" s="251">
        <v>2009</v>
      </c>
      <c r="H195" s="253">
        <v>100</v>
      </c>
      <c r="I195" s="160">
        <v>97</v>
      </c>
      <c r="J195" s="209" t="s">
        <v>1009</v>
      </c>
      <c r="K195" s="234">
        <v>4</v>
      </c>
      <c r="L195" s="91"/>
      <c r="M195" s="92"/>
    </row>
    <row r="196" spans="1:13" s="45" customFormat="1" ht="8.5500000000000007" customHeight="1" x14ac:dyDescent="0.2">
      <c r="A196" s="98"/>
      <c r="B196" s="158"/>
      <c r="C196" s="158"/>
      <c r="D196" s="158"/>
      <c r="E196" s="158"/>
      <c r="F196" s="159"/>
      <c r="G196" s="252"/>
      <c r="H196" s="254"/>
      <c r="I196" s="161"/>
      <c r="J196" s="210"/>
      <c r="K196" s="235"/>
      <c r="L196" s="91"/>
      <c r="M196" s="92"/>
    </row>
    <row r="197" spans="1:13" s="45" customFormat="1" ht="8.5500000000000007" customHeight="1" x14ac:dyDescent="0.2">
      <c r="A197" s="98"/>
      <c r="B197" s="201" t="s">
        <v>538</v>
      </c>
      <c r="C197" s="201"/>
      <c r="D197" s="201"/>
      <c r="E197" s="201"/>
      <c r="F197" s="157"/>
      <c r="G197" s="251">
        <v>2012</v>
      </c>
      <c r="H197" s="253">
        <v>100</v>
      </c>
      <c r="I197" s="160"/>
      <c r="J197" s="209" t="s">
        <v>1310</v>
      </c>
      <c r="K197" s="234">
        <v>1</v>
      </c>
      <c r="L197" s="91"/>
      <c r="M197" s="92"/>
    </row>
    <row r="198" spans="1:13" s="45" customFormat="1" ht="8.5500000000000007" customHeight="1" x14ac:dyDescent="0.2">
      <c r="A198" s="98"/>
      <c r="B198" s="158"/>
      <c r="C198" s="158"/>
      <c r="D198" s="158"/>
      <c r="E198" s="158"/>
      <c r="F198" s="159"/>
      <c r="G198" s="252"/>
      <c r="H198" s="254"/>
      <c r="I198" s="161"/>
      <c r="J198" s="210"/>
      <c r="K198" s="235"/>
      <c r="L198" s="91"/>
      <c r="M198" s="92"/>
    </row>
    <row r="199" spans="1:13" s="45" customFormat="1" ht="8.5500000000000007" customHeight="1" x14ac:dyDescent="0.2">
      <c r="A199" s="98"/>
      <c r="B199" s="201" t="s">
        <v>537</v>
      </c>
      <c r="C199" s="201"/>
      <c r="D199" s="201"/>
      <c r="E199" s="201"/>
      <c r="F199" s="157"/>
      <c r="G199" s="251">
        <v>1996</v>
      </c>
      <c r="H199" s="253">
        <v>100</v>
      </c>
      <c r="I199" s="160">
        <v>98</v>
      </c>
      <c r="J199" s="209" t="s">
        <v>1001</v>
      </c>
      <c r="K199" s="234">
        <v>5</v>
      </c>
      <c r="L199" s="91"/>
      <c r="M199" s="92"/>
    </row>
    <row r="200" spans="1:13" s="45" customFormat="1" ht="8.5500000000000007" customHeight="1" x14ac:dyDescent="0.2">
      <c r="A200" s="98"/>
      <c r="B200" s="158"/>
      <c r="C200" s="158"/>
      <c r="D200" s="158"/>
      <c r="E200" s="158"/>
      <c r="F200" s="159"/>
      <c r="G200" s="252"/>
      <c r="H200" s="254"/>
      <c r="I200" s="161"/>
      <c r="J200" s="210"/>
      <c r="K200" s="235"/>
      <c r="L200" s="91"/>
      <c r="M200" s="92"/>
    </row>
    <row r="201" spans="1:13" s="45" customFormat="1" ht="8.5500000000000007" customHeight="1" x14ac:dyDescent="0.2">
      <c r="A201" s="98"/>
      <c r="B201" s="201" t="s">
        <v>537</v>
      </c>
      <c r="C201" s="201"/>
      <c r="D201" s="201"/>
      <c r="E201" s="201"/>
      <c r="F201" s="157"/>
      <c r="G201" s="251">
        <v>1998</v>
      </c>
      <c r="H201" s="253">
        <v>98</v>
      </c>
      <c r="I201" s="160"/>
      <c r="J201" s="209" t="s">
        <v>226</v>
      </c>
      <c r="K201" s="234">
        <v>5</v>
      </c>
      <c r="L201" s="91"/>
      <c r="M201" s="92"/>
    </row>
    <row r="202" spans="1:13" s="45" customFormat="1" ht="8.5500000000000007" customHeight="1" x14ac:dyDescent="0.2">
      <c r="A202" s="98"/>
      <c r="B202" s="158"/>
      <c r="C202" s="158"/>
      <c r="D202" s="158"/>
      <c r="E202" s="158"/>
      <c r="F202" s="159"/>
      <c r="G202" s="252"/>
      <c r="H202" s="254"/>
      <c r="I202" s="161"/>
      <c r="J202" s="210"/>
      <c r="K202" s="235"/>
      <c r="L202" s="91"/>
      <c r="M202" s="92"/>
    </row>
    <row r="203" spans="1:13" s="45" customFormat="1" ht="8.5500000000000007" customHeight="1" x14ac:dyDescent="0.2">
      <c r="A203" s="98"/>
      <c r="B203" s="201" t="s">
        <v>537</v>
      </c>
      <c r="C203" s="201"/>
      <c r="D203" s="201"/>
      <c r="E203" s="201"/>
      <c r="F203" s="157"/>
      <c r="G203" s="251">
        <v>1999</v>
      </c>
      <c r="H203" s="253">
        <v>96</v>
      </c>
      <c r="I203" s="160">
        <v>95</v>
      </c>
      <c r="J203" s="209" t="s">
        <v>1010</v>
      </c>
      <c r="K203" s="234">
        <v>3</v>
      </c>
      <c r="L203" s="91"/>
      <c r="M203" s="92"/>
    </row>
    <row r="204" spans="1:13" s="45" customFormat="1" ht="8.5500000000000007" customHeight="1" x14ac:dyDescent="0.2">
      <c r="A204" s="98"/>
      <c r="B204" s="158"/>
      <c r="C204" s="158"/>
      <c r="D204" s="158"/>
      <c r="E204" s="158"/>
      <c r="F204" s="159"/>
      <c r="G204" s="252"/>
      <c r="H204" s="254"/>
      <c r="I204" s="161"/>
      <c r="J204" s="210"/>
      <c r="K204" s="235"/>
      <c r="L204" s="91"/>
      <c r="M204" s="92"/>
    </row>
    <row r="205" spans="1:13" s="45" customFormat="1" ht="8.5500000000000007" customHeight="1" x14ac:dyDescent="0.2">
      <c r="A205" s="98"/>
      <c r="B205" s="201" t="s">
        <v>537</v>
      </c>
      <c r="C205" s="201"/>
      <c r="D205" s="201"/>
      <c r="E205" s="201"/>
      <c r="F205" s="157"/>
      <c r="G205" s="251">
        <v>2000</v>
      </c>
      <c r="H205" s="253">
        <v>99</v>
      </c>
      <c r="I205" s="160">
        <v>89</v>
      </c>
      <c r="J205" s="209" t="s">
        <v>344</v>
      </c>
      <c r="K205" s="234">
        <v>3</v>
      </c>
      <c r="L205" s="91"/>
      <c r="M205" s="92"/>
    </row>
    <row r="206" spans="1:13" s="45" customFormat="1" ht="8.5500000000000007" customHeight="1" x14ac:dyDescent="0.2">
      <c r="A206" s="98"/>
      <c r="B206" s="158"/>
      <c r="C206" s="158"/>
      <c r="D206" s="158"/>
      <c r="E206" s="158"/>
      <c r="F206" s="159"/>
      <c r="G206" s="252"/>
      <c r="H206" s="254"/>
      <c r="I206" s="161"/>
      <c r="J206" s="210"/>
      <c r="K206" s="235"/>
      <c r="L206" s="91"/>
      <c r="M206" s="92"/>
    </row>
    <row r="207" spans="1:13" s="45" customFormat="1" ht="8.5500000000000007" customHeight="1" x14ac:dyDescent="0.2">
      <c r="A207" s="98"/>
      <c r="B207" s="201" t="s">
        <v>537</v>
      </c>
      <c r="C207" s="201"/>
      <c r="D207" s="201"/>
      <c r="E207" s="201"/>
      <c r="F207" s="157"/>
      <c r="G207" s="251">
        <v>2001</v>
      </c>
      <c r="H207" s="253" t="s">
        <v>42</v>
      </c>
      <c r="I207" s="160">
        <v>96</v>
      </c>
      <c r="J207" s="209" t="s">
        <v>282</v>
      </c>
      <c r="K207" s="234">
        <v>4</v>
      </c>
      <c r="L207" s="91"/>
      <c r="M207" s="92"/>
    </row>
    <row r="208" spans="1:13" s="45" customFormat="1" ht="8.5500000000000007" customHeight="1" x14ac:dyDescent="0.2">
      <c r="A208" s="98"/>
      <c r="B208" s="158"/>
      <c r="C208" s="158"/>
      <c r="D208" s="158"/>
      <c r="E208" s="158"/>
      <c r="F208" s="159"/>
      <c r="G208" s="252"/>
      <c r="H208" s="254"/>
      <c r="I208" s="161"/>
      <c r="J208" s="210"/>
      <c r="K208" s="235"/>
      <c r="L208" s="91"/>
      <c r="M208" s="92"/>
    </row>
    <row r="209" spans="1:13" s="45" customFormat="1" ht="8.5500000000000007" customHeight="1" x14ac:dyDescent="0.2">
      <c r="A209" s="98"/>
      <c r="B209" s="201" t="s">
        <v>537</v>
      </c>
      <c r="C209" s="201"/>
      <c r="D209" s="201"/>
      <c r="E209" s="201"/>
      <c r="F209" s="157"/>
      <c r="G209" s="251">
        <v>2003</v>
      </c>
      <c r="H209" s="253">
        <v>100</v>
      </c>
      <c r="I209" s="160">
        <v>99</v>
      </c>
      <c r="J209" s="209" t="s">
        <v>1007</v>
      </c>
      <c r="K209" s="234">
        <v>4</v>
      </c>
      <c r="L209" s="91"/>
      <c r="M209" s="92"/>
    </row>
    <row r="210" spans="1:13" s="45" customFormat="1" ht="8.5500000000000007" customHeight="1" x14ac:dyDescent="0.2">
      <c r="A210" s="98"/>
      <c r="B210" s="158"/>
      <c r="C210" s="158"/>
      <c r="D210" s="158"/>
      <c r="E210" s="158"/>
      <c r="F210" s="159"/>
      <c r="G210" s="252"/>
      <c r="H210" s="254"/>
      <c r="I210" s="161"/>
      <c r="J210" s="210"/>
      <c r="K210" s="235"/>
      <c r="L210" s="91"/>
      <c r="M210" s="92"/>
    </row>
    <row r="211" spans="1:13" s="45" customFormat="1" ht="8.5500000000000007" customHeight="1" x14ac:dyDescent="0.2">
      <c r="A211" s="98"/>
      <c r="B211" s="201" t="s">
        <v>537</v>
      </c>
      <c r="C211" s="201"/>
      <c r="D211" s="201"/>
      <c r="E211" s="201"/>
      <c r="F211" s="157"/>
      <c r="G211" s="251">
        <v>2005</v>
      </c>
      <c r="H211" s="253">
        <v>99</v>
      </c>
      <c r="I211" s="160">
        <v>98</v>
      </c>
      <c r="J211" s="209" t="s">
        <v>1011</v>
      </c>
      <c r="K211" s="234">
        <v>5</v>
      </c>
      <c r="L211" s="91"/>
      <c r="M211" s="92"/>
    </row>
    <row r="212" spans="1:13" s="45" customFormat="1" ht="8.5500000000000007" customHeight="1" x14ac:dyDescent="0.2">
      <c r="A212" s="98"/>
      <c r="B212" s="158"/>
      <c r="C212" s="158"/>
      <c r="D212" s="158"/>
      <c r="E212" s="158"/>
      <c r="F212" s="159"/>
      <c r="G212" s="252"/>
      <c r="H212" s="254"/>
      <c r="I212" s="161"/>
      <c r="J212" s="210"/>
      <c r="K212" s="235"/>
      <c r="L212" s="91"/>
      <c r="M212" s="92"/>
    </row>
    <row r="213" spans="1:13" s="45" customFormat="1" ht="8.5500000000000007" customHeight="1" x14ac:dyDescent="0.2">
      <c r="A213" s="98"/>
      <c r="B213" s="201" t="s">
        <v>537</v>
      </c>
      <c r="C213" s="201"/>
      <c r="D213" s="201"/>
      <c r="E213" s="201"/>
      <c r="F213" s="157"/>
      <c r="G213" s="251">
        <v>2006</v>
      </c>
      <c r="H213" s="253" t="s">
        <v>629</v>
      </c>
      <c r="I213" s="160">
        <v>97</v>
      </c>
      <c r="J213" s="209" t="s">
        <v>1012</v>
      </c>
      <c r="K213" s="234">
        <v>3</v>
      </c>
      <c r="L213" s="91"/>
      <c r="M213" s="92"/>
    </row>
    <row r="214" spans="1:13" s="45" customFormat="1" ht="8.5500000000000007" customHeight="1" x14ac:dyDescent="0.2">
      <c r="A214" s="98"/>
      <c r="B214" s="158"/>
      <c r="C214" s="158"/>
      <c r="D214" s="158"/>
      <c r="E214" s="158"/>
      <c r="F214" s="159"/>
      <c r="G214" s="252"/>
      <c r="H214" s="254"/>
      <c r="I214" s="161"/>
      <c r="J214" s="210"/>
      <c r="K214" s="235"/>
      <c r="L214" s="91"/>
      <c r="M214" s="92"/>
    </row>
    <row r="215" spans="1:13" s="45" customFormat="1" ht="8.5500000000000007" customHeight="1" x14ac:dyDescent="0.2">
      <c r="A215" s="98"/>
      <c r="B215" s="201" t="s">
        <v>535</v>
      </c>
      <c r="C215" s="201"/>
      <c r="D215" s="201"/>
      <c r="E215" s="201"/>
      <c r="F215" s="157"/>
      <c r="G215" s="251">
        <v>1998</v>
      </c>
      <c r="H215" s="253">
        <v>96</v>
      </c>
      <c r="I215" s="160">
        <v>96</v>
      </c>
      <c r="J215" s="209" t="s">
        <v>1013</v>
      </c>
      <c r="K215" s="234">
        <v>1</v>
      </c>
      <c r="L215" s="91"/>
      <c r="M215" s="92"/>
    </row>
    <row r="216" spans="1:13" s="45" customFormat="1" ht="8.5500000000000007" customHeight="1" x14ac:dyDescent="0.2">
      <c r="A216" s="98"/>
      <c r="B216" s="158"/>
      <c r="C216" s="158"/>
      <c r="D216" s="158"/>
      <c r="E216" s="158"/>
      <c r="F216" s="159"/>
      <c r="G216" s="252"/>
      <c r="H216" s="254"/>
      <c r="I216" s="161"/>
      <c r="J216" s="210"/>
      <c r="K216" s="235"/>
      <c r="L216" s="91"/>
      <c r="M216" s="92"/>
    </row>
    <row r="217" spans="1:13" s="45" customFormat="1" ht="8.5500000000000007" customHeight="1" x14ac:dyDescent="0.2">
      <c r="A217" s="98"/>
      <c r="B217" s="201" t="s">
        <v>536</v>
      </c>
      <c r="C217" s="201"/>
      <c r="D217" s="201"/>
      <c r="E217" s="201"/>
      <c r="F217" s="157"/>
      <c r="G217" s="251">
        <v>2001</v>
      </c>
      <c r="H217" s="253">
        <v>94</v>
      </c>
      <c r="I217" s="160"/>
      <c r="J217" s="209" t="s">
        <v>124</v>
      </c>
      <c r="K217" s="234">
        <v>2</v>
      </c>
      <c r="L217" s="91"/>
      <c r="M217" s="92"/>
    </row>
    <row r="218" spans="1:13" s="45" customFormat="1" ht="8.5500000000000007" customHeight="1" x14ac:dyDescent="0.2">
      <c r="A218" s="98"/>
      <c r="B218" s="158"/>
      <c r="C218" s="158"/>
      <c r="D218" s="158"/>
      <c r="E218" s="158"/>
      <c r="F218" s="159"/>
      <c r="G218" s="252"/>
      <c r="H218" s="254"/>
      <c r="I218" s="161"/>
      <c r="J218" s="210"/>
      <c r="K218" s="235"/>
      <c r="L218" s="91"/>
      <c r="M218" s="92"/>
    </row>
    <row r="219" spans="1:13" s="45" customFormat="1" ht="8.5500000000000007" customHeight="1" x14ac:dyDescent="0.2">
      <c r="A219" s="98"/>
      <c r="B219" s="201" t="s">
        <v>536</v>
      </c>
      <c r="C219" s="201"/>
      <c r="D219" s="201"/>
      <c r="E219" s="201"/>
      <c r="F219" s="157"/>
      <c r="G219" s="251">
        <v>2003</v>
      </c>
      <c r="H219" s="253">
        <v>99</v>
      </c>
      <c r="I219" s="160">
        <v>98</v>
      </c>
      <c r="J219" s="209" t="s">
        <v>377</v>
      </c>
      <c r="K219" s="234">
        <v>3</v>
      </c>
      <c r="L219" s="91"/>
      <c r="M219" s="92"/>
    </row>
    <row r="220" spans="1:13" s="45" customFormat="1" ht="8.5500000000000007" customHeight="1" x14ac:dyDescent="0.2">
      <c r="A220" s="98"/>
      <c r="B220" s="158"/>
      <c r="C220" s="158"/>
      <c r="D220" s="158"/>
      <c r="E220" s="158"/>
      <c r="F220" s="159"/>
      <c r="G220" s="252"/>
      <c r="H220" s="254"/>
      <c r="I220" s="161"/>
      <c r="J220" s="210"/>
      <c r="K220" s="235"/>
      <c r="L220" s="91"/>
      <c r="M220" s="92"/>
    </row>
    <row r="221" spans="1:13" s="45" customFormat="1" ht="8.5500000000000007" customHeight="1" x14ac:dyDescent="0.2">
      <c r="A221" s="98"/>
      <c r="B221" s="201" t="s">
        <v>536</v>
      </c>
      <c r="C221" s="201"/>
      <c r="D221" s="201"/>
      <c r="E221" s="201"/>
      <c r="F221" s="157"/>
      <c r="G221" s="251">
        <v>2005</v>
      </c>
      <c r="H221" s="253">
        <v>96</v>
      </c>
      <c r="I221" s="160">
        <v>98</v>
      </c>
      <c r="J221" s="209" t="s">
        <v>343</v>
      </c>
      <c r="K221" s="234">
        <v>2</v>
      </c>
      <c r="L221" s="91"/>
      <c r="M221" s="92"/>
    </row>
    <row r="222" spans="1:13" s="45" customFormat="1" ht="8.5500000000000007" customHeight="1" x14ac:dyDescent="0.2">
      <c r="A222" s="98"/>
      <c r="B222" s="158"/>
      <c r="C222" s="158"/>
      <c r="D222" s="158"/>
      <c r="E222" s="158"/>
      <c r="F222" s="159"/>
      <c r="G222" s="252"/>
      <c r="H222" s="254"/>
      <c r="I222" s="161"/>
      <c r="J222" s="210"/>
      <c r="K222" s="235"/>
      <c r="L222" s="91"/>
      <c r="M222" s="92"/>
    </row>
    <row r="223" spans="1:13" s="45" customFormat="1" ht="8.5500000000000007" customHeight="1" x14ac:dyDescent="0.2">
      <c r="A223" s="98"/>
      <c r="B223" s="201" t="s">
        <v>536</v>
      </c>
      <c r="C223" s="201"/>
      <c r="D223" s="201"/>
      <c r="E223" s="201"/>
      <c r="F223" s="157"/>
      <c r="G223" s="251">
        <v>2006</v>
      </c>
      <c r="H223" s="253">
        <v>94</v>
      </c>
      <c r="I223" s="160">
        <v>96</v>
      </c>
      <c r="J223" s="209" t="s">
        <v>248</v>
      </c>
      <c r="K223" s="234">
        <v>2</v>
      </c>
      <c r="L223" s="91"/>
      <c r="M223" s="92"/>
    </row>
    <row r="224" spans="1:13" s="45" customFormat="1" ht="8.5500000000000007" customHeight="1" x14ac:dyDescent="0.2">
      <c r="A224" s="98"/>
      <c r="B224" s="158"/>
      <c r="C224" s="158"/>
      <c r="D224" s="158"/>
      <c r="E224" s="158"/>
      <c r="F224" s="159"/>
      <c r="G224" s="252"/>
      <c r="H224" s="254"/>
      <c r="I224" s="161"/>
      <c r="J224" s="210"/>
      <c r="K224" s="235"/>
      <c r="L224" s="91"/>
      <c r="M224" s="92"/>
    </row>
    <row r="225" spans="1:13" s="45" customFormat="1" ht="8.5500000000000007" customHeight="1" x14ac:dyDescent="0.2">
      <c r="A225" s="98"/>
      <c r="B225" s="201" t="s">
        <v>300</v>
      </c>
      <c r="C225" s="201"/>
      <c r="D225" s="201"/>
      <c r="E225" s="201"/>
      <c r="F225" s="157"/>
      <c r="G225" s="251">
        <v>2001</v>
      </c>
      <c r="H225" s="253">
        <v>95</v>
      </c>
      <c r="I225" s="160">
        <v>91</v>
      </c>
      <c r="J225" s="209" t="s">
        <v>248</v>
      </c>
      <c r="K225" s="234">
        <v>1</v>
      </c>
      <c r="L225" s="91"/>
      <c r="M225" s="92"/>
    </row>
    <row r="226" spans="1:13" s="45" customFormat="1" ht="8.5500000000000007" customHeight="1" x14ac:dyDescent="0.2">
      <c r="A226" s="98"/>
      <c r="B226" s="158"/>
      <c r="C226" s="158"/>
      <c r="D226" s="158"/>
      <c r="E226" s="158"/>
      <c r="F226" s="159"/>
      <c r="G226" s="252"/>
      <c r="H226" s="254"/>
      <c r="I226" s="161"/>
      <c r="J226" s="210"/>
      <c r="K226" s="235"/>
      <c r="L226" s="91"/>
      <c r="M226" s="92"/>
    </row>
    <row r="227" spans="1:13" s="45" customFormat="1" ht="8.5500000000000007" customHeight="1" x14ac:dyDescent="0.2">
      <c r="A227" s="98"/>
      <c r="B227" s="201" t="s">
        <v>539</v>
      </c>
      <c r="C227" s="201"/>
      <c r="D227" s="201"/>
      <c r="E227" s="201"/>
      <c r="F227" s="157"/>
      <c r="G227" s="251">
        <v>2001</v>
      </c>
      <c r="H227" s="253">
        <v>96</v>
      </c>
      <c r="I227" s="160"/>
      <c r="J227" s="209" t="s">
        <v>1559</v>
      </c>
      <c r="K227" s="234">
        <v>2</v>
      </c>
      <c r="L227" s="91"/>
      <c r="M227" s="92"/>
    </row>
    <row r="228" spans="1:13" s="45" customFormat="1" ht="8.5500000000000007" customHeight="1" x14ac:dyDescent="0.2">
      <c r="A228" s="98"/>
      <c r="B228" s="158"/>
      <c r="C228" s="158"/>
      <c r="D228" s="158"/>
      <c r="E228" s="158"/>
      <c r="F228" s="159"/>
      <c r="G228" s="252"/>
      <c r="H228" s="254"/>
      <c r="I228" s="161"/>
      <c r="J228" s="210"/>
      <c r="K228" s="235"/>
      <c r="L228" s="91"/>
      <c r="M228" s="92"/>
    </row>
    <row r="229" spans="1:13" s="45" customFormat="1" ht="8.5500000000000007" customHeight="1" x14ac:dyDescent="0.2">
      <c r="A229" s="98"/>
      <c r="B229" s="201" t="s">
        <v>539</v>
      </c>
      <c r="C229" s="201"/>
      <c r="D229" s="201"/>
      <c r="E229" s="201"/>
      <c r="F229" s="157"/>
      <c r="G229" s="251">
        <v>2003</v>
      </c>
      <c r="H229" s="253">
        <v>100</v>
      </c>
      <c r="I229" s="160">
        <v>97</v>
      </c>
      <c r="J229" s="209" t="s">
        <v>1015</v>
      </c>
      <c r="K229" s="234">
        <v>3</v>
      </c>
      <c r="L229" s="91"/>
      <c r="M229" s="92"/>
    </row>
    <row r="230" spans="1:13" s="45" customFormat="1" ht="8.5500000000000007" customHeight="1" x14ac:dyDescent="0.2">
      <c r="A230" s="98"/>
      <c r="B230" s="158"/>
      <c r="C230" s="158"/>
      <c r="D230" s="158"/>
      <c r="E230" s="158"/>
      <c r="F230" s="159"/>
      <c r="G230" s="252"/>
      <c r="H230" s="254"/>
      <c r="I230" s="161"/>
      <c r="J230" s="210"/>
      <c r="K230" s="235"/>
      <c r="L230" s="91"/>
      <c r="M230" s="92"/>
    </row>
    <row r="231" spans="1:13" s="45" customFormat="1" ht="8.5500000000000007" customHeight="1" x14ac:dyDescent="0.2">
      <c r="A231" s="98"/>
      <c r="B231" s="201" t="s">
        <v>539</v>
      </c>
      <c r="C231" s="201"/>
      <c r="D231" s="201"/>
      <c r="E231" s="201"/>
      <c r="F231" s="157"/>
      <c r="G231" s="251">
        <v>2005</v>
      </c>
      <c r="H231" s="253" t="s">
        <v>48</v>
      </c>
      <c r="I231" s="160">
        <v>96</v>
      </c>
      <c r="J231" s="209" t="s">
        <v>49</v>
      </c>
      <c r="K231" s="234">
        <v>2</v>
      </c>
      <c r="L231" s="91"/>
      <c r="M231" s="92"/>
    </row>
    <row r="232" spans="1:13" s="45" customFormat="1" ht="8.5500000000000007" customHeight="1" x14ac:dyDescent="0.2">
      <c r="A232" s="98"/>
      <c r="B232" s="158"/>
      <c r="C232" s="158"/>
      <c r="D232" s="158"/>
      <c r="E232" s="158"/>
      <c r="F232" s="159"/>
      <c r="G232" s="252"/>
      <c r="H232" s="254"/>
      <c r="I232" s="161"/>
      <c r="J232" s="210"/>
      <c r="K232" s="235"/>
      <c r="L232" s="91"/>
      <c r="M232" s="92"/>
    </row>
    <row r="233" spans="1:13" s="45" customFormat="1" ht="8.5500000000000007" customHeight="1" x14ac:dyDescent="0.2">
      <c r="A233" s="98"/>
      <c r="B233" s="201" t="s">
        <v>540</v>
      </c>
      <c r="C233" s="201"/>
      <c r="D233" s="201"/>
      <c r="E233" s="201"/>
      <c r="F233" s="157"/>
      <c r="G233" s="251">
        <v>2006</v>
      </c>
      <c r="H233" s="253">
        <v>95</v>
      </c>
      <c r="I233" s="160">
        <v>92</v>
      </c>
      <c r="J233" s="209" t="s">
        <v>51</v>
      </c>
      <c r="K233" s="232">
        <v>3</v>
      </c>
      <c r="L233" s="91"/>
      <c r="M233" s="92"/>
    </row>
    <row r="234" spans="1:13" s="45" customFormat="1" ht="8.5500000000000007" customHeight="1" x14ac:dyDescent="0.2">
      <c r="A234" s="98"/>
      <c r="B234" s="158"/>
      <c r="C234" s="158"/>
      <c r="D234" s="158"/>
      <c r="E234" s="158"/>
      <c r="F234" s="159"/>
      <c r="G234" s="252"/>
      <c r="H234" s="254"/>
      <c r="I234" s="161"/>
      <c r="J234" s="210"/>
      <c r="K234" s="233"/>
      <c r="L234" s="91"/>
      <c r="M234" s="92"/>
    </row>
    <row r="235" spans="1:13" s="45" customFormat="1" ht="8.5500000000000007" customHeight="1" x14ac:dyDescent="0.2">
      <c r="A235" s="98"/>
      <c r="B235" s="213" t="s">
        <v>694</v>
      </c>
      <c r="C235" s="213"/>
      <c r="D235" s="213"/>
      <c r="E235" s="213"/>
      <c r="F235" s="213"/>
      <c r="G235" s="297"/>
      <c r="H235" s="47"/>
      <c r="I235" s="48"/>
      <c r="J235" s="104"/>
      <c r="K235" s="164"/>
      <c r="L235" s="91"/>
      <c r="M235" s="92"/>
    </row>
    <row r="236" spans="1:13" s="45" customFormat="1" ht="8.5500000000000007" customHeight="1" x14ac:dyDescent="0.2">
      <c r="A236" s="98"/>
      <c r="B236" s="171"/>
      <c r="C236" s="171"/>
      <c r="D236" s="171"/>
      <c r="E236" s="171"/>
      <c r="F236" s="171"/>
      <c r="G236" s="188"/>
      <c r="H236" s="54"/>
      <c r="I236" s="49"/>
      <c r="J236" s="105"/>
      <c r="K236" s="165"/>
      <c r="L236" s="91"/>
      <c r="M236" s="92"/>
    </row>
    <row r="237" spans="1:13" s="45" customFormat="1" ht="8.5500000000000007" customHeight="1" x14ac:dyDescent="0.2">
      <c r="A237" s="98"/>
      <c r="B237" s="201" t="s">
        <v>540</v>
      </c>
      <c r="C237" s="201"/>
      <c r="D237" s="201"/>
      <c r="E237" s="201"/>
      <c r="F237" s="157"/>
      <c r="G237" s="251">
        <v>2009</v>
      </c>
      <c r="H237" s="253">
        <v>95</v>
      </c>
      <c r="I237" s="160"/>
      <c r="J237" s="209" t="s">
        <v>342</v>
      </c>
      <c r="K237" s="232">
        <v>1</v>
      </c>
      <c r="L237" s="91"/>
      <c r="M237" s="92"/>
    </row>
    <row r="238" spans="1:13" s="45" customFormat="1" ht="8.5500000000000007" customHeight="1" x14ac:dyDescent="0.2">
      <c r="A238" s="98"/>
      <c r="B238" s="158"/>
      <c r="C238" s="158"/>
      <c r="D238" s="158"/>
      <c r="E238" s="158"/>
      <c r="F238" s="159"/>
      <c r="G238" s="252"/>
      <c r="H238" s="254"/>
      <c r="I238" s="161"/>
      <c r="J238" s="210"/>
      <c r="K238" s="233"/>
      <c r="L238" s="91"/>
      <c r="M238" s="92"/>
    </row>
    <row r="239" spans="1:13" s="45" customFormat="1" ht="8.5500000000000007" customHeight="1" x14ac:dyDescent="0.2">
      <c r="A239" s="98"/>
      <c r="B239" s="201" t="s">
        <v>540</v>
      </c>
      <c r="C239" s="201"/>
      <c r="D239" s="201"/>
      <c r="E239" s="201"/>
      <c r="F239" s="157"/>
      <c r="G239" s="251">
        <v>2010</v>
      </c>
      <c r="H239" s="253" t="s">
        <v>1493</v>
      </c>
      <c r="I239" s="160"/>
      <c r="J239" s="209" t="s">
        <v>352</v>
      </c>
      <c r="K239" s="232">
        <v>2</v>
      </c>
      <c r="L239" s="91"/>
      <c r="M239" s="92"/>
    </row>
    <row r="240" spans="1:13" s="45" customFormat="1" ht="8.5500000000000007" customHeight="1" x14ac:dyDescent="0.2">
      <c r="A240" s="98"/>
      <c r="B240" s="158"/>
      <c r="C240" s="158"/>
      <c r="D240" s="158"/>
      <c r="E240" s="158"/>
      <c r="F240" s="159"/>
      <c r="G240" s="252"/>
      <c r="H240" s="254"/>
      <c r="I240" s="161"/>
      <c r="J240" s="210"/>
      <c r="K240" s="233"/>
      <c r="L240" s="91"/>
      <c r="M240" s="92"/>
    </row>
    <row r="241" spans="1:13" s="45" customFormat="1" ht="8.5500000000000007" customHeight="1" x14ac:dyDescent="0.2">
      <c r="A241" s="98"/>
      <c r="B241" s="201" t="s">
        <v>1376</v>
      </c>
      <c r="C241" s="201"/>
      <c r="D241" s="201"/>
      <c r="E241" s="201"/>
      <c r="F241" s="157"/>
      <c r="G241" s="251">
        <v>2009</v>
      </c>
      <c r="H241" s="253">
        <v>98</v>
      </c>
      <c r="I241" s="160"/>
      <c r="J241" s="209" t="s">
        <v>1016</v>
      </c>
      <c r="K241" s="232">
        <v>2</v>
      </c>
      <c r="L241" s="91"/>
      <c r="M241" s="92"/>
    </row>
    <row r="242" spans="1:13" s="45" customFormat="1" ht="8.5500000000000007" customHeight="1" x14ac:dyDescent="0.2">
      <c r="A242" s="98"/>
      <c r="B242" s="158"/>
      <c r="C242" s="158"/>
      <c r="D242" s="158"/>
      <c r="E242" s="158"/>
      <c r="F242" s="159"/>
      <c r="G242" s="252"/>
      <c r="H242" s="254"/>
      <c r="I242" s="161"/>
      <c r="J242" s="210"/>
      <c r="K242" s="233"/>
      <c r="L242" s="91"/>
      <c r="M242" s="92"/>
    </row>
    <row r="243" spans="1:13" s="45" customFormat="1" ht="8.5500000000000007" customHeight="1" x14ac:dyDescent="0.2">
      <c r="A243" s="98"/>
      <c r="B243" s="213" t="s">
        <v>789</v>
      </c>
      <c r="C243" s="213"/>
      <c r="D243" s="213"/>
      <c r="E243" s="213"/>
      <c r="F243" s="213"/>
      <c r="G243" s="47"/>
      <c r="H243" s="47"/>
      <c r="I243" s="48"/>
      <c r="J243" s="104"/>
      <c r="K243" s="236">
        <v>141</v>
      </c>
      <c r="L243" s="290">
        <f>+K243</f>
        <v>141</v>
      </c>
      <c r="M243" s="92"/>
    </row>
    <row r="244" spans="1:13" s="45" customFormat="1" ht="8.5500000000000007" customHeight="1" x14ac:dyDescent="0.2">
      <c r="A244" s="98"/>
      <c r="B244" s="171"/>
      <c r="C244" s="171"/>
      <c r="D244" s="171"/>
      <c r="E244" s="171"/>
      <c r="F244" s="171"/>
      <c r="G244" s="54"/>
      <c r="H244" s="54"/>
      <c r="I244" s="49"/>
      <c r="J244" s="105"/>
      <c r="K244" s="225"/>
      <c r="L244" s="231"/>
      <c r="M244" s="92"/>
    </row>
    <row r="245" spans="1:13" s="45" customFormat="1" ht="8.5500000000000007" customHeight="1" x14ac:dyDescent="0.2">
      <c r="A245" s="98"/>
      <c r="B245" s="286" t="s">
        <v>182</v>
      </c>
      <c r="C245" s="286"/>
      <c r="D245" s="286"/>
      <c r="E245" s="286"/>
      <c r="F245" s="286"/>
      <c r="G245" s="75"/>
      <c r="H245" s="75"/>
      <c r="I245" s="75"/>
      <c r="J245" s="106"/>
      <c r="K245" s="75"/>
      <c r="L245" s="91"/>
      <c r="M245" s="92"/>
    </row>
    <row r="246" spans="1:13" s="45" customFormat="1" ht="8.5500000000000007" customHeight="1" x14ac:dyDescent="0.2">
      <c r="A246" s="98"/>
      <c r="B246" s="287"/>
      <c r="C246" s="287"/>
      <c r="D246" s="287"/>
      <c r="E246" s="287"/>
      <c r="F246" s="287"/>
      <c r="G246" s="76"/>
      <c r="H246" s="76"/>
      <c r="I246" s="76"/>
      <c r="J246" s="107"/>
      <c r="K246" s="76"/>
      <c r="L246" s="91"/>
      <c r="M246" s="92"/>
    </row>
    <row r="247" spans="1:13" s="45" customFormat="1" ht="8.5500000000000007" customHeight="1" x14ac:dyDescent="0.2">
      <c r="A247" s="98"/>
      <c r="B247" s="201" t="s">
        <v>70</v>
      </c>
      <c r="C247" s="201"/>
      <c r="D247" s="201"/>
      <c r="E247" s="201"/>
      <c r="F247" s="157"/>
      <c r="G247" s="189">
        <v>1989</v>
      </c>
      <c r="H247" s="167">
        <v>97</v>
      </c>
      <c r="I247" s="160">
        <v>90</v>
      </c>
      <c r="J247" s="209" t="s">
        <v>359</v>
      </c>
      <c r="K247" s="232">
        <v>1</v>
      </c>
      <c r="L247" s="91"/>
      <c r="M247" s="92"/>
    </row>
    <row r="248" spans="1:13" s="45" customFormat="1" ht="8.5500000000000007" customHeight="1" x14ac:dyDescent="0.2">
      <c r="A248" s="98"/>
      <c r="B248" s="158"/>
      <c r="C248" s="158"/>
      <c r="D248" s="158"/>
      <c r="E248" s="158"/>
      <c r="F248" s="159"/>
      <c r="G248" s="190"/>
      <c r="H248" s="168"/>
      <c r="I248" s="161"/>
      <c r="J248" s="210"/>
      <c r="K248" s="233"/>
      <c r="L248" s="91"/>
      <c r="M248" s="92"/>
    </row>
    <row r="249" spans="1:13" s="45" customFormat="1" ht="8.5500000000000007" customHeight="1" x14ac:dyDescent="0.2">
      <c r="A249" s="98"/>
      <c r="B249" s="201" t="s">
        <v>70</v>
      </c>
      <c r="C249" s="201"/>
      <c r="D249" s="201"/>
      <c r="E249" s="201"/>
      <c r="F249" s="157"/>
      <c r="G249" s="189">
        <v>1990</v>
      </c>
      <c r="H249" s="167" t="s">
        <v>721</v>
      </c>
      <c r="I249" s="160">
        <v>94</v>
      </c>
      <c r="J249" s="209" t="s">
        <v>1017</v>
      </c>
      <c r="K249" s="232">
        <v>1</v>
      </c>
      <c r="L249" s="91"/>
      <c r="M249" s="92"/>
    </row>
    <row r="250" spans="1:13" s="45" customFormat="1" ht="8.5500000000000007" customHeight="1" x14ac:dyDescent="0.2">
      <c r="A250" s="98"/>
      <c r="B250" s="158"/>
      <c r="C250" s="158"/>
      <c r="D250" s="158"/>
      <c r="E250" s="158"/>
      <c r="F250" s="159"/>
      <c r="G250" s="190"/>
      <c r="H250" s="168"/>
      <c r="I250" s="161"/>
      <c r="J250" s="210"/>
      <c r="K250" s="233"/>
      <c r="L250" s="91"/>
      <c r="M250" s="92"/>
    </row>
    <row r="251" spans="1:13" s="45" customFormat="1" ht="8.5500000000000007" customHeight="1" x14ac:dyDescent="0.2">
      <c r="A251" s="98"/>
      <c r="B251" s="201" t="s">
        <v>70</v>
      </c>
      <c r="C251" s="201"/>
      <c r="D251" s="201"/>
      <c r="E251" s="201"/>
      <c r="F251" s="157"/>
      <c r="G251" s="189">
        <v>1995</v>
      </c>
      <c r="H251" s="167">
        <v>96</v>
      </c>
      <c r="I251" s="160"/>
      <c r="J251" s="209" t="s">
        <v>231</v>
      </c>
      <c r="K251" s="232">
        <v>1</v>
      </c>
      <c r="L251" s="91"/>
      <c r="M251" s="92"/>
    </row>
    <row r="252" spans="1:13" s="45" customFormat="1" ht="8.5500000000000007" customHeight="1" x14ac:dyDescent="0.2">
      <c r="A252" s="98"/>
      <c r="B252" s="158"/>
      <c r="C252" s="158"/>
      <c r="D252" s="158"/>
      <c r="E252" s="158"/>
      <c r="F252" s="159"/>
      <c r="G252" s="190"/>
      <c r="H252" s="168"/>
      <c r="I252" s="161"/>
      <c r="J252" s="210"/>
      <c r="K252" s="233"/>
      <c r="L252" s="91"/>
      <c r="M252" s="92"/>
    </row>
    <row r="253" spans="1:13" s="45" customFormat="1" ht="8.5500000000000007" customHeight="1" x14ac:dyDescent="0.2">
      <c r="A253" s="98"/>
      <c r="B253" s="201" t="s">
        <v>70</v>
      </c>
      <c r="C253" s="201"/>
      <c r="D253" s="201"/>
      <c r="E253" s="201"/>
      <c r="F253" s="157"/>
      <c r="G253" s="189">
        <v>1996</v>
      </c>
      <c r="H253" s="167">
        <v>89</v>
      </c>
      <c r="I253" s="160">
        <v>88</v>
      </c>
      <c r="J253" s="209" t="s">
        <v>54</v>
      </c>
      <c r="K253" s="232">
        <v>1</v>
      </c>
      <c r="L253" s="91"/>
      <c r="M253" s="92"/>
    </row>
    <row r="254" spans="1:13" s="45" customFormat="1" ht="8.5500000000000007" customHeight="1" x14ac:dyDescent="0.2">
      <c r="A254" s="98"/>
      <c r="B254" s="158"/>
      <c r="C254" s="158"/>
      <c r="D254" s="158"/>
      <c r="E254" s="158"/>
      <c r="F254" s="159"/>
      <c r="G254" s="190"/>
      <c r="H254" s="168"/>
      <c r="I254" s="161"/>
      <c r="J254" s="210"/>
      <c r="K254" s="233"/>
      <c r="L254" s="91"/>
      <c r="M254" s="92"/>
    </row>
    <row r="255" spans="1:13" s="45" customFormat="1" ht="8.5500000000000007" customHeight="1" x14ac:dyDescent="0.2">
      <c r="A255" s="98"/>
      <c r="B255" s="201" t="s">
        <v>70</v>
      </c>
      <c r="C255" s="201"/>
      <c r="D255" s="201"/>
      <c r="E255" s="201"/>
      <c r="F255" s="157"/>
      <c r="G255" s="189">
        <v>1998</v>
      </c>
      <c r="H255" s="167">
        <v>94</v>
      </c>
      <c r="I255" s="160">
        <v>93</v>
      </c>
      <c r="J255" s="209" t="s">
        <v>307</v>
      </c>
      <c r="K255" s="232">
        <v>1</v>
      </c>
      <c r="L255" s="91"/>
      <c r="M255" s="92"/>
    </row>
    <row r="256" spans="1:13" s="45" customFormat="1" ht="8.5500000000000007" customHeight="1" x14ac:dyDescent="0.2">
      <c r="A256" s="98"/>
      <c r="B256" s="158"/>
      <c r="C256" s="158"/>
      <c r="D256" s="158"/>
      <c r="E256" s="158"/>
      <c r="F256" s="159"/>
      <c r="G256" s="190"/>
      <c r="H256" s="168"/>
      <c r="I256" s="161"/>
      <c r="J256" s="210"/>
      <c r="K256" s="233"/>
      <c r="L256" s="91"/>
      <c r="M256" s="92"/>
    </row>
    <row r="257" spans="1:13" s="45" customFormat="1" ht="8.5500000000000007" customHeight="1" x14ac:dyDescent="0.2">
      <c r="A257" s="98"/>
      <c r="B257" s="201" t="s">
        <v>70</v>
      </c>
      <c r="C257" s="201"/>
      <c r="D257" s="201"/>
      <c r="E257" s="201"/>
      <c r="F257" s="157"/>
      <c r="G257" s="189">
        <v>1999</v>
      </c>
      <c r="H257" s="167">
        <v>92</v>
      </c>
      <c r="I257" s="160">
        <v>83</v>
      </c>
      <c r="J257" s="209" t="s">
        <v>1018</v>
      </c>
      <c r="K257" s="232">
        <v>1</v>
      </c>
      <c r="L257" s="91"/>
      <c r="M257" s="92"/>
    </row>
    <row r="258" spans="1:13" s="45" customFormat="1" ht="8.5500000000000007" customHeight="1" x14ac:dyDescent="0.2">
      <c r="A258" s="98"/>
      <c r="B258" s="158"/>
      <c r="C258" s="158"/>
      <c r="D258" s="158"/>
      <c r="E258" s="158"/>
      <c r="F258" s="159"/>
      <c r="G258" s="190"/>
      <c r="H258" s="168"/>
      <c r="I258" s="161"/>
      <c r="J258" s="210"/>
      <c r="K258" s="233"/>
      <c r="L258" s="91"/>
      <c r="M258" s="92"/>
    </row>
    <row r="259" spans="1:13" s="45" customFormat="1" ht="8.5500000000000007" customHeight="1" x14ac:dyDescent="0.2">
      <c r="A259" s="98"/>
      <c r="B259" s="201" t="s">
        <v>70</v>
      </c>
      <c r="C259" s="201"/>
      <c r="D259" s="201"/>
      <c r="E259" s="201"/>
      <c r="F259" s="157"/>
      <c r="G259" s="189">
        <v>2000</v>
      </c>
      <c r="H259" s="167">
        <v>93</v>
      </c>
      <c r="I259" s="160">
        <v>93</v>
      </c>
      <c r="J259" s="209" t="s">
        <v>230</v>
      </c>
      <c r="K259" s="232">
        <v>1</v>
      </c>
      <c r="L259" s="91"/>
      <c r="M259" s="92"/>
    </row>
    <row r="260" spans="1:13" s="45" customFormat="1" ht="8.5500000000000007" customHeight="1" x14ac:dyDescent="0.2">
      <c r="A260" s="98"/>
      <c r="B260" s="158"/>
      <c r="C260" s="158"/>
      <c r="D260" s="158"/>
      <c r="E260" s="158"/>
      <c r="F260" s="159"/>
      <c r="G260" s="190"/>
      <c r="H260" s="168"/>
      <c r="I260" s="161"/>
      <c r="J260" s="210"/>
      <c r="K260" s="233"/>
      <c r="L260" s="91"/>
      <c r="M260" s="92"/>
    </row>
    <row r="261" spans="1:13" s="45" customFormat="1" ht="8.5500000000000007" customHeight="1" x14ac:dyDescent="0.2">
      <c r="A261" s="98"/>
      <c r="B261" s="201" t="s">
        <v>70</v>
      </c>
      <c r="C261" s="201"/>
      <c r="D261" s="201"/>
      <c r="E261" s="201"/>
      <c r="F261" s="157"/>
      <c r="G261" s="189">
        <v>2001</v>
      </c>
      <c r="H261" s="167">
        <v>92</v>
      </c>
      <c r="I261" s="160">
        <v>91</v>
      </c>
      <c r="J261" s="209" t="s">
        <v>426</v>
      </c>
      <c r="K261" s="232">
        <v>1</v>
      </c>
      <c r="L261" s="91"/>
      <c r="M261" s="92"/>
    </row>
    <row r="262" spans="1:13" s="45" customFormat="1" ht="8.5500000000000007" customHeight="1" x14ac:dyDescent="0.2">
      <c r="A262" s="98"/>
      <c r="B262" s="158"/>
      <c r="C262" s="158"/>
      <c r="D262" s="158"/>
      <c r="E262" s="158"/>
      <c r="F262" s="159"/>
      <c r="G262" s="190"/>
      <c r="H262" s="168"/>
      <c r="I262" s="161"/>
      <c r="J262" s="210"/>
      <c r="K262" s="233"/>
      <c r="L262" s="91"/>
      <c r="M262" s="92"/>
    </row>
    <row r="263" spans="1:13" s="45" customFormat="1" ht="8.5500000000000007" customHeight="1" x14ac:dyDescent="0.2">
      <c r="A263" s="98"/>
      <c r="B263" s="201" t="s">
        <v>70</v>
      </c>
      <c r="C263" s="201"/>
      <c r="D263" s="201"/>
      <c r="E263" s="201"/>
      <c r="F263" s="157"/>
      <c r="G263" s="189">
        <v>2003</v>
      </c>
      <c r="H263" s="167">
        <v>95</v>
      </c>
      <c r="I263" s="160"/>
      <c r="J263" s="209" t="s">
        <v>408</v>
      </c>
      <c r="K263" s="232">
        <v>3</v>
      </c>
      <c r="L263" s="91"/>
      <c r="M263" s="92"/>
    </row>
    <row r="264" spans="1:13" s="45" customFormat="1" ht="8.5500000000000007" customHeight="1" x14ac:dyDescent="0.2">
      <c r="A264" s="98"/>
      <c r="B264" s="158"/>
      <c r="C264" s="158"/>
      <c r="D264" s="158"/>
      <c r="E264" s="158"/>
      <c r="F264" s="159"/>
      <c r="G264" s="190"/>
      <c r="H264" s="168"/>
      <c r="I264" s="161"/>
      <c r="J264" s="210"/>
      <c r="K264" s="233"/>
      <c r="L264" s="91"/>
      <c r="M264" s="92"/>
    </row>
    <row r="265" spans="1:13" s="45" customFormat="1" ht="8.5500000000000007" customHeight="1" x14ac:dyDescent="0.2">
      <c r="A265" s="98"/>
      <c r="B265" s="201" t="s">
        <v>70</v>
      </c>
      <c r="C265" s="201"/>
      <c r="D265" s="201"/>
      <c r="E265" s="201"/>
      <c r="F265" s="157"/>
      <c r="G265" s="189">
        <v>2005</v>
      </c>
      <c r="H265" s="167">
        <v>97</v>
      </c>
      <c r="I265" s="160">
        <v>94</v>
      </c>
      <c r="J265" s="209" t="s">
        <v>55</v>
      </c>
      <c r="K265" s="232">
        <v>1</v>
      </c>
      <c r="L265" s="91"/>
      <c r="M265" s="92"/>
    </row>
    <row r="266" spans="1:13" s="45" customFormat="1" ht="8.5500000000000007" customHeight="1" x14ac:dyDescent="0.2">
      <c r="A266" s="98"/>
      <c r="B266" s="158"/>
      <c r="C266" s="158"/>
      <c r="D266" s="158"/>
      <c r="E266" s="158"/>
      <c r="F266" s="159"/>
      <c r="G266" s="190"/>
      <c r="H266" s="168"/>
      <c r="I266" s="161"/>
      <c r="J266" s="210"/>
      <c r="K266" s="233"/>
      <c r="L266" s="91"/>
      <c r="M266" s="92"/>
    </row>
    <row r="267" spans="1:13" s="45" customFormat="1" ht="8.5500000000000007" customHeight="1" x14ac:dyDescent="0.2">
      <c r="A267" s="98"/>
      <c r="B267" s="201" t="s">
        <v>70</v>
      </c>
      <c r="C267" s="201"/>
      <c r="D267" s="201"/>
      <c r="E267" s="201"/>
      <c r="F267" s="157"/>
      <c r="G267" s="189">
        <v>2006</v>
      </c>
      <c r="H267" s="167">
        <v>93</v>
      </c>
      <c r="I267" s="160">
        <v>93</v>
      </c>
      <c r="J267" s="209" t="s">
        <v>1019</v>
      </c>
      <c r="K267" s="232">
        <v>1</v>
      </c>
      <c r="L267" s="91"/>
      <c r="M267" s="92"/>
    </row>
    <row r="268" spans="1:13" s="45" customFormat="1" ht="8.5500000000000007" customHeight="1" x14ac:dyDescent="0.2">
      <c r="A268" s="98"/>
      <c r="B268" s="158"/>
      <c r="C268" s="158"/>
      <c r="D268" s="158"/>
      <c r="E268" s="158"/>
      <c r="F268" s="159"/>
      <c r="G268" s="190"/>
      <c r="H268" s="168"/>
      <c r="I268" s="161"/>
      <c r="J268" s="210"/>
      <c r="K268" s="233"/>
      <c r="L268" s="91"/>
      <c r="M268" s="92"/>
    </row>
    <row r="269" spans="1:13" s="45" customFormat="1" ht="8.5500000000000007" customHeight="1" x14ac:dyDescent="0.2">
      <c r="A269" s="98"/>
      <c r="B269" s="201" t="s">
        <v>70</v>
      </c>
      <c r="C269" s="201"/>
      <c r="D269" s="201"/>
      <c r="E269" s="201"/>
      <c r="F269" s="157"/>
      <c r="G269" s="189">
        <v>2007</v>
      </c>
      <c r="H269" s="167">
        <v>97</v>
      </c>
      <c r="I269" s="160">
        <v>94</v>
      </c>
      <c r="J269" s="209" t="s">
        <v>249</v>
      </c>
      <c r="K269" s="232">
        <v>1</v>
      </c>
      <c r="L269" s="91"/>
      <c r="M269" s="92"/>
    </row>
    <row r="270" spans="1:13" s="45" customFormat="1" ht="8.5500000000000007" customHeight="1" x14ac:dyDescent="0.2">
      <c r="A270" s="98"/>
      <c r="B270" s="158"/>
      <c r="C270" s="158"/>
      <c r="D270" s="158"/>
      <c r="E270" s="158"/>
      <c r="F270" s="159"/>
      <c r="G270" s="190"/>
      <c r="H270" s="168"/>
      <c r="I270" s="161"/>
      <c r="J270" s="210"/>
      <c r="K270" s="233"/>
      <c r="L270" s="91"/>
      <c r="M270" s="92"/>
    </row>
    <row r="271" spans="1:13" s="45" customFormat="1" ht="8.5500000000000007" customHeight="1" x14ac:dyDescent="0.2">
      <c r="A271" s="98"/>
      <c r="B271" s="201" t="s">
        <v>70</v>
      </c>
      <c r="C271" s="201"/>
      <c r="D271" s="201"/>
      <c r="E271" s="201"/>
      <c r="F271" s="157"/>
      <c r="G271" s="189">
        <v>2008</v>
      </c>
      <c r="H271" s="167">
        <v>93</v>
      </c>
      <c r="I271" s="160"/>
      <c r="J271" s="209" t="s">
        <v>1144</v>
      </c>
      <c r="K271" s="232">
        <v>1</v>
      </c>
      <c r="L271" s="91"/>
      <c r="M271" s="92"/>
    </row>
    <row r="272" spans="1:13" s="45" customFormat="1" ht="8.5500000000000007" customHeight="1" x14ac:dyDescent="0.2">
      <c r="A272" s="98"/>
      <c r="B272" s="158"/>
      <c r="C272" s="158"/>
      <c r="D272" s="158"/>
      <c r="E272" s="158"/>
      <c r="F272" s="159"/>
      <c r="G272" s="190"/>
      <c r="H272" s="168"/>
      <c r="I272" s="161"/>
      <c r="J272" s="210"/>
      <c r="K272" s="233"/>
      <c r="L272" s="91"/>
      <c r="M272" s="92"/>
    </row>
    <row r="273" spans="1:13" s="45" customFormat="1" ht="8.5500000000000007" customHeight="1" x14ac:dyDescent="0.2">
      <c r="A273" s="98"/>
      <c r="B273" s="201" t="s">
        <v>1377</v>
      </c>
      <c r="C273" s="201"/>
      <c r="D273" s="201"/>
      <c r="E273" s="201"/>
      <c r="F273" s="157"/>
      <c r="G273" s="189">
        <v>1989</v>
      </c>
      <c r="H273" s="167">
        <v>99</v>
      </c>
      <c r="I273" s="160"/>
      <c r="J273" s="300" t="s">
        <v>998</v>
      </c>
      <c r="K273" s="232">
        <v>1</v>
      </c>
      <c r="L273" s="91"/>
      <c r="M273" s="92"/>
    </row>
    <row r="274" spans="1:13" s="45" customFormat="1" ht="8.5500000000000007" customHeight="1" x14ac:dyDescent="0.2">
      <c r="A274" s="98"/>
      <c r="B274" s="158"/>
      <c r="C274" s="158"/>
      <c r="D274" s="158"/>
      <c r="E274" s="158"/>
      <c r="F274" s="159"/>
      <c r="G274" s="190"/>
      <c r="H274" s="168"/>
      <c r="I274" s="161"/>
      <c r="J274" s="301"/>
      <c r="K274" s="233"/>
      <c r="L274" s="91"/>
      <c r="M274" s="92"/>
    </row>
    <row r="275" spans="1:13" s="45" customFormat="1" ht="8.5500000000000007" customHeight="1" x14ac:dyDescent="0.2">
      <c r="A275" s="98"/>
      <c r="B275" s="201" t="s">
        <v>1377</v>
      </c>
      <c r="C275" s="201"/>
      <c r="D275" s="201"/>
      <c r="E275" s="201"/>
      <c r="F275" s="157"/>
      <c r="G275" s="189">
        <v>1990</v>
      </c>
      <c r="H275" s="167">
        <v>100</v>
      </c>
      <c r="I275" s="160"/>
      <c r="J275" s="209" t="s">
        <v>125</v>
      </c>
      <c r="K275" s="232">
        <v>2</v>
      </c>
      <c r="L275" s="91"/>
      <c r="M275" s="92"/>
    </row>
    <row r="276" spans="1:13" s="45" customFormat="1" ht="8.5500000000000007" customHeight="1" x14ac:dyDescent="0.2">
      <c r="A276" s="98"/>
      <c r="B276" s="158"/>
      <c r="C276" s="158"/>
      <c r="D276" s="158"/>
      <c r="E276" s="158"/>
      <c r="F276" s="159"/>
      <c r="G276" s="190"/>
      <c r="H276" s="168"/>
      <c r="I276" s="161"/>
      <c r="J276" s="210"/>
      <c r="K276" s="233"/>
      <c r="L276" s="91"/>
      <c r="M276" s="92"/>
    </row>
    <row r="277" spans="1:13" s="45" customFormat="1" ht="8.5500000000000007" customHeight="1" x14ac:dyDescent="0.2">
      <c r="A277" s="98"/>
      <c r="B277" s="201" t="s">
        <v>1377</v>
      </c>
      <c r="C277" s="201"/>
      <c r="D277" s="201"/>
      <c r="E277" s="201"/>
      <c r="F277" s="157"/>
      <c r="G277" s="189">
        <v>1998</v>
      </c>
      <c r="H277" s="167" t="s">
        <v>394</v>
      </c>
      <c r="I277" s="160">
        <v>98</v>
      </c>
      <c r="J277" s="209" t="s">
        <v>329</v>
      </c>
      <c r="K277" s="232">
        <v>3</v>
      </c>
      <c r="L277" s="91"/>
      <c r="M277" s="92"/>
    </row>
    <row r="278" spans="1:13" s="45" customFormat="1" ht="8.5500000000000007" customHeight="1" x14ac:dyDescent="0.2">
      <c r="A278" s="98"/>
      <c r="B278" s="158"/>
      <c r="C278" s="158"/>
      <c r="D278" s="158"/>
      <c r="E278" s="158"/>
      <c r="F278" s="159"/>
      <c r="G278" s="190"/>
      <c r="H278" s="168"/>
      <c r="I278" s="161"/>
      <c r="J278" s="210"/>
      <c r="K278" s="233"/>
      <c r="L278" s="91"/>
      <c r="M278" s="92"/>
    </row>
    <row r="279" spans="1:13" s="45" customFormat="1" ht="8.5500000000000007" customHeight="1" x14ac:dyDescent="0.2">
      <c r="A279" s="98"/>
      <c r="B279" s="201" t="s">
        <v>1377</v>
      </c>
      <c r="C279" s="201"/>
      <c r="D279" s="201"/>
      <c r="E279" s="201"/>
      <c r="F279" s="157"/>
      <c r="G279" s="189">
        <v>2000</v>
      </c>
      <c r="H279" s="167">
        <v>94</v>
      </c>
      <c r="I279" s="160"/>
      <c r="J279" s="209" t="s">
        <v>356</v>
      </c>
      <c r="K279" s="232">
        <v>2</v>
      </c>
      <c r="L279" s="91"/>
      <c r="M279" s="92"/>
    </row>
    <row r="280" spans="1:13" s="45" customFormat="1" ht="8.5500000000000007" customHeight="1" x14ac:dyDescent="0.2">
      <c r="A280" s="98"/>
      <c r="B280" s="158"/>
      <c r="C280" s="158"/>
      <c r="D280" s="158"/>
      <c r="E280" s="158"/>
      <c r="F280" s="159"/>
      <c r="G280" s="190"/>
      <c r="H280" s="168"/>
      <c r="I280" s="161"/>
      <c r="J280" s="210"/>
      <c r="K280" s="233"/>
      <c r="L280" s="91"/>
      <c r="M280" s="92"/>
    </row>
    <row r="281" spans="1:13" s="45" customFormat="1" ht="8.5500000000000007" customHeight="1" x14ac:dyDescent="0.2">
      <c r="A281" s="98"/>
      <c r="B281" s="201" t="s">
        <v>1377</v>
      </c>
      <c r="C281" s="201"/>
      <c r="D281" s="201"/>
      <c r="E281" s="201"/>
      <c r="F281" s="157"/>
      <c r="G281" s="189">
        <v>2001</v>
      </c>
      <c r="H281" s="167">
        <v>98</v>
      </c>
      <c r="I281" s="160">
        <v>94</v>
      </c>
      <c r="J281" s="209" t="s">
        <v>408</v>
      </c>
      <c r="K281" s="232">
        <v>4</v>
      </c>
      <c r="L281" s="91"/>
      <c r="M281" s="92"/>
    </row>
    <row r="282" spans="1:13" s="45" customFormat="1" ht="8.5500000000000007" customHeight="1" x14ac:dyDescent="0.2">
      <c r="A282" s="98"/>
      <c r="B282" s="158"/>
      <c r="C282" s="158"/>
      <c r="D282" s="158"/>
      <c r="E282" s="158"/>
      <c r="F282" s="159"/>
      <c r="G282" s="190"/>
      <c r="H282" s="168"/>
      <c r="I282" s="161"/>
      <c r="J282" s="210"/>
      <c r="K282" s="233"/>
      <c r="L282" s="91"/>
      <c r="M282" s="92"/>
    </row>
    <row r="283" spans="1:13" s="45" customFormat="1" ht="8.5500000000000007" customHeight="1" x14ac:dyDescent="0.2">
      <c r="A283" s="98"/>
      <c r="B283" s="201" t="s">
        <v>1377</v>
      </c>
      <c r="C283" s="201"/>
      <c r="D283" s="201"/>
      <c r="E283" s="201"/>
      <c r="F283" s="157"/>
      <c r="G283" s="189">
        <v>2005</v>
      </c>
      <c r="H283" s="167">
        <v>98</v>
      </c>
      <c r="I283" s="160"/>
      <c r="J283" s="209" t="s">
        <v>441</v>
      </c>
      <c r="K283" s="232">
        <v>3</v>
      </c>
      <c r="L283" s="91"/>
      <c r="M283" s="92"/>
    </row>
    <row r="284" spans="1:13" s="45" customFormat="1" ht="8.5500000000000007" customHeight="1" x14ac:dyDescent="0.2">
      <c r="A284" s="98"/>
      <c r="B284" s="158"/>
      <c r="C284" s="158"/>
      <c r="D284" s="158"/>
      <c r="E284" s="158"/>
      <c r="F284" s="159"/>
      <c r="G284" s="190"/>
      <c r="H284" s="168"/>
      <c r="I284" s="161"/>
      <c r="J284" s="210"/>
      <c r="K284" s="233"/>
      <c r="L284" s="91"/>
      <c r="M284" s="92"/>
    </row>
    <row r="285" spans="1:13" s="45" customFormat="1" ht="8.5500000000000007" customHeight="1" x14ac:dyDescent="0.2">
      <c r="A285" s="98"/>
      <c r="B285" s="201" t="s">
        <v>229</v>
      </c>
      <c r="C285" s="201"/>
      <c r="D285" s="201"/>
      <c r="E285" s="201"/>
      <c r="F285" s="157"/>
      <c r="G285" s="189">
        <v>1989</v>
      </c>
      <c r="H285" s="167">
        <v>100</v>
      </c>
      <c r="I285" s="160"/>
      <c r="J285" s="209" t="s">
        <v>36</v>
      </c>
      <c r="K285" s="234">
        <v>5</v>
      </c>
      <c r="L285" s="91"/>
      <c r="M285" s="92"/>
    </row>
    <row r="286" spans="1:13" s="45" customFormat="1" ht="8.5500000000000007" customHeight="1" x14ac:dyDescent="0.2">
      <c r="A286" s="98"/>
      <c r="B286" s="158"/>
      <c r="C286" s="158"/>
      <c r="D286" s="158"/>
      <c r="E286" s="158"/>
      <c r="F286" s="159"/>
      <c r="G286" s="190"/>
      <c r="H286" s="168"/>
      <c r="I286" s="161"/>
      <c r="J286" s="210"/>
      <c r="K286" s="235"/>
      <c r="L286" s="91"/>
      <c r="M286" s="92"/>
    </row>
    <row r="287" spans="1:13" s="45" customFormat="1" ht="8.5500000000000007" customHeight="1" x14ac:dyDescent="0.2">
      <c r="A287" s="98"/>
      <c r="B287" s="201" t="s">
        <v>229</v>
      </c>
      <c r="C287" s="201"/>
      <c r="D287" s="201"/>
      <c r="E287" s="201"/>
      <c r="F287" s="157"/>
      <c r="G287" s="189">
        <v>1990</v>
      </c>
      <c r="H287" s="167">
        <v>100</v>
      </c>
      <c r="I287" s="160"/>
      <c r="J287" s="209" t="s">
        <v>1020</v>
      </c>
      <c r="K287" s="234">
        <v>6</v>
      </c>
      <c r="L287" s="91"/>
      <c r="M287" s="92"/>
    </row>
    <row r="288" spans="1:13" s="45" customFormat="1" ht="8.5500000000000007" customHeight="1" x14ac:dyDescent="0.2">
      <c r="A288" s="98"/>
      <c r="B288" s="158"/>
      <c r="C288" s="158"/>
      <c r="D288" s="158"/>
      <c r="E288" s="158"/>
      <c r="F288" s="159"/>
      <c r="G288" s="190"/>
      <c r="H288" s="168"/>
      <c r="I288" s="161"/>
      <c r="J288" s="210"/>
      <c r="K288" s="235"/>
      <c r="L288" s="91"/>
      <c r="M288" s="92"/>
    </row>
    <row r="289" spans="1:13" s="45" customFormat="1" ht="8.5500000000000007" customHeight="1" x14ac:dyDescent="0.2">
      <c r="A289" s="98"/>
      <c r="B289" s="201" t="s">
        <v>229</v>
      </c>
      <c r="C289" s="201"/>
      <c r="D289" s="201"/>
      <c r="E289" s="201"/>
      <c r="F289" s="157"/>
      <c r="G289" s="189">
        <v>1995</v>
      </c>
      <c r="H289" s="167">
        <v>96</v>
      </c>
      <c r="I289" s="160">
        <v>97</v>
      </c>
      <c r="J289" s="209" t="s">
        <v>225</v>
      </c>
      <c r="K289" s="234">
        <v>5</v>
      </c>
      <c r="L289" s="91"/>
      <c r="M289" s="92"/>
    </row>
    <row r="290" spans="1:13" s="45" customFormat="1" ht="8.5500000000000007" customHeight="1" x14ac:dyDescent="0.2">
      <c r="A290" s="98"/>
      <c r="B290" s="158"/>
      <c r="C290" s="158"/>
      <c r="D290" s="158"/>
      <c r="E290" s="158"/>
      <c r="F290" s="159"/>
      <c r="G290" s="190"/>
      <c r="H290" s="168"/>
      <c r="I290" s="161"/>
      <c r="J290" s="210"/>
      <c r="K290" s="235"/>
      <c r="L290" s="91"/>
      <c r="M290" s="92"/>
    </row>
    <row r="291" spans="1:13" s="45" customFormat="1" ht="8.5500000000000007" customHeight="1" x14ac:dyDescent="0.2">
      <c r="A291" s="98"/>
      <c r="B291" s="213" t="s">
        <v>286</v>
      </c>
      <c r="C291" s="213"/>
      <c r="D291" s="213"/>
      <c r="E291" s="213"/>
      <c r="F291" s="213"/>
      <c r="G291" s="71"/>
      <c r="H291" s="65"/>
      <c r="I291" s="65"/>
      <c r="J291" s="108"/>
      <c r="K291" s="164"/>
      <c r="L291" s="91"/>
      <c r="M291" s="92"/>
    </row>
    <row r="292" spans="1:13" s="45" customFormat="1" ht="8.5500000000000007" customHeight="1" x14ac:dyDescent="0.2">
      <c r="A292" s="98"/>
      <c r="B292" s="171"/>
      <c r="C292" s="171"/>
      <c r="D292" s="171"/>
      <c r="E292" s="171"/>
      <c r="F292" s="171"/>
      <c r="G292" s="72"/>
      <c r="H292" s="66"/>
      <c r="I292" s="66"/>
      <c r="J292" s="109"/>
      <c r="K292" s="165"/>
      <c r="L292" s="91"/>
      <c r="M292" s="92"/>
    </row>
    <row r="293" spans="1:13" s="45" customFormat="1" ht="8.5500000000000007" customHeight="1" x14ac:dyDescent="0.2">
      <c r="A293" s="98"/>
      <c r="B293" s="201" t="s">
        <v>229</v>
      </c>
      <c r="C293" s="201"/>
      <c r="D293" s="201"/>
      <c r="E293" s="201"/>
      <c r="F293" s="157"/>
      <c r="G293" s="189">
        <v>1998</v>
      </c>
      <c r="H293" s="167">
        <v>100</v>
      </c>
      <c r="I293" s="160">
        <v>97</v>
      </c>
      <c r="J293" s="209" t="s">
        <v>226</v>
      </c>
      <c r="K293" s="234">
        <v>6</v>
      </c>
      <c r="L293" s="91"/>
      <c r="M293" s="92"/>
    </row>
    <row r="294" spans="1:13" s="45" customFormat="1" ht="8.5500000000000007" customHeight="1" x14ac:dyDescent="0.2">
      <c r="A294" s="98"/>
      <c r="B294" s="158"/>
      <c r="C294" s="158"/>
      <c r="D294" s="158"/>
      <c r="E294" s="158"/>
      <c r="F294" s="159"/>
      <c r="G294" s="190"/>
      <c r="H294" s="168"/>
      <c r="I294" s="161"/>
      <c r="J294" s="210"/>
      <c r="K294" s="235"/>
      <c r="L294" s="91"/>
      <c r="M294" s="92"/>
    </row>
    <row r="295" spans="1:13" s="45" customFormat="1" ht="8.5500000000000007" customHeight="1" x14ac:dyDescent="0.2">
      <c r="A295" s="98"/>
      <c r="B295" s="201" t="s">
        <v>229</v>
      </c>
      <c r="C295" s="201"/>
      <c r="D295" s="201"/>
      <c r="E295" s="201"/>
      <c r="F295" s="157"/>
      <c r="G295" s="189">
        <v>2000</v>
      </c>
      <c r="H295" s="167">
        <v>97</v>
      </c>
      <c r="I295" s="160">
        <v>95</v>
      </c>
      <c r="J295" s="209" t="s">
        <v>226</v>
      </c>
      <c r="K295" s="234">
        <v>5</v>
      </c>
      <c r="L295" s="91"/>
      <c r="M295" s="92"/>
    </row>
    <row r="296" spans="1:13" s="45" customFormat="1" ht="8.5500000000000007" customHeight="1" x14ac:dyDescent="0.2">
      <c r="A296" s="98"/>
      <c r="B296" s="158"/>
      <c r="C296" s="158"/>
      <c r="D296" s="158"/>
      <c r="E296" s="158"/>
      <c r="F296" s="159"/>
      <c r="G296" s="190"/>
      <c r="H296" s="168"/>
      <c r="I296" s="161"/>
      <c r="J296" s="210"/>
      <c r="K296" s="235"/>
      <c r="L296" s="91"/>
      <c r="M296" s="92"/>
    </row>
    <row r="297" spans="1:13" s="45" customFormat="1" ht="8.5500000000000007" customHeight="1" x14ac:dyDescent="0.2">
      <c r="A297" s="98"/>
      <c r="B297" s="201" t="s">
        <v>229</v>
      </c>
      <c r="C297" s="201"/>
      <c r="D297" s="201"/>
      <c r="E297" s="201"/>
      <c r="F297" s="157"/>
      <c r="G297" s="189">
        <v>2001</v>
      </c>
      <c r="H297" s="167" t="s">
        <v>630</v>
      </c>
      <c r="I297" s="160">
        <v>93</v>
      </c>
      <c r="J297" s="209" t="s">
        <v>282</v>
      </c>
      <c r="K297" s="234">
        <v>5</v>
      </c>
      <c r="L297" s="91"/>
      <c r="M297" s="92"/>
    </row>
    <row r="298" spans="1:13" s="45" customFormat="1" ht="8.5500000000000007" customHeight="1" x14ac:dyDescent="0.2">
      <c r="A298" s="98"/>
      <c r="B298" s="158"/>
      <c r="C298" s="158"/>
      <c r="D298" s="158"/>
      <c r="E298" s="158"/>
      <c r="F298" s="159"/>
      <c r="G298" s="190"/>
      <c r="H298" s="168"/>
      <c r="I298" s="161"/>
      <c r="J298" s="210"/>
      <c r="K298" s="235"/>
      <c r="L298" s="91"/>
      <c r="M298" s="92"/>
    </row>
    <row r="299" spans="1:13" s="45" customFormat="1" ht="8.5500000000000007" customHeight="1" x14ac:dyDescent="0.2">
      <c r="A299" s="98"/>
      <c r="B299" s="201" t="s">
        <v>229</v>
      </c>
      <c r="C299" s="201"/>
      <c r="D299" s="201"/>
      <c r="E299" s="201"/>
      <c r="F299" s="157"/>
      <c r="G299" s="189">
        <v>2004</v>
      </c>
      <c r="H299" s="167" t="s">
        <v>10</v>
      </c>
      <c r="I299" s="160">
        <v>96</v>
      </c>
      <c r="J299" s="209" t="s">
        <v>345</v>
      </c>
      <c r="K299" s="234">
        <v>4</v>
      </c>
      <c r="L299" s="91"/>
      <c r="M299" s="92"/>
    </row>
    <row r="300" spans="1:13" s="45" customFormat="1" ht="8.5500000000000007" customHeight="1" x14ac:dyDescent="0.2">
      <c r="A300" s="98"/>
      <c r="B300" s="158"/>
      <c r="C300" s="158"/>
      <c r="D300" s="158"/>
      <c r="E300" s="158"/>
      <c r="F300" s="159"/>
      <c r="G300" s="190"/>
      <c r="H300" s="168"/>
      <c r="I300" s="161"/>
      <c r="J300" s="210"/>
      <c r="K300" s="235"/>
      <c r="L300" s="91"/>
      <c r="M300" s="92"/>
    </row>
    <row r="301" spans="1:13" s="45" customFormat="1" ht="8.5500000000000007" customHeight="1" x14ac:dyDescent="0.2">
      <c r="A301" s="98"/>
      <c r="B301" s="201" t="s">
        <v>229</v>
      </c>
      <c r="C301" s="201"/>
      <c r="D301" s="201"/>
      <c r="E301" s="201"/>
      <c r="F301" s="157"/>
      <c r="G301" s="189">
        <v>2005</v>
      </c>
      <c r="H301" s="167" t="s">
        <v>629</v>
      </c>
      <c r="I301" s="160">
        <v>97</v>
      </c>
      <c r="J301" s="209" t="s">
        <v>123</v>
      </c>
      <c r="K301" s="234">
        <v>4</v>
      </c>
      <c r="L301" s="91"/>
      <c r="M301" s="92"/>
    </row>
    <row r="302" spans="1:13" s="45" customFormat="1" ht="8.5500000000000007" customHeight="1" x14ac:dyDescent="0.2">
      <c r="A302" s="98"/>
      <c r="B302" s="158"/>
      <c r="C302" s="158"/>
      <c r="D302" s="158"/>
      <c r="E302" s="158"/>
      <c r="F302" s="159"/>
      <c r="G302" s="190"/>
      <c r="H302" s="168"/>
      <c r="I302" s="161"/>
      <c r="J302" s="210"/>
      <c r="K302" s="235"/>
      <c r="L302" s="91"/>
      <c r="M302" s="92"/>
    </row>
    <row r="303" spans="1:13" s="45" customFormat="1" ht="8.5500000000000007" customHeight="1" x14ac:dyDescent="0.2">
      <c r="A303" s="98"/>
      <c r="B303" s="201" t="s">
        <v>81</v>
      </c>
      <c r="C303" s="201"/>
      <c r="D303" s="201"/>
      <c r="E303" s="201"/>
      <c r="F303" s="157"/>
      <c r="G303" s="189">
        <v>2001</v>
      </c>
      <c r="H303" s="167">
        <v>96</v>
      </c>
      <c r="I303" s="160">
        <v>93</v>
      </c>
      <c r="J303" s="209" t="s">
        <v>1021</v>
      </c>
      <c r="K303" s="232">
        <v>1</v>
      </c>
      <c r="L303" s="91"/>
      <c r="M303" s="92"/>
    </row>
    <row r="304" spans="1:13" s="45" customFormat="1" ht="8.5500000000000007" customHeight="1" x14ac:dyDescent="0.2">
      <c r="A304" s="98"/>
      <c r="B304" s="158"/>
      <c r="C304" s="158"/>
      <c r="D304" s="158"/>
      <c r="E304" s="158"/>
      <c r="F304" s="159"/>
      <c r="G304" s="190"/>
      <c r="H304" s="168"/>
      <c r="I304" s="161"/>
      <c r="J304" s="210"/>
      <c r="K304" s="233"/>
      <c r="L304" s="91"/>
      <c r="M304" s="92"/>
    </row>
    <row r="305" spans="1:13" s="45" customFormat="1" ht="8.5500000000000007" customHeight="1" x14ac:dyDescent="0.2">
      <c r="A305" s="98"/>
      <c r="B305" s="201" t="s">
        <v>81</v>
      </c>
      <c r="C305" s="201"/>
      <c r="D305" s="201"/>
      <c r="E305" s="201"/>
      <c r="F305" s="157"/>
      <c r="G305" s="189">
        <v>2004</v>
      </c>
      <c r="H305" s="167" t="s">
        <v>638</v>
      </c>
      <c r="I305" s="160">
        <v>96</v>
      </c>
      <c r="J305" s="209" t="s">
        <v>1022</v>
      </c>
      <c r="K305" s="234">
        <v>1</v>
      </c>
      <c r="L305" s="91"/>
      <c r="M305" s="92"/>
    </row>
    <row r="306" spans="1:13" s="45" customFormat="1" ht="8.5500000000000007" customHeight="1" x14ac:dyDescent="0.2">
      <c r="A306" s="98"/>
      <c r="B306" s="158"/>
      <c r="C306" s="158"/>
      <c r="D306" s="158"/>
      <c r="E306" s="158"/>
      <c r="F306" s="159"/>
      <c r="G306" s="190"/>
      <c r="H306" s="168"/>
      <c r="I306" s="161"/>
      <c r="J306" s="210"/>
      <c r="K306" s="235"/>
      <c r="L306" s="91"/>
      <c r="M306" s="92"/>
    </row>
    <row r="307" spans="1:13" s="45" customFormat="1" ht="8.5500000000000007" customHeight="1" x14ac:dyDescent="0.2">
      <c r="A307" s="98"/>
      <c r="B307" s="201" t="s">
        <v>81</v>
      </c>
      <c r="C307" s="201"/>
      <c r="D307" s="201"/>
      <c r="E307" s="201"/>
      <c r="F307" s="157"/>
      <c r="G307" s="189">
        <v>2005</v>
      </c>
      <c r="H307" s="167" t="s">
        <v>633</v>
      </c>
      <c r="I307" s="160">
        <v>96</v>
      </c>
      <c r="J307" s="209" t="s">
        <v>1023</v>
      </c>
      <c r="K307" s="232">
        <v>1</v>
      </c>
      <c r="L307" s="91"/>
      <c r="M307" s="92"/>
    </row>
    <row r="308" spans="1:13" s="45" customFormat="1" ht="8.5500000000000007" customHeight="1" x14ac:dyDescent="0.2">
      <c r="A308" s="98"/>
      <c r="B308" s="158"/>
      <c r="C308" s="158"/>
      <c r="D308" s="158"/>
      <c r="E308" s="158"/>
      <c r="F308" s="159"/>
      <c r="G308" s="190"/>
      <c r="H308" s="168"/>
      <c r="I308" s="161"/>
      <c r="J308" s="210"/>
      <c r="K308" s="233"/>
      <c r="L308" s="91"/>
      <c r="M308" s="92"/>
    </row>
    <row r="309" spans="1:13" s="45" customFormat="1" ht="8.5500000000000007" customHeight="1" x14ac:dyDescent="0.2">
      <c r="A309" s="98"/>
      <c r="B309" s="201" t="s">
        <v>81</v>
      </c>
      <c r="C309" s="201"/>
      <c r="D309" s="201"/>
      <c r="E309" s="201"/>
      <c r="F309" s="157"/>
      <c r="G309" s="189">
        <v>2007</v>
      </c>
      <c r="H309" s="167">
        <v>96</v>
      </c>
      <c r="I309" s="160">
        <v>96</v>
      </c>
      <c r="J309" s="209" t="s">
        <v>23</v>
      </c>
      <c r="K309" s="232">
        <v>1</v>
      </c>
      <c r="L309" s="91"/>
      <c r="M309" s="92"/>
    </row>
    <row r="310" spans="1:13" s="45" customFormat="1" ht="8.5500000000000007" customHeight="1" x14ac:dyDescent="0.2">
      <c r="A310" s="98"/>
      <c r="B310" s="158"/>
      <c r="C310" s="158"/>
      <c r="D310" s="158"/>
      <c r="E310" s="158"/>
      <c r="F310" s="159"/>
      <c r="G310" s="190"/>
      <c r="H310" s="168"/>
      <c r="I310" s="161"/>
      <c r="J310" s="210"/>
      <c r="K310" s="233"/>
      <c r="L310" s="91"/>
      <c r="M310" s="92"/>
    </row>
    <row r="311" spans="1:13" s="45" customFormat="1" ht="8.5500000000000007" customHeight="1" x14ac:dyDescent="0.2">
      <c r="A311" s="98"/>
      <c r="B311" s="201" t="s">
        <v>81</v>
      </c>
      <c r="C311" s="201"/>
      <c r="D311" s="201"/>
      <c r="E311" s="201"/>
      <c r="F311" s="157"/>
      <c r="G311" s="189">
        <v>2019</v>
      </c>
      <c r="H311" s="167">
        <v>95</v>
      </c>
      <c r="I311" s="160"/>
      <c r="J311" s="209" t="s">
        <v>1727</v>
      </c>
      <c r="K311" s="232">
        <v>1</v>
      </c>
      <c r="L311" s="91"/>
      <c r="M311" s="92"/>
    </row>
    <row r="312" spans="1:13" s="45" customFormat="1" ht="8.5500000000000007" customHeight="1" x14ac:dyDescent="0.2">
      <c r="A312" s="98"/>
      <c r="B312" s="158"/>
      <c r="C312" s="158"/>
      <c r="D312" s="158"/>
      <c r="E312" s="158"/>
      <c r="F312" s="159"/>
      <c r="G312" s="190"/>
      <c r="H312" s="168"/>
      <c r="I312" s="161"/>
      <c r="J312" s="210"/>
      <c r="K312" s="233"/>
      <c r="L312" s="91"/>
      <c r="M312" s="92"/>
    </row>
    <row r="313" spans="1:13" s="45" customFormat="1" ht="8.5500000000000007" customHeight="1" x14ac:dyDescent="0.2">
      <c r="A313" s="98"/>
      <c r="B313" s="201" t="s">
        <v>374</v>
      </c>
      <c r="C313" s="201"/>
      <c r="D313" s="201"/>
      <c r="E313" s="201"/>
      <c r="F313" s="157"/>
      <c r="G313" s="189">
        <v>1990</v>
      </c>
      <c r="H313" s="167">
        <v>100</v>
      </c>
      <c r="I313" s="160"/>
      <c r="J313" s="209" t="s">
        <v>36</v>
      </c>
      <c r="K313" s="232">
        <v>3</v>
      </c>
      <c r="L313" s="91"/>
      <c r="M313" s="92"/>
    </row>
    <row r="314" spans="1:13" s="45" customFormat="1" ht="8.5500000000000007" customHeight="1" x14ac:dyDescent="0.2">
      <c r="A314" s="98"/>
      <c r="B314" s="158"/>
      <c r="C314" s="158"/>
      <c r="D314" s="158"/>
      <c r="E314" s="158"/>
      <c r="F314" s="159"/>
      <c r="G314" s="190"/>
      <c r="H314" s="168"/>
      <c r="I314" s="161"/>
      <c r="J314" s="210"/>
      <c r="K314" s="233"/>
      <c r="L314" s="91"/>
      <c r="M314" s="92"/>
    </row>
    <row r="315" spans="1:13" s="45" customFormat="1" ht="8.5500000000000007" customHeight="1" x14ac:dyDescent="0.2">
      <c r="A315" s="98"/>
      <c r="B315" s="201" t="s">
        <v>374</v>
      </c>
      <c r="C315" s="201"/>
      <c r="D315" s="201"/>
      <c r="E315" s="201"/>
      <c r="F315" s="157"/>
      <c r="G315" s="189">
        <v>1998</v>
      </c>
      <c r="H315" s="167">
        <v>97</v>
      </c>
      <c r="I315" s="160">
        <v>96</v>
      </c>
      <c r="J315" s="209" t="s">
        <v>222</v>
      </c>
      <c r="K315" s="232">
        <v>3</v>
      </c>
      <c r="L315" s="91"/>
      <c r="M315" s="92"/>
    </row>
    <row r="316" spans="1:13" s="45" customFormat="1" ht="8.5500000000000007" customHeight="1" x14ac:dyDescent="0.2">
      <c r="A316" s="98"/>
      <c r="B316" s="158"/>
      <c r="C316" s="158"/>
      <c r="D316" s="158"/>
      <c r="E316" s="158"/>
      <c r="F316" s="159"/>
      <c r="G316" s="190"/>
      <c r="H316" s="168"/>
      <c r="I316" s="161"/>
      <c r="J316" s="210"/>
      <c r="K316" s="233"/>
      <c r="L316" s="91"/>
      <c r="M316" s="92"/>
    </row>
    <row r="317" spans="1:13" s="45" customFormat="1" ht="8.5500000000000007" customHeight="1" x14ac:dyDescent="0.2">
      <c r="A317" s="98"/>
      <c r="B317" s="201" t="s">
        <v>374</v>
      </c>
      <c r="C317" s="201"/>
      <c r="D317" s="201"/>
      <c r="E317" s="201"/>
      <c r="F317" s="157"/>
      <c r="G317" s="189">
        <v>2000</v>
      </c>
      <c r="H317" s="167">
        <v>91</v>
      </c>
      <c r="I317" s="160"/>
      <c r="J317" s="209" t="s">
        <v>113</v>
      </c>
      <c r="K317" s="232">
        <v>2</v>
      </c>
      <c r="L317" s="91"/>
      <c r="M317" s="92"/>
    </row>
    <row r="318" spans="1:13" s="45" customFormat="1" ht="8.5500000000000007" customHeight="1" x14ac:dyDescent="0.2">
      <c r="A318" s="98"/>
      <c r="B318" s="158"/>
      <c r="C318" s="158"/>
      <c r="D318" s="158"/>
      <c r="E318" s="158"/>
      <c r="F318" s="159"/>
      <c r="G318" s="190"/>
      <c r="H318" s="168"/>
      <c r="I318" s="161"/>
      <c r="J318" s="210"/>
      <c r="K318" s="233"/>
      <c r="L318" s="91"/>
      <c r="M318" s="92"/>
    </row>
    <row r="319" spans="1:13" s="45" customFormat="1" ht="8.5500000000000007" customHeight="1" x14ac:dyDescent="0.2">
      <c r="A319" s="98"/>
      <c r="B319" s="201" t="s">
        <v>374</v>
      </c>
      <c r="C319" s="201"/>
      <c r="D319" s="201"/>
      <c r="E319" s="201"/>
      <c r="F319" s="157"/>
      <c r="G319" s="189">
        <v>2001</v>
      </c>
      <c r="H319" s="167">
        <v>91</v>
      </c>
      <c r="I319" s="160"/>
      <c r="J319" s="209" t="s">
        <v>468</v>
      </c>
      <c r="K319" s="232">
        <v>2</v>
      </c>
      <c r="L319" s="91"/>
      <c r="M319" s="92"/>
    </row>
    <row r="320" spans="1:13" s="45" customFormat="1" ht="8.5500000000000007" customHeight="1" x14ac:dyDescent="0.2">
      <c r="A320" s="98"/>
      <c r="B320" s="158"/>
      <c r="C320" s="158"/>
      <c r="D320" s="158"/>
      <c r="E320" s="158"/>
      <c r="F320" s="159"/>
      <c r="G320" s="190"/>
      <c r="H320" s="168"/>
      <c r="I320" s="161"/>
      <c r="J320" s="210"/>
      <c r="K320" s="233"/>
      <c r="L320" s="91"/>
      <c r="M320" s="92"/>
    </row>
    <row r="321" spans="1:13" s="45" customFormat="1" ht="8.5500000000000007" customHeight="1" x14ac:dyDescent="0.2">
      <c r="A321" s="98"/>
      <c r="B321" s="201" t="s">
        <v>374</v>
      </c>
      <c r="C321" s="201"/>
      <c r="D321" s="201"/>
      <c r="E321" s="201"/>
      <c r="F321" s="157"/>
      <c r="G321" s="189">
        <v>2005</v>
      </c>
      <c r="H321" s="167">
        <v>95</v>
      </c>
      <c r="I321" s="160">
        <v>93</v>
      </c>
      <c r="J321" s="209" t="s">
        <v>53</v>
      </c>
      <c r="K321" s="232">
        <v>2</v>
      </c>
      <c r="L321" s="91"/>
      <c r="M321" s="92"/>
    </row>
    <row r="322" spans="1:13" s="45" customFormat="1" ht="8.5500000000000007" customHeight="1" x14ac:dyDescent="0.2">
      <c r="A322" s="98"/>
      <c r="B322" s="158"/>
      <c r="C322" s="158"/>
      <c r="D322" s="158"/>
      <c r="E322" s="158"/>
      <c r="F322" s="159"/>
      <c r="G322" s="190"/>
      <c r="H322" s="168"/>
      <c r="I322" s="161"/>
      <c r="J322" s="210"/>
      <c r="K322" s="233"/>
      <c r="L322" s="91"/>
      <c r="M322" s="92"/>
    </row>
    <row r="323" spans="1:13" s="45" customFormat="1" ht="8.5500000000000007" customHeight="1" x14ac:dyDescent="0.2">
      <c r="A323" s="98"/>
      <c r="B323" s="201" t="s">
        <v>888</v>
      </c>
      <c r="C323" s="201"/>
      <c r="D323" s="201"/>
      <c r="E323" s="201"/>
      <c r="F323" s="157"/>
      <c r="G323" s="189">
        <v>1990</v>
      </c>
      <c r="H323" s="167">
        <v>96</v>
      </c>
      <c r="I323" s="160"/>
      <c r="J323" s="209" t="s">
        <v>33</v>
      </c>
      <c r="K323" s="232">
        <v>1</v>
      </c>
      <c r="L323" s="91"/>
      <c r="M323" s="92"/>
    </row>
    <row r="324" spans="1:13" s="45" customFormat="1" ht="8.5500000000000007" customHeight="1" x14ac:dyDescent="0.2">
      <c r="A324" s="98"/>
      <c r="B324" s="158"/>
      <c r="C324" s="158"/>
      <c r="D324" s="158"/>
      <c r="E324" s="158"/>
      <c r="F324" s="159"/>
      <c r="G324" s="190"/>
      <c r="H324" s="168"/>
      <c r="I324" s="161"/>
      <c r="J324" s="210"/>
      <c r="K324" s="233"/>
      <c r="L324" s="91"/>
      <c r="M324" s="92"/>
    </row>
    <row r="325" spans="1:13" s="45" customFormat="1" ht="8.5500000000000007" customHeight="1" x14ac:dyDescent="0.2">
      <c r="A325" s="98"/>
      <c r="B325" s="201" t="s">
        <v>888</v>
      </c>
      <c r="C325" s="201"/>
      <c r="D325" s="201"/>
      <c r="E325" s="201"/>
      <c r="F325" s="157"/>
      <c r="G325" s="189">
        <v>1998</v>
      </c>
      <c r="H325" s="167">
        <v>98</v>
      </c>
      <c r="I325" s="160"/>
      <c r="J325" s="209" t="s">
        <v>36</v>
      </c>
      <c r="K325" s="232">
        <v>3</v>
      </c>
      <c r="L325" s="91"/>
      <c r="M325" s="92"/>
    </row>
    <row r="326" spans="1:13" s="45" customFormat="1" ht="8.5500000000000007" customHeight="1" x14ac:dyDescent="0.2">
      <c r="A326" s="98"/>
      <c r="B326" s="158"/>
      <c r="C326" s="158"/>
      <c r="D326" s="158"/>
      <c r="E326" s="158"/>
      <c r="F326" s="159"/>
      <c r="G326" s="190"/>
      <c r="H326" s="168"/>
      <c r="I326" s="161"/>
      <c r="J326" s="210"/>
      <c r="K326" s="233"/>
      <c r="L326" s="91"/>
      <c r="M326" s="92"/>
    </row>
    <row r="327" spans="1:13" s="45" customFormat="1" ht="8.5500000000000007" customHeight="1" x14ac:dyDescent="0.2">
      <c r="A327" s="98"/>
      <c r="B327" s="201" t="s">
        <v>888</v>
      </c>
      <c r="C327" s="201"/>
      <c r="D327" s="201"/>
      <c r="E327" s="201"/>
      <c r="F327" s="157"/>
      <c r="G327" s="189">
        <v>2000</v>
      </c>
      <c r="H327" s="167">
        <v>96</v>
      </c>
      <c r="I327" s="160">
        <v>93</v>
      </c>
      <c r="J327" s="209" t="s">
        <v>1024</v>
      </c>
      <c r="K327" s="232">
        <v>1</v>
      </c>
      <c r="L327" s="91"/>
      <c r="M327" s="92"/>
    </row>
    <row r="328" spans="1:13" s="45" customFormat="1" ht="8.5500000000000007" customHeight="1" x14ac:dyDescent="0.2">
      <c r="A328" s="98"/>
      <c r="B328" s="158"/>
      <c r="C328" s="158"/>
      <c r="D328" s="158"/>
      <c r="E328" s="158"/>
      <c r="F328" s="159"/>
      <c r="G328" s="190"/>
      <c r="H328" s="168"/>
      <c r="I328" s="161"/>
      <c r="J328" s="210"/>
      <c r="K328" s="233"/>
      <c r="L328" s="91"/>
      <c r="M328" s="92"/>
    </row>
    <row r="329" spans="1:13" s="45" customFormat="1" ht="8.5500000000000007" customHeight="1" x14ac:dyDescent="0.2">
      <c r="A329" s="98"/>
      <c r="B329" s="201" t="s">
        <v>889</v>
      </c>
      <c r="C329" s="201"/>
      <c r="D329" s="201"/>
      <c r="E329" s="201"/>
      <c r="F329" s="157"/>
      <c r="G329" s="189">
        <v>1999</v>
      </c>
      <c r="H329" s="167">
        <v>92</v>
      </c>
      <c r="I329" s="160">
        <v>93</v>
      </c>
      <c r="J329" s="209" t="s">
        <v>717</v>
      </c>
      <c r="K329" s="232">
        <v>2</v>
      </c>
      <c r="L329" s="91"/>
      <c r="M329" s="92"/>
    </row>
    <row r="330" spans="1:13" s="45" customFormat="1" ht="8.5500000000000007" customHeight="1" x14ac:dyDescent="0.2">
      <c r="A330" s="98"/>
      <c r="B330" s="158"/>
      <c r="C330" s="158"/>
      <c r="D330" s="158"/>
      <c r="E330" s="158"/>
      <c r="F330" s="159"/>
      <c r="G330" s="190"/>
      <c r="H330" s="168"/>
      <c r="I330" s="161"/>
      <c r="J330" s="210"/>
      <c r="K330" s="233"/>
      <c r="L330" s="91"/>
      <c r="M330" s="92"/>
    </row>
    <row r="331" spans="1:13" s="45" customFormat="1" ht="8.5500000000000007" customHeight="1" x14ac:dyDescent="0.2">
      <c r="A331" s="98"/>
      <c r="B331" s="201" t="s">
        <v>889</v>
      </c>
      <c r="C331" s="201"/>
      <c r="D331" s="201"/>
      <c r="E331" s="201"/>
      <c r="F331" s="157"/>
      <c r="G331" s="189">
        <v>2000</v>
      </c>
      <c r="H331" s="167">
        <v>96</v>
      </c>
      <c r="I331" s="160">
        <v>90</v>
      </c>
      <c r="J331" s="209" t="s">
        <v>440</v>
      </c>
      <c r="K331" s="232">
        <v>3</v>
      </c>
      <c r="L331" s="91"/>
      <c r="M331" s="92"/>
    </row>
    <row r="332" spans="1:13" s="45" customFormat="1" ht="8.5500000000000007" customHeight="1" x14ac:dyDescent="0.2">
      <c r="A332" s="98"/>
      <c r="B332" s="158"/>
      <c r="C332" s="158"/>
      <c r="D332" s="158"/>
      <c r="E332" s="158"/>
      <c r="F332" s="159"/>
      <c r="G332" s="190"/>
      <c r="H332" s="168"/>
      <c r="I332" s="161"/>
      <c r="J332" s="210"/>
      <c r="K332" s="233"/>
      <c r="L332" s="91"/>
      <c r="M332" s="92"/>
    </row>
    <row r="333" spans="1:13" s="45" customFormat="1" ht="8.5500000000000007" customHeight="1" x14ac:dyDescent="0.2">
      <c r="A333" s="98"/>
      <c r="B333" s="201" t="s">
        <v>889</v>
      </c>
      <c r="C333" s="201"/>
      <c r="D333" s="201"/>
      <c r="E333" s="201"/>
      <c r="F333" s="157"/>
      <c r="G333" s="189">
        <v>2001</v>
      </c>
      <c r="H333" s="167">
        <v>98</v>
      </c>
      <c r="I333" s="160">
        <v>94</v>
      </c>
      <c r="J333" s="209" t="s">
        <v>34</v>
      </c>
      <c r="K333" s="232">
        <v>3</v>
      </c>
      <c r="L333" s="91"/>
      <c r="M333" s="92"/>
    </row>
    <row r="334" spans="1:13" s="45" customFormat="1" ht="8.5500000000000007" customHeight="1" x14ac:dyDescent="0.2">
      <c r="A334" s="98"/>
      <c r="B334" s="158"/>
      <c r="C334" s="158"/>
      <c r="D334" s="158"/>
      <c r="E334" s="158"/>
      <c r="F334" s="159"/>
      <c r="G334" s="190"/>
      <c r="H334" s="168"/>
      <c r="I334" s="161"/>
      <c r="J334" s="210"/>
      <c r="K334" s="233"/>
      <c r="L334" s="91"/>
      <c r="M334" s="92"/>
    </row>
    <row r="335" spans="1:13" s="45" customFormat="1" ht="8.5500000000000007" customHeight="1" x14ac:dyDescent="0.2">
      <c r="A335" s="98"/>
      <c r="B335" s="201" t="s">
        <v>755</v>
      </c>
      <c r="C335" s="201"/>
      <c r="D335" s="201"/>
      <c r="E335" s="201"/>
      <c r="F335" s="157"/>
      <c r="G335" s="189">
        <v>2003</v>
      </c>
      <c r="H335" s="167">
        <v>97</v>
      </c>
      <c r="I335" s="160"/>
      <c r="J335" s="209" t="s">
        <v>1025</v>
      </c>
      <c r="K335" s="232">
        <v>2</v>
      </c>
      <c r="L335" s="91"/>
      <c r="M335" s="92"/>
    </row>
    <row r="336" spans="1:13" s="45" customFormat="1" ht="8.5500000000000007" customHeight="1" x14ac:dyDescent="0.2">
      <c r="A336" s="98"/>
      <c r="B336" s="158"/>
      <c r="C336" s="158"/>
      <c r="D336" s="158"/>
      <c r="E336" s="158"/>
      <c r="F336" s="159"/>
      <c r="G336" s="190"/>
      <c r="H336" s="168"/>
      <c r="I336" s="161"/>
      <c r="J336" s="210"/>
      <c r="K336" s="233"/>
      <c r="L336" s="91"/>
      <c r="M336" s="92"/>
    </row>
    <row r="337" spans="1:13" s="45" customFormat="1" ht="8.5500000000000007" customHeight="1" x14ac:dyDescent="0.2">
      <c r="A337" s="98"/>
      <c r="B337" s="201" t="s">
        <v>869</v>
      </c>
      <c r="C337" s="201"/>
      <c r="D337" s="201"/>
      <c r="E337" s="201"/>
      <c r="F337" s="157"/>
      <c r="G337" s="189">
        <v>2001</v>
      </c>
      <c r="H337" s="167">
        <v>97</v>
      </c>
      <c r="I337" s="160">
        <v>93</v>
      </c>
      <c r="J337" s="209" t="s">
        <v>224</v>
      </c>
      <c r="K337" s="232">
        <v>2</v>
      </c>
      <c r="L337" s="91"/>
      <c r="M337" s="92"/>
    </row>
    <row r="338" spans="1:13" s="45" customFormat="1" ht="8.5500000000000007" customHeight="1" x14ac:dyDescent="0.2">
      <c r="A338" s="98"/>
      <c r="B338" s="158"/>
      <c r="C338" s="158"/>
      <c r="D338" s="158"/>
      <c r="E338" s="158"/>
      <c r="F338" s="159"/>
      <c r="G338" s="190"/>
      <c r="H338" s="168"/>
      <c r="I338" s="161"/>
      <c r="J338" s="210"/>
      <c r="K338" s="233"/>
      <c r="L338" s="91"/>
      <c r="M338" s="92"/>
    </row>
    <row r="339" spans="1:13" s="45" customFormat="1" ht="8.5500000000000007" customHeight="1" x14ac:dyDescent="0.2">
      <c r="A339" s="98"/>
      <c r="B339" s="201" t="s">
        <v>869</v>
      </c>
      <c r="C339" s="201"/>
      <c r="D339" s="201"/>
      <c r="E339" s="201"/>
      <c r="F339" s="157"/>
      <c r="G339" s="189">
        <v>2003</v>
      </c>
      <c r="H339" s="167">
        <v>97</v>
      </c>
      <c r="I339" s="160">
        <v>95</v>
      </c>
      <c r="J339" s="209" t="s">
        <v>137</v>
      </c>
      <c r="K339" s="232">
        <v>3</v>
      </c>
      <c r="L339" s="91"/>
      <c r="M339" s="92"/>
    </row>
    <row r="340" spans="1:13" s="45" customFormat="1" ht="8.5500000000000007" customHeight="1" x14ac:dyDescent="0.2">
      <c r="A340" s="98"/>
      <c r="B340" s="158"/>
      <c r="C340" s="158"/>
      <c r="D340" s="158"/>
      <c r="E340" s="158"/>
      <c r="F340" s="159"/>
      <c r="G340" s="190"/>
      <c r="H340" s="168"/>
      <c r="I340" s="161"/>
      <c r="J340" s="210"/>
      <c r="K340" s="233"/>
      <c r="L340" s="91"/>
      <c r="M340" s="92"/>
    </row>
    <row r="341" spans="1:13" s="45" customFormat="1" ht="8.5500000000000007" customHeight="1" x14ac:dyDescent="0.2">
      <c r="A341" s="98"/>
      <c r="B341" s="201" t="s">
        <v>869</v>
      </c>
      <c r="C341" s="201"/>
      <c r="D341" s="201"/>
      <c r="E341" s="201"/>
      <c r="F341" s="157"/>
      <c r="G341" s="189">
        <v>2007</v>
      </c>
      <c r="H341" s="167">
        <v>100</v>
      </c>
      <c r="I341" s="160">
        <v>94</v>
      </c>
      <c r="J341" s="209" t="s">
        <v>249</v>
      </c>
      <c r="K341" s="232">
        <v>3</v>
      </c>
      <c r="L341" s="91"/>
      <c r="M341" s="92"/>
    </row>
    <row r="342" spans="1:13" s="45" customFormat="1" ht="8.5500000000000007" customHeight="1" x14ac:dyDescent="0.2">
      <c r="A342" s="98"/>
      <c r="B342" s="158"/>
      <c r="C342" s="158"/>
      <c r="D342" s="158"/>
      <c r="E342" s="158"/>
      <c r="F342" s="159"/>
      <c r="G342" s="190"/>
      <c r="H342" s="168"/>
      <c r="I342" s="161"/>
      <c r="J342" s="210"/>
      <c r="K342" s="233"/>
      <c r="L342" s="91"/>
      <c r="M342" s="92"/>
    </row>
    <row r="343" spans="1:13" s="45" customFormat="1" ht="8.5500000000000007" customHeight="1" x14ac:dyDescent="0.2">
      <c r="A343" s="98"/>
      <c r="B343" s="201" t="s">
        <v>1378</v>
      </c>
      <c r="C343" s="201"/>
      <c r="D343" s="201"/>
      <c r="E343" s="201"/>
      <c r="F343" s="157"/>
      <c r="G343" s="189">
        <v>2000</v>
      </c>
      <c r="H343" s="167">
        <v>98</v>
      </c>
      <c r="I343" s="160"/>
      <c r="J343" s="209" t="s">
        <v>135</v>
      </c>
      <c r="K343" s="232">
        <v>4</v>
      </c>
      <c r="L343" s="91"/>
      <c r="M343" s="92"/>
    </row>
    <row r="344" spans="1:13" s="45" customFormat="1" ht="8.5500000000000007" customHeight="1" x14ac:dyDescent="0.2">
      <c r="A344" s="98"/>
      <c r="B344" s="158"/>
      <c r="C344" s="158"/>
      <c r="D344" s="158"/>
      <c r="E344" s="158"/>
      <c r="F344" s="159"/>
      <c r="G344" s="190"/>
      <c r="H344" s="168"/>
      <c r="I344" s="161"/>
      <c r="J344" s="210"/>
      <c r="K344" s="233"/>
      <c r="L344" s="91"/>
      <c r="M344" s="92"/>
    </row>
    <row r="345" spans="1:13" s="45" customFormat="1" ht="8.5500000000000007" customHeight="1" x14ac:dyDescent="0.2">
      <c r="A345" s="98"/>
      <c r="B345" s="201" t="s">
        <v>1378</v>
      </c>
      <c r="C345" s="201"/>
      <c r="D345" s="201"/>
      <c r="E345" s="201"/>
      <c r="F345" s="157"/>
      <c r="G345" s="189">
        <v>2001</v>
      </c>
      <c r="H345" s="167">
        <v>99</v>
      </c>
      <c r="I345" s="160">
        <v>93</v>
      </c>
      <c r="J345" s="209" t="s">
        <v>426</v>
      </c>
      <c r="K345" s="232">
        <v>5</v>
      </c>
      <c r="L345" s="91"/>
      <c r="M345" s="92"/>
    </row>
    <row r="346" spans="1:13" s="45" customFormat="1" ht="8.5500000000000007" customHeight="1" x14ac:dyDescent="0.2">
      <c r="A346" s="98"/>
      <c r="B346" s="158"/>
      <c r="C346" s="158"/>
      <c r="D346" s="158"/>
      <c r="E346" s="158"/>
      <c r="F346" s="159"/>
      <c r="G346" s="190"/>
      <c r="H346" s="168"/>
      <c r="I346" s="161"/>
      <c r="J346" s="210"/>
      <c r="K346" s="233"/>
      <c r="L346" s="91"/>
      <c r="M346" s="92"/>
    </row>
    <row r="347" spans="1:13" s="45" customFormat="1" ht="8.5500000000000007" customHeight="1" x14ac:dyDescent="0.2">
      <c r="A347" s="98"/>
      <c r="B347" s="213" t="s">
        <v>286</v>
      </c>
      <c r="C347" s="213"/>
      <c r="D347" s="213"/>
      <c r="E347" s="213"/>
      <c r="F347" s="213"/>
      <c r="G347" s="71"/>
      <c r="H347" s="65"/>
      <c r="I347" s="65"/>
      <c r="J347" s="108"/>
      <c r="K347" s="164"/>
      <c r="L347" s="91"/>
      <c r="M347" s="92"/>
    </row>
    <row r="348" spans="1:13" s="45" customFormat="1" ht="8.5500000000000007" customHeight="1" x14ac:dyDescent="0.2">
      <c r="A348" s="98"/>
      <c r="B348" s="171"/>
      <c r="C348" s="171"/>
      <c r="D348" s="171"/>
      <c r="E348" s="171"/>
      <c r="F348" s="171"/>
      <c r="G348" s="72"/>
      <c r="H348" s="66"/>
      <c r="I348" s="66"/>
      <c r="J348" s="109"/>
      <c r="K348" s="165"/>
      <c r="L348" s="91"/>
      <c r="M348" s="92"/>
    </row>
    <row r="349" spans="1:13" s="45" customFormat="1" ht="8.5500000000000007" customHeight="1" x14ac:dyDescent="0.2">
      <c r="A349" s="98"/>
      <c r="B349" s="201" t="s">
        <v>1378</v>
      </c>
      <c r="C349" s="201"/>
      <c r="D349" s="201"/>
      <c r="E349" s="201"/>
      <c r="F349" s="157"/>
      <c r="G349" s="189">
        <v>2005</v>
      </c>
      <c r="H349" s="167" t="s">
        <v>627</v>
      </c>
      <c r="I349" s="160">
        <v>97</v>
      </c>
      <c r="J349" s="209" t="s">
        <v>23</v>
      </c>
      <c r="K349" s="232">
        <v>2</v>
      </c>
      <c r="L349" s="91"/>
      <c r="M349" s="92"/>
    </row>
    <row r="350" spans="1:13" s="45" customFormat="1" ht="8.5500000000000007" customHeight="1" x14ac:dyDescent="0.2">
      <c r="A350" s="98"/>
      <c r="B350" s="158"/>
      <c r="C350" s="158"/>
      <c r="D350" s="158"/>
      <c r="E350" s="158"/>
      <c r="F350" s="159"/>
      <c r="G350" s="190"/>
      <c r="H350" s="168"/>
      <c r="I350" s="161"/>
      <c r="J350" s="210"/>
      <c r="K350" s="233"/>
      <c r="L350" s="91"/>
      <c r="M350" s="92"/>
    </row>
    <row r="351" spans="1:13" s="45" customFormat="1" ht="8.5500000000000007" customHeight="1" x14ac:dyDescent="0.2">
      <c r="A351" s="98"/>
      <c r="B351" s="201" t="s">
        <v>1378</v>
      </c>
      <c r="C351" s="201"/>
      <c r="D351" s="201"/>
      <c r="E351" s="201"/>
      <c r="F351" s="157"/>
      <c r="G351" s="189">
        <v>2006</v>
      </c>
      <c r="H351" s="167">
        <v>100</v>
      </c>
      <c r="I351" s="160">
        <v>93</v>
      </c>
      <c r="J351" s="209" t="s">
        <v>16</v>
      </c>
      <c r="K351" s="232">
        <v>3</v>
      </c>
      <c r="L351" s="91"/>
      <c r="M351" s="92"/>
    </row>
    <row r="352" spans="1:13" s="45" customFormat="1" ht="8.5500000000000007" customHeight="1" x14ac:dyDescent="0.2">
      <c r="A352" s="98"/>
      <c r="B352" s="158"/>
      <c r="C352" s="158"/>
      <c r="D352" s="158"/>
      <c r="E352" s="158"/>
      <c r="F352" s="159"/>
      <c r="G352" s="190"/>
      <c r="H352" s="168"/>
      <c r="I352" s="161"/>
      <c r="J352" s="210"/>
      <c r="K352" s="233"/>
      <c r="L352" s="91"/>
      <c r="M352" s="92"/>
    </row>
    <row r="353" spans="1:13" s="45" customFormat="1" ht="8.5500000000000007" customHeight="1" x14ac:dyDescent="0.2">
      <c r="A353" s="98"/>
      <c r="B353" s="201" t="s">
        <v>1378</v>
      </c>
      <c r="C353" s="201"/>
      <c r="D353" s="201"/>
      <c r="E353" s="201"/>
      <c r="F353" s="157"/>
      <c r="G353" s="189">
        <v>2007</v>
      </c>
      <c r="H353" s="167">
        <v>100</v>
      </c>
      <c r="I353" s="160">
        <v>92</v>
      </c>
      <c r="J353" s="209" t="s">
        <v>408</v>
      </c>
      <c r="K353" s="232">
        <v>4</v>
      </c>
      <c r="L353" s="91"/>
      <c r="M353" s="92"/>
    </row>
    <row r="354" spans="1:13" s="45" customFormat="1" ht="8.5500000000000007" customHeight="1" x14ac:dyDescent="0.2">
      <c r="A354" s="98"/>
      <c r="B354" s="158"/>
      <c r="C354" s="158"/>
      <c r="D354" s="158"/>
      <c r="E354" s="158"/>
      <c r="F354" s="159"/>
      <c r="G354" s="190"/>
      <c r="H354" s="168"/>
      <c r="I354" s="161"/>
      <c r="J354" s="210"/>
      <c r="K354" s="233"/>
      <c r="L354" s="91"/>
      <c r="M354" s="92"/>
    </row>
    <row r="355" spans="1:13" s="45" customFormat="1" ht="8.5500000000000007" customHeight="1" x14ac:dyDescent="0.2">
      <c r="A355" s="98"/>
      <c r="B355" s="201" t="s">
        <v>184</v>
      </c>
      <c r="C355" s="201"/>
      <c r="D355" s="201"/>
      <c r="E355" s="201"/>
      <c r="F355" s="157"/>
      <c r="G355" s="189">
        <v>2000</v>
      </c>
      <c r="H355" s="167">
        <v>95</v>
      </c>
      <c r="I355" s="160">
        <v>87</v>
      </c>
      <c r="J355" s="209" t="s">
        <v>1021</v>
      </c>
      <c r="K355" s="232">
        <v>1</v>
      </c>
      <c r="L355" s="91"/>
      <c r="M355" s="92"/>
    </row>
    <row r="356" spans="1:13" s="45" customFormat="1" ht="8.5500000000000007" customHeight="1" x14ac:dyDescent="0.2">
      <c r="A356" s="98"/>
      <c r="B356" s="158"/>
      <c r="C356" s="158"/>
      <c r="D356" s="158"/>
      <c r="E356" s="158"/>
      <c r="F356" s="159"/>
      <c r="G356" s="190"/>
      <c r="H356" s="168"/>
      <c r="I356" s="161"/>
      <c r="J356" s="210"/>
      <c r="K356" s="233"/>
      <c r="L356" s="91"/>
      <c r="M356" s="92"/>
    </row>
    <row r="357" spans="1:13" s="45" customFormat="1" ht="8.5500000000000007" customHeight="1" x14ac:dyDescent="0.2">
      <c r="A357" s="98"/>
      <c r="B357" s="201" t="s">
        <v>184</v>
      </c>
      <c r="C357" s="201"/>
      <c r="D357" s="201"/>
      <c r="E357" s="201"/>
      <c r="F357" s="157"/>
      <c r="G357" s="189">
        <v>2001</v>
      </c>
      <c r="H357" s="167">
        <v>95</v>
      </c>
      <c r="I357" s="160">
        <v>93</v>
      </c>
      <c r="J357" s="209" t="s">
        <v>121</v>
      </c>
      <c r="K357" s="232">
        <v>1</v>
      </c>
      <c r="L357" s="91"/>
      <c r="M357" s="92"/>
    </row>
    <row r="358" spans="1:13" s="45" customFormat="1" ht="8.5500000000000007" customHeight="1" x14ac:dyDescent="0.2">
      <c r="A358" s="98"/>
      <c r="B358" s="158"/>
      <c r="C358" s="158"/>
      <c r="D358" s="158"/>
      <c r="E358" s="158"/>
      <c r="F358" s="159"/>
      <c r="G358" s="190"/>
      <c r="H358" s="168"/>
      <c r="I358" s="161"/>
      <c r="J358" s="210"/>
      <c r="K358" s="233"/>
      <c r="L358" s="91"/>
      <c r="M358" s="92"/>
    </row>
    <row r="359" spans="1:13" s="45" customFormat="1" ht="8.5500000000000007" customHeight="1" x14ac:dyDescent="0.2">
      <c r="A359" s="98"/>
      <c r="B359" s="201" t="s">
        <v>184</v>
      </c>
      <c r="C359" s="201"/>
      <c r="D359" s="201"/>
      <c r="E359" s="201"/>
      <c r="F359" s="157"/>
      <c r="G359" s="189">
        <v>2003</v>
      </c>
      <c r="H359" s="167">
        <v>97</v>
      </c>
      <c r="I359" s="160">
        <v>97</v>
      </c>
      <c r="J359" s="209" t="s">
        <v>224</v>
      </c>
      <c r="K359" s="232">
        <v>3</v>
      </c>
      <c r="L359" s="91"/>
      <c r="M359" s="92"/>
    </row>
    <row r="360" spans="1:13" s="45" customFormat="1" ht="8.5500000000000007" customHeight="1" x14ac:dyDescent="0.2">
      <c r="A360" s="98"/>
      <c r="B360" s="158"/>
      <c r="C360" s="158"/>
      <c r="D360" s="158"/>
      <c r="E360" s="158"/>
      <c r="F360" s="159"/>
      <c r="G360" s="190"/>
      <c r="H360" s="168"/>
      <c r="I360" s="161"/>
      <c r="J360" s="210"/>
      <c r="K360" s="233"/>
      <c r="L360" s="91"/>
      <c r="M360" s="92"/>
    </row>
    <row r="361" spans="1:13" s="45" customFormat="1" ht="8.5500000000000007" customHeight="1" x14ac:dyDescent="0.2">
      <c r="A361" s="98"/>
      <c r="B361" s="201" t="s">
        <v>184</v>
      </c>
      <c r="C361" s="201"/>
      <c r="D361" s="201"/>
      <c r="E361" s="201"/>
      <c r="F361" s="157"/>
      <c r="G361" s="189">
        <v>2004</v>
      </c>
      <c r="H361" s="167">
        <v>95</v>
      </c>
      <c r="I361" s="160">
        <v>96</v>
      </c>
      <c r="J361" s="209" t="s">
        <v>356</v>
      </c>
      <c r="K361" s="232">
        <v>2</v>
      </c>
      <c r="L361" s="91"/>
      <c r="M361" s="92"/>
    </row>
    <row r="362" spans="1:13" s="45" customFormat="1" ht="8.5500000000000007" customHeight="1" x14ac:dyDescent="0.2">
      <c r="A362" s="98"/>
      <c r="B362" s="158"/>
      <c r="C362" s="158"/>
      <c r="D362" s="158"/>
      <c r="E362" s="158"/>
      <c r="F362" s="159"/>
      <c r="G362" s="190"/>
      <c r="H362" s="168"/>
      <c r="I362" s="161"/>
      <c r="J362" s="210"/>
      <c r="K362" s="233"/>
      <c r="L362" s="91"/>
      <c r="M362" s="92"/>
    </row>
    <row r="363" spans="1:13" s="45" customFormat="1" ht="8.5500000000000007" customHeight="1" x14ac:dyDescent="0.2">
      <c r="A363" s="98"/>
      <c r="B363" s="201" t="s">
        <v>185</v>
      </c>
      <c r="C363" s="201"/>
      <c r="D363" s="201"/>
      <c r="E363" s="201"/>
      <c r="F363" s="157"/>
      <c r="G363" s="189">
        <v>2005</v>
      </c>
      <c r="H363" s="167">
        <v>95</v>
      </c>
      <c r="I363" s="160">
        <v>98</v>
      </c>
      <c r="J363" s="209" t="s">
        <v>249</v>
      </c>
      <c r="K363" s="234">
        <v>3</v>
      </c>
      <c r="L363" s="91"/>
      <c r="M363" s="92"/>
    </row>
    <row r="364" spans="1:13" s="45" customFormat="1" ht="8.5500000000000007" customHeight="1" x14ac:dyDescent="0.2">
      <c r="A364" s="98"/>
      <c r="B364" s="158"/>
      <c r="C364" s="158"/>
      <c r="D364" s="158"/>
      <c r="E364" s="158"/>
      <c r="F364" s="159"/>
      <c r="G364" s="190"/>
      <c r="H364" s="168"/>
      <c r="I364" s="161"/>
      <c r="J364" s="210"/>
      <c r="K364" s="235"/>
      <c r="L364" s="91"/>
      <c r="M364" s="92"/>
    </row>
    <row r="365" spans="1:13" s="45" customFormat="1" ht="8.5500000000000007" customHeight="1" x14ac:dyDescent="0.2">
      <c r="A365" s="98"/>
      <c r="B365" s="201" t="s">
        <v>185</v>
      </c>
      <c r="C365" s="201"/>
      <c r="D365" s="201"/>
      <c r="E365" s="201"/>
      <c r="F365" s="157"/>
      <c r="G365" s="189">
        <v>2006</v>
      </c>
      <c r="H365" s="167">
        <v>98</v>
      </c>
      <c r="I365" s="160">
        <v>95</v>
      </c>
      <c r="J365" s="209" t="s">
        <v>250</v>
      </c>
      <c r="K365" s="234">
        <v>3</v>
      </c>
      <c r="L365" s="91"/>
      <c r="M365" s="92"/>
    </row>
    <row r="366" spans="1:13" s="45" customFormat="1" ht="8.5500000000000007" customHeight="1" x14ac:dyDescent="0.2">
      <c r="A366" s="98"/>
      <c r="B366" s="158"/>
      <c r="C366" s="158"/>
      <c r="D366" s="158"/>
      <c r="E366" s="158"/>
      <c r="F366" s="159"/>
      <c r="G366" s="190"/>
      <c r="H366" s="168"/>
      <c r="I366" s="161"/>
      <c r="J366" s="210"/>
      <c r="K366" s="235"/>
      <c r="L366" s="91"/>
      <c r="M366" s="92"/>
    </row>
    <row r="367" spans="1:13" s="45" customFormat="1" ht="8.5500000000000007" customHeight="1" x14ac:dyDescent="0.2">
      <c r="A367" s="98"/>
      <c r="B367" s="201" t="s">
        <v>185</v>
      </c>
      <c r="C367" s="201"/>
      <c r="D367" s="201"/>
      <c r="E367" s="201"/>
      <c r="F367" s="157"/>
      <c r="G367" s="189">
        <v>2007</v>
      </c>
      <c r="H367" s="167" t="s">
        <v>630</v>
      </c>
      <c r="I367" s="160">
        <v>97</v>
      </c>
      <c r="J367" s="209" t="s">
        <v>52</v>
      </c>
      <c r="K367" s="234">
        <v>3</v>
      </c>
      <c r="L367" s="91"/>
      <c r="M367" s="92"/>
    </row>
    <row r="368" spans="1:13" s="45" customFormat="1" ht="8.5500000000000007" customHeight="1" x14ac:dyDescent="0.2">
      <c r="A368" s="98"/>
      <c r="B368" s="158"/>
      <c r="C368" s="158"/>
      <c r="D368" s="158"/>
      <c r="E368" s="158"/>
      <c r="F368" s="159"/>
      <c r="G368" s="190"/>
      <c r="H368" s="168"/>
      <c r="I368" s="161"/>
      <c r="J368" s="210"/>
      <c r="K368" s="235"/>
      <c r="L368" s="91"/>
      <c r="M368" s="92"/>
    </row>
    <row r="369" spans="1:13" s="45" customFormat="1" ht="8.5500000000000007" customHeight="1" x14ac:dyDescent="0.2">
      <c r="A369" s="98"/>
      <c r="B369" s="201" t="s">
        <v>650</v>
      </c>
      <c r="C369" s="201"/>
      <c r="D369" s="201"/>
      <c r="E369" s="201"/>
      <c r="F369" s="157"/>
      <c r="G369" s="189">
        <v>2007</v>
      </c>
      <c r="H369" s="167" t="s">
        <v>630</v>
      </c>
      <c r="I369" s="160">
        <v>97</v>
      </c>
      <c r="J369" s="209" t="s">
        <v>52</v>
      </c>
      <c r="K369" s="232">
        <v>3</v>
      </c>
      <c r="L369" s="91"/>
      <c r="M369" s="92"/>
    </row>
    <row r="370" spans="1:13" s="45" customFormat="1" ht="8.5500000000000007" customHeight="1" x14ac:dyDescent="0.2">
      <c r="A370" s="98"/>
      <c r="B370" s="158"/>
      <c r="C370" s="158"/>
      <c r="D370" s="158"/>
      <c r="E370" s="158"/>
      <c r="F370" s="159"/>
      <c r="G370" s="190"/>
      <c r="H370" s="168"/>
      <c r="I370" s="161"/>
      <c r="J370" s="210"/>
      <c r="K370" s="233"/>
      <c r="L370" s="91"/>
      <c r="M370" s="92"/>
    </row>
    <row r="371" spans="1:13" s="45" customFormat="1" ht="8.5500000000000007" customHeight="1" x14ac:dyDescent="0.2">
      <c r="A371" s="98"/>
      <c r="B371" s="201" t="s">
        <v>185</v>
      </c>
      <c r="C371" s="201"/>
      <c r="D371" s="201"/>
      <c r="E371" s="201"/>
      <c r="F371" s="157"/>
      <c r="G371" s="189">
        <v>2008</v>
      </c>
      <c r="H371" s="167">
        <v>91</v>
      </c>
      <c r="I371" s="160">
        <v>95</v>
      </c>
      <c r="J371" s="209" t="s">
        <v>256</v>
      </c>
      <c r="K371" s="234">
        <v>2</v>
      </c>
      <c r="L371" s="91"/>
      <c r="M371" s="92"/>
    </row>
    <row r="372" spans="1:13" s="45" customFormat="1" ht="8.5500000000000007" customHeight="1" x14ac:dyDescent="0.2">
      <c r="A372" s="98"/>
      <c r="B372" s="158"/>
      <c r="C372" s="158"/>
      <c r="D372" s="158"/>
      <c r="E372" s="158"/>
      <c r="F372" s="159"/>
      <c r="G372" s="190"/>
      <c r="H372" s="168"/>
      <c r="I372" s="161"/>
      <c r="J372" s="210"/>
      <c r="K372" s="235"/>
      <c r="L372" s="91"/>
      <c r="M372" s="92"/>
    </row>
    <row r="373" spans="1:13" s="45" customFormat="1" ht="8.5500000000000007" customHeight="1" x14ac:dyDescent="0.2">
      <c r="A373" s="98"/>
      <c r="B373" s="201" t="s">
        <v>650</v>
      </c>
      <c r="C373" s="201"/>
      <c r="D373" s="201"/>
      <c r="E373" s="201"/>
      <c r="F373" s="157"/>
      <c r="G373" s="189">
        <v>2009</v>
      </c>
      <c r="H373" s="167">
        <v>97</v>
      </c>
      <c r="I373" s="160"/>
      <c r="J373" s="209"/>
      <c r="K373" s="232">
        <v>1</v>
      </c>
      <c r="L373" s="91"/>
      <c r="M373" s="92"/>
    </row>
    <row r="374" spans="1:13" s="45" customFormat="1" ht="8.5500000000000007" customHeight="1" x14ac:dyDescent="0.2">
      <c r="A374" s="98"/>
      <c r="B374" s="158"/>
      <c r="C374" s="158"/>
      <c r="D374" s="158"/>
      <c r="E374" s="158"/>
      <c r="F374" s="159"/>
      <c r="G374" s="190"/>
      <c r="H374" s="168"/>
      <c r="I374" s="161"/>
      <c r="J374" s="210"/>
      <c r="K374" s="233"/>
      <c r="L374" s="91"/>
      <c r="M374" s="92"/>
    </row>
    <row r="375" spans="1:13" s="45" customFormat="1" ht="8.5500000000000007" customHeight="1" x14ac:dyDescent="0.2">
      <c r="A375" s="98"/>
      <c r="B375" s="201" t="s">
        <v>185</v>
      </c>
      <c r="C375" s="201"/>
      <c r="D375" s="201"/>
      <c r="E375" s="201"/>
      <c r="F375" s="157"/>
      <c r="G375" s="189">
        <v>2011</v>
      </c>
      <c r="H375" s="167">
        <v>93</v>
      </c>
      <c r="I375" s="160"/>
      <c r="J375" s="209"/>
      <c r="K375" s="232">
        <v>2</v>
      </c>
      <c r="L375" s="91"/>
      <c r="M375" s="92"/>
    </row>
    <row r="376" spans="1:13" s="45" customFormat="1" ht="8.5500000000000007" customHeight="1" x14ac:dyDescent="0.2">
      <c r="A376" s="98"/>
      <c r="B376" s="158"/>
      <c r="C376" s="158"/>
      <c r="D376" s="158"/>
      <c r="E376" s="158"/>
      <c r="F376" s="159"/>
      <c r="G376" s="190"/>
      <c r="H376" s="168"/>
      <c r="I376" s="161"/>
      <c r="J376" s="210"/>
      <c r="K376" s="233"/>
      <c r="L376" s="91"/>
      <c r="M376" s="92"/>
    </row>
    <row r="377" spans="1:13" s="45" customFormat="1" ht="8.5500000000000007" customHeight="1" x14ac:dyDescent="0.2">
      <c r="A377" s="98"/>
      <c r="B377" s="201" t="s">
        <v>185</v>
      </c>
      <c r="C377" s="201"/>
      <c r="D377" s="201"/>
      <c r="E377" s="201"/>
      <c r="F377" s="157"/>
      <c r="G377" s="189">
        <v>2012</v>
      </c>
      <c r="H377" s="167">
        <v>95</v>
      </c>
      <c r="I377" s="160"/>
      <c r="J377" s="209"/>
      <c r="K377" s="232">
        <v>2</v>
      </c>
      <c r="L377" s="91"/>
      <c r="M377" s="92"/>
    </row>
    <row r="378" spans="1:13" s="45" customFormat="1" ht="8.5500000000000007" customHeight="1" x14ac:dyDescent="0.2">
      <c r="A378" s="98"/>
      <c r="B378" s="158"/>
      <c r="C378" s="158"/>
      <c r="D378" s="158"/>
      <c r="E378" s="158"/>
      <c r="F378" s="159"/>
      <c r="G378" s="190"/>
      <c r="H378" s="168"/>
      <c r="I378" s="161"/>
      <c r="J378" s="210"/>
      <c r="K378" s="233"/>
      <c r="L378" s="91"/>
      <c r="M378" s="92"/>
    </row>
    <row r="379" spans="1:13" s="45" customFormat="1" ht="8.5500000000000007" customHeight="1" x14ac:dyDescent="0.2">
      <c r="A379" s="98"/>
      <c r="B379" s="201" t="s">
        <v>650</v>
      </c>
      <c r="C379" s="201"/>
      <c r="D379" s="201"/>
      <c r="E379" s="201"/>
      <c r="F379" s="157"/>
      <c r="G379" s="189">
        <v>2016</v>
      </c>
      <c r="H379" s="167" t="s">
        <v>640</v>
      </c>
      <c r="I379" s="160"/>
      <c r="J379" s="209"/>
      <c r="K379" s="232">
        <v>1</v>
      </c>
      <c r="L379" s="91"/>
      <c r="M379" s="92"/>
    </row>
    <row r="380" spans="1:13" s="45" customFormat="1" ht="8.5500000000000007" customHeight="1" x14ac:dyDescent="0.2">
      <c r="A380" s="98"/>
      <c r="B380" s="158"/>
      <c r="C380" s="158"/>
      <c r="D380" s="158"/>
      <c r="E380" s="158"/>
      <c r="F380" s="159"/>
      <c r="G380" s="190"/>
      <c r="H380" s="168"/>
      <c r="I380" s="161"/>
      <c r="J380" s="210"/>
      <c r="K380" s="233"/>
      <c r="L380" s="91"/>
      <c r="M380" s="92"/>
    </row>
    <row r="381" spans="1:13" s="45" customFormat="1" ht="8.5500000000000007" customHeight="1" x14ac:dyDescent="0.2">
      <c r="A381" s="98"/>
      <c r="B381" s="201" t="s">
        <v>650</v>
      </c>
      <c r="C381" s="201"/>
      <c r="D381" s="201"/>
      <c r="E381" s="201"/>
      <c r="F381" s="157"/>
      <c r="G381" s="189">
        <v>2017</v>
      </c>
      <c r="H381" s="167">
        <v>96</v>
      </c>
      <c r="I381" s="160"/>
      <c r="J381" s="209"/>
      <c r="K381" s="232">
        <v>1</v>
      </c>
      <c r="L381" s="91"/>
      <c r="M381" s="92"/>
    </row>
    <row r="382" spans="1:13" s="45" customFormat="1" ht="8.5500000000000007" customHeight="1" x14ac:dyDescent="0.2">
      <c r="A382" s="98"/>
      <c r="B382" s="158"/>
      <c r="C382" s="158"/>
      <c r="D382" s="158"/>
      <c r="E382" s="158"/>
      <c r="F382" s="159"/>
      <c r="G382" s="190"/>
      <c r="H382" s="168"/>
      <c r="I382" s="161"/>
      <c r="J382" s="210"/>
      <c r="K382" s="233"/>
      <c r="L382" s="91"/>
      <c r="M382" s="92"/>
    </row>
    <row r="383" spans="1:13" s="45" customFormat="1" ht="8.5500000000000007" customHeight="1" x14ac:dyDescent="0.2">
      <c r="A383" s="98"/>
      <c r="B383" s="201" t="s">
        <v>870</v>
      </c>
      <c r="C383" s="201"/>
      <c r="D383" s="201"/>
      <c r="E383" s="201"/>
      <c r="F383" s="157"/>
      <c r="G383" s="189">
        <v>1998</v>
      </c>
      <c r="H383" s="167">
        <v>98</v>
      </c>
      <c r="I383" s="160">
        <v>97</v>
      </c>
      <c r="J383" s="209" t="s">
        <v>1026</v>
      </c>
      <c r="K383" s="232">
        <v>2</v>
      </c>
      <c r="L383" s="91"/>
      <c r="M383" s="92"/>
    </row>
    <row r="384" spans="1:13" s="45" customFormat="1" ht="8.5500000000000007" customHeight="1" x14ac:dyDescent="0.2">
      <c r="A384" s="98"/>
      <c r="B384" s="158"/>
      <c r="C384" s="158"/>
      <c r="D384" s="158"/>
      <c r="E384" s="158"/>
      <c r="F384" s="159"/>
      <c r="G384" s="190"/>
      <c r="H384" s="168"/>
      <c r="I384" s="161"/>
      <c r="J384" s="210"/>
      <c r="K384" s="233"/>
      <c r="L384" s="91"/>
      <c r="M384" s="92"/>
    </row>
    <row r="385" spans="1:13" s="45" customFormat="1" ht="8.5500000000000007" customHeight="1" x14ac:dyDescent="0.2">
      <c r="A385" s="98"/>
      <c r="B385" s="201" t="s">
        <v>870</v>
      </c>
      <c r="C385" s="201"/>
      <c r="D385" s="201"/>
      <c r="E385" s="201"/>
      <c r="F385" s="157"/>
      <c r="G385" s="189">
        <v>2001</v>
      </c>
      <c r="H385" s="167">
        <v>100</v>
      </c>
      <c r="I385" s="160">
        <v>91</v>
      </c>
      <c r="J385" s="209" t="s">
        <v>334</v>
      </c>
      <c r="K385" s="232">
        <v>4</v>
      </c>
      <c r="L385" s="91"/>
      <c r="M385" s="92"/>
    </row>
    <row r="386" spans="1:13" s="45" customFormat="1" ht="8.5500000000000007" customHeight="1" x14ac:dyDescent="0.2">
      <c r="A386" s="98"/>
      <c r="B386" s="158"/>
      <c r="C386" s="158"/>
      <c r="D386" s="158"/>
      <c r="E386" s="158"/>
      <c r="F386" s="159"/>
      <c r="G386" s="190"/>
      <c r="H386" s="168"/>
      <c r="I386" s="161"/>
      <c r="J386" s="210"/>
      <c r="K386" s="233"/>
      <c r="L386" s="91"/>
      <c r="M386" s="92"/>
    </row>
    <row r="387" spans="1:13" s="45" customFormat="1" ht="8.5500000000000007" customHeight="1" x14ac:dyDescent="0.2">
      <c r="A387" s="98"/>
      <c r="B387" s="201" t="s">
        <v>870</v>
      </c>
      <c r="C387" s="201"/>
      <c r="D387" s="201"/>
      <c r="E387" s="201"/>
      <c r="F387" s="157"/>
      <c r="G387" s="189">
        <v>2005</v>
      </c>
      <c r="H387" s="167">
        <v>95</v>
      </c>
      <c r="I387" s="160">
        <v>95</v>
      </c>
      <c r="J387" s="209" t="s">
        <v>256</v>
      </c>
      <c r="K387" s="232">
        <v>3</v>
      </c>
      <c r="L387" s="91"/>
      <c r="M387" s="92"/>
    </row>
    <row r="388" spans="1:13" s="45" customFormat="1" ht="8.5500000000000007" customHeight="1" x14ac:dyDescent="0.2">
      <c r="A388" s="98"/>
      <c r="B388" s="158"/>
      <c r="C388" s="158"/>
      <c r="D388" s="158"/>
      <c r="E388" s="158"/>
      <c r="F388" s="159"/>
      <c r="G388" s="190"/>
      <c r="H388" s="168"/>
      <c r="I388" s="161"/>
      <c r="J388" s="210"/>
      <c r="K388" s="233"/>
      <c r="L388" s="91"/>
      <c r="M388" s="92"/>
    </row>
    <row r="389" spans="1:13" s="45" customFormat="1" ht="8.5500000000000007" customHeight="1" x14ac:dyDescent="0.2">
      <c r="A389" s="98"/>
      <c r="B389" s="201" t="s">
        <v>739</v>
      </c>
      <c r="C389" s="201"/>
      <c r="D389" s="201"/>
      <c r="E389" s="201"/>
      <c r="F389" s="157"/>
      <c r="G389" s="189">
        <v>2003</v>
      </c>
      <c r="H389" s="167">
        <v>99</v>
      </c>
      <c r="I389" s="160"/>
      <c r="J389" s="209" t="s">
        <v>226</v>
      </c>
      <c r="K389" s="232">
        <v>3</v>
      </c>
      <c r="L389" s="91"/>
      <c r="M389" s="92"/>
    </row>
    <row r="390" spans="1:13" s="45" customFormat="1" ht="8.5500000000000007" customHeight="1" x14ac:dyDescent="0.2">
      <c r="A390" s="98"/>
      <c r="B390" s="158"/>
      <c r="C390" s="158"/>
      <c r="D390" s="158"/>
      <c r="E390" s="158"/>
      <c r="F390" s="159"/>
      <c r="G390" s="190"/>
      <c r="H390" s="168"/>
      <c r="I390" s="161"/>
      <c r="J390" s="210"/>
      <c r="K390" s="233"/>
      <c r="L390" s="91"/>
      <c r="M390" s="92"/>
    </row>
    <row r="391" spans="1:13" s="45" customFormat="1" ht="8.5500000000000007" customHeight="1" x14ac:dyDescent="0.2">
      <c r="A391" s="98"/>
      <c r="B391" s="201" t="s">
        <v>700</v>
      </c>
      <c r="C391" s="201"/>
      <c r="D391" s="201"/>
      <c r="E391" s="201"/>
      <c r="F391" s="157"/>
      <c r="G391" s="189">
        <v>1998</v>
      </c>
      <c r="H391" s="167" t="s">
        <v>640</v>
      </c>
      <c r="I391" s="160">
        <v>95</v>
      </c>
      <c r="J391" s="209" t="s">
        <v>225</v>
      </c>
      <c r="K391" s="232">
        <v>4</v>
      </c>
      <c r="L391" s="91"/>
      <c r="M391" s="92"/>
    </row>
    <row r="392" spans="1:13" s="45" customFormat="1" ht="8.5500000000000007" customHeight="1" x14ac:dyDescent="0.2">
      <c r="A392" s="98"/>
      <c r="B392" s="158"/>
      <c r="C392" s="158"/>
      <c r="D392" s="158"/>
      <c r="E392" s="158"/>
      <c r="F392" s="159"/>
      <c r="G392" s="190"/>
      <c r="H392" s="168"/>
      <c r="I392" s="161"/>
      <c r="J392" s="210"/>
      <c r="K392" s="233"/>
      <c r="L392" s="91"/>
      <c r="M392" s="92"/>
    </row>
    <row r="393" spans="1:13" s="45" customFormat="1" ht="8.5500000000000007" customHeight="1" x14ac:dyDescent="0.2">
      <c r="A393" s="98"/>
      <c r="B393" s="201" t="s">
        <v>700</v>
      </c>
      <c r="C393" s="201"/>
      <c r="D393" s="201"/>
      <c r="E393" s="201"/>
      <c r="F393" s="157"/>
      <c r="G393" s="189">
        <v>2001</v>
      </c>
      <c r="H393" s="167">
        <v>100</v>
      </c>
      <c r="I393" s="160">
        <v>96</v>
      </c>
      <c r="J393" s="209" t="s">
        <v>997</v>
      </c>
      <c r="K393" s="232">
        <v>3</v>
      </c>
      <c r="L393" s="91"/>
      <c r="M393" s="92"/>
    </row>
    <row r="394" spans="1:13" s="45" customFormat="1" ht="8.5500000000000007" customHeight="1" x14ac:dyDescent="0.2">
      <c r="A394" s="98"/>
      <c r="B394" s="158"/>
      <c r="C394" s="158"/>
      <c r="D394" s="158"/>
      <c r="E394" s="158"/>
      <c r="F394" s="159"/>
      <c r="G394" s="190"/>
      <c r="H394" s="168"/>
      <c r="I394" s="161"/>
      <c r="J394" s="210"/>
      <c r="K394" s="233"/>
      <c r="L394" s="91"/>
      <c r="M394" s="92"/>
    </row>
    <row r="395" spans="1:13" s="45" customFormat="1" ht="8.5500000000000007" customHeight="1" x14ac:dyDescent="0.2">
      <c r="A395" s="98"/>
      <c r="B395" s="201" t="s">
        <v>1379</v>
      </c>
      <c r="C395" s="201"/>
      <c r="D395" s="201"/>
      <c r="E395" s="201"/>
      <c r="F395" s="157"/>
      <c r="G395" s="189">
        <v>1998</v>
      </c>
      <c r="H395" s="167" t="s">
        <v>629</v>
      </c>
      <c r="I395" s="160">
        <v>95</v>
      </c>
      <c r="J395" s="209" t="s">
        <v>250</v>
      </c>
      <c r="K395" s="232">
        <v>5</v>
      </c>
      <c r="L395" s="91"/>
      <c r="M395" s="92"/>
    </row>
    <row r="396" spans="1:13" s="45" customFormat="1" ht="8.5500000000000007" customHeight="1" x14ac:dyDescent="0.2">
      <c r="A396" s="98"/>
      <c r="B396" s="158"/>
      <c r="C396" s="158"/>
      <c r="D396" s="158"/>
      <c r="E396" s="158"/>
      <c r="F396" s="159"/>
      <c r="G396" s="190"/>
      <c r="H396" s="168"/>
      <c r="I396" s="161"/>
      <c r="J396" s="210"/>
      <c r="K396" s="233"/>
      <c r="L396" s="91"/>
      <c r="M396" s="92"/>
    </row>
    <row r="397" spans="1:13" s="45" customFormat="1" ht="8.5500000000000007" customHeight="1" x14ac:dyDescent="0.2">
      <c r="A397" s="98"/>
      <c r="B397" s="201" t="s">
        <v>1379</v>
      </c>
      <c r="C397" s="201"/>
      <c r="D397" s="201"/>
      <c r="E397" s="201"/>
      <c r="F397" s="157"/>
      <c r="G397" s="189">
        <v>2001</v>
      </c>
      <c r="H397" s="167">
        <v>100</v>
      </c>
      <c r="I397" s="160">
        <v>97</v>
      </c>
      <c r="J397" s="209" t="s">
        <v>136</v>
      </c>
      <c r="K397" s="232">
        <v>3</v>
      </c>
      <c r="L397" s="91"/>
      <c r="M397" s="92"/>
    </row>
    <row r="398" spans="1:13" s="45" customFormat="1" ht="8.5500000000000007" customHeight="1" x14ac:dyDescent="0.2">
      <c r="A398" s="98"/>
      <c r="B398" s="158"/>
      <c r="C398" s="158"/>
      <c r="D398" s="158"/>
      <c r="E398" s="158"/>
      <c r="F398" s="159"/>
      <c r="G398" s="190"/>
      <c r="H398" s="168"/>
      <c r="I398" s="161"/>
      <c r="J398" s="210"/>
      <c r="K398" s="233"/>
      <c r="L398" s="91"/>
      <c r="M398" s="92"/>
    </row>
    <row r="399" spans="1:13" s="45" customFormat="1" ht="8.5500000000000007" customHeight="1" x14ac:dyDescent="0.2">
      <c r="A399" s="98"/>
      <c r="B399" s="201" t="s">
        <v>1379</v>
      </c>
      <c r="C399" s="201"/>
      <c r="D399" s="201"/>
      <c r="E399" s="201"/>
      <c r="F399" s="157"/>
      <c r="G399" s="189">
        <v>2007</v>
      </c>
      <c r="H399" s="167" t="s">
        <v>640</v>
      </c>
      <c r="I399" s="160">
        <v>93</v>
      </c>
      <c r="J399" s="209" t="s">
        <v>23</v>
      </c>
      <c r="K399" s="232">
        <v>3</v>
      </c>
      <c r="L399" s="91"/>
      <c r="M399" s="92"/>
    </row>
    <row r="400" spans="1:13" s="45" customFormat="1" ht="8.5500000000000007" customHeight="1" x14ac:dyDescent="0.2">
      <c r="A400" s="98"/>
      <c r="B400" s="158"/>
      <c r="C400" s="158"/>
      <c r="D400" s="158"/>
      <c r="E400" s="158"/>
      <c r="F400" s="159"/>
      <c r="G400" s="190"/>
      <c r="H400" s="168"/>
      <c r="I400" s="161"/>
      <c r="J400" s="210"/>
      <c r="K400" s="233"/>
      <c r="L400" s="91"/>
      <c r="M400" s="92"/>
    </row>
    <row r="401" spans="1:13" s="45" customFormat="1" ht="8.5500000000000007" customHeight="1" x14ac:dyDescent="0.2">
      <c r="A401" s="98"/>
      <c r="B401" s="201" t="s">
        <v>1380</v>
      </c>
      <c r="C401" s="201"/>
      <c r="D401" s="201"/>
      <c r="E401" s="201"/>
      <c r="F401" s="157"/>
      <c r="G401" s="189">
        <v>2000</v>
      </c>
      <c r="H401" s="167">
        <v>99</v>
      </c>
      <c r="I401" s="160">
        <v>88</v>
      </c>
      <c r="J401" s="209" t="s">
        <v>224</v>
      </c>
      <c r="K401" s="232">
        <v>4</v>
      </c>
      <c r="L401" s="91"/>
      <c r="M401" s="92"/>
    </row>
    <row r="402" spans="1:13" s="45" customFormat="1" ht="8.5500000000000007" customHeight="1" x14ac:dyDescent="0.2">
      <c r="A402" s="98"/>
      <c r="B402" s="158"/>
      <c r="C402" s="158"/>
      <c r="D402" s="158"/>
      <c r="E402" s="158"/>
      <c r="F402" s="159"/>
      <c r="G402" s="190"/>
      <c r="H402" s="168"/>
      <c r="I402" s="161"/>
      <c r="J402" s="210"/>
      <c r="K402" s="233"/>
      <c r="L402" s="91"/>
      <c r="M402" s="92"/>
    </row>
    <row r="403" spans="1:13" s="45" customFormat="1" ht="8.5500000000000007" customHeight="1" x14ac:dyDescent="0.2">
      <c r="A403" s="98"/>
      <c r="B403" s="213" t="s">
        <v>286</v>
      </c>
      <c r="C403" s="213"/>
      <c r="D403" s="213"/>
      <c r="E403" s="213"/>
      <c r="F403" s="213"/>
      <c r="G403" s="71"/>
      <c r="H403" s="65"/>
      <c r="I403" s="65"/>
      <c r="J403" s="108"/>
      <c r="K403" s="164"/>
      <c r="L403" s="91"/>
      <c r="M403" s="92"/>
    </row>
    <row r="404" spans="1:13" s="45" customFormat="1" ht="8.5500000000000007" customHeight="1" x14ac:dyDescent="0.2">
      <c r="A404" s="98"/>
      <c r="B404" s="171"/>
      <c r="C404" s="171"/>
      <c r="D404" s="171"/>
      <c r="E404" s="171"/>
      <c r="F404" s="171"/>
      <c r="G404" s="72"/>
      <c r="H404" s="66"/>
      <c r="I404" s="66"/>
      <c r="J404" s="109"/>
      <c r="K404" s="165"/>
      <c r="L404" s="91"/>
      <c r="M404" s="92"/>
    </row>
    <row r="405" spans="1:13" s="45" customFormat="1" ht="8.5500000000000007" customHeight="1" x14ac:dyDescent="0.2">
      <c r="A405" s="98"/>
      <c r="B405" s="201" t="s">
        <v>1380</v>
      </c>
      <c r="C405" s="201"/>
      <c r="D405" s="201"/>
      <c r="E405" s="201"/>
      <c r="F405" s="157"/>
      <c r="G405" s="189">
        <v>2001</v>
      </c>
      <c r="H405" s="167">
        <v>100</v>
      </c>
      <c r="I405" s="160">
        <v>96</v>
      </c>
      <c r="J405" s="209" t="s">
        <v>256</v>
      </c>
      <c r="K405" s="232">
        <v>4</v>
      </c>
      <c r="L405" s="91"/>
      <c r="M405" s="92"/>
    </row>
    <row r="406" spans="1:13" s="45" customFormat="1" ht="8.5500000000000007" customHeight="1" x14ac:dyDescent="0.2">
      <c r="A406" s="98"/>
      <c r="B406" s="158"/>
      <c r="C406" s="158"/>
      <c r="D406" s="158"/>
      <c r="E406" s="158"/>
      <c r="F406" s="159"/>
      <c r="G406" s="190"/>
      <c r="H406" s="168"/>
      <c r="I406" s="161"/>
      <c r="J406" s="210"/>
      <c r="K406" s="233"/>
      <c r="L406" s="91"/>
      <c r="M406" s="92"/>
    </row>
    <row r="407" spans="1:13" s="45" customFormat="1" ht="8.5500000000000007" customHeight="1" x14ac:dyDescent="0.2">
      <c r="A407" s="98"/>
      <c r="B407" s="201" t="s">
        <v>1380</v>
      </c>
      <c r="C407" s="201"/>
      <c r="D407" s="201"/>
      <c r="E407" s="201"/>
      <c r="F407" s="157"/>
      <c r="G407" s="189">
        <v>2003</v>
      </c>
      <c r="H407" s="167">
        <v>100</v>
      </c>
      <c r="I407" s="160"/>
      <c r="J407" s="209" t="s">
        <v>250</v>
      </c>
      <c r="K407" s="232">
        <v>2</v>
      </c>
      <c r="L407" s="91"/>
      <c r="M407" s="92"/>
    </row>
    <row r="408" spans="1:13" s="45" customFormat="1" ht="8.5500000000000007" customHeight="1" x14ac:dyDescent="0.2">
      <c r="A408" s="98"/>
      <c r="B408" s="158"/>
      <c r="C408" s="158"/>
      <c r="D408" s="158"/>
      <c r="E408" s="158"/>
      <c r="F408" s="159"/>
      <c r="G408" s="190"/>
      <c r="H408" s="168"/>
      <c r="I408" s="161"/>
      <c r="J408" s="210"/>
      <c r="K408" s="233"/>
      <c r="L408" s="91"/>
      <c r="M408" s="92"/>
    </row>
    <row r="409" spans="1:13" s="45" customFormat="1" ht="8.5500000000000007" customHeight="1" x14ac:dyDescent="0.2">
      <c r="A409" s="98"/>
      <c r="B409" s="201" t="s">
        <v>1380</v>
      </c>
      <c r="C409" s="201"/>
      <c r="D409" s="201"/>
      <c r="E409" s="201"/>
      <c r="F409" s="157"/>
      <c r="G409" s="189">
        <v>2005</v>
      </c>
      <c r="H409" s="167">
        <v>100</v>
      </c>
      <c r="I409" s="160">
        <v>96</v>
      </c>
      <c r="J409" s="209" t="s">
        <v>282</v>
      </c>
      <c r="K409" s="232">
        <v>1</v>
      </c>
      <c r="L409" s="91"/>
      <c r="M409" s="92"/>
    </row>
    <row r="410" spans="1:13" s="45" customFormat="1" ht="8.5500000000000007" customHeight="1" x14ac:dyDescent="0.2">
      <c r="A410" s="98"/>
      <c r="B410" s="158"/>
      <c r="C410" s="158"/>
      <c r="D410" s="158"/>
      <c r="E410" s="158"/>
      <c r="F410" s="159"/>
      <c r="G410" s="190"/>
      <c r="H410" s="168"/>
      <c r="I410" s="161"/>
      <c r="J410" s="210"/>
      <c r="K410" s="233"/>
      <c r="L410" s="91"/>
      <c r="M410" s="92"/>
    </row>
    <row r="411" spans="1:13" s="45" customFormat="1" ht="8.5500000000000007" customHeight="1" x14ac:dyDescent="0.2">
      <c r="A411" s="98"/>
      <c r="B411" s="201" t="s">
        <v>871</v>
      </c>
      <c r="C411" s="201"/>
      <c r="D411" s="201"/>
      <c r="E411" s="201"/>
      <c r="F411" s="157"/>
      <c r="G411" s="189">
        <v>1998</v>
      </c>
      <c r="H411" s="167">
        <v>100</v>
      </c>
      <c r="I411" s="160">
        <v>98</v>
      </c>
      <c r="J411" s="209" t="s">
        <v>237</v>
      </c>
      <c r="K411" s="232">
        <v>4</v>
      </c>
      <c r="L411" s="91"/>
      <c r="M411" s="92"/>
    </row>
    <row r="412" spans="1:13" s="45" customFormat="1" ht="8.5500000000000007" customHeight="1" x14ac:dyDescent="0.2">
      <c r="A412" s="98"/>
      <c r="B412" s="158"/>
      <c r="C412" s="158"/>
      <c r="D412" s="158"/>
      <c r="E412" s="158"/>
      <c r="F412" s="159"/>
      <c r="G412" s="190"/>
      <c r="H412" s="168"/>
      <c r="I412" s="161"/>
      <c r="J412" s="210"/>
      <c r="K412" s="233"/>
      <c r="L412" s="91"/>
      <c r="M412" s="92"/>
    </row>
    <row r="413" spans="1:13" s="45" customFormat="1" ht="8.5500000000000007" customHeight="1" x14ac:dyDescent="0.2">
      <c r="A413" s="98"/>
      <c r="B413" s="201" t="s">
        <v>871</v>
      </c>
      <c r="C413" s="201"/>
      <c r="D413" s="201"/>
      <c r="E413" s="201"/>
      <c r="F413" s="157"/>
      <c r="G413" s="189">
        <v>2000</v>
      </c>
      <c r="H413" s="167">
        <v>100</v>
      </c>
      <c r="I413" s="160">
        <v>97</v>
      </c>
      <c r="J413" s="209" t="s">
        <v>225</v>
      </c>
      <c r="K413" s="232">
        <v>5</v>
      </c>
      <c r="L413" s="91"/>
      <c r="M413" s="92"/>
    </row>
    <row r="414" spans="1:13" s="45" customFormat="1" ht="8.5500000000000007" customHeight="1" x14ac:dyDescent="0.2">
      <c r="A414" s="98"/>
      <c r="B414" s="158"/>
      <c r="C414" s="158"/>
      <c r="D414" s="158"/>
      <c r="E414" s="158"/>
      <c r="F414" s="159"/>
      <c r="G414" s="190"/>
      <c r="H414" s="168"/>
      <c r="I414" s="161"/>
      <c r="J414" s="210"/>
      <c r="K414" s="233"/>
      <c r="L414" s="91"/>
      <c r="M414" s="92"/>
    </row>
    <row r="415" spans="1:13" s="45" customFormat="1" ht="8.5500000000000007" customHeight="1" x14ac:dyDescent="0.2">
      <c r="A415" s="98"/>
      <c r="B415" s="201" t="s">
        <v>871</v>
      </c>
      <c r="C415" s="201"/>
      <c r="D415" s="201"/>
      <c r="E415" s="201"/>
      <c r="F415" s="157"/>
      <c r="G415" s="189">
        <v>2003</v>
      </c>
      <c r="H415" s="167">
        <v>100</v>
      </c>
      <c r="I415" s="160">
        <v>99</v>
      </c>
      <c r="J415" s="209" t="s">
        <v>226</v>
      </c>
      <c r="K415" s="232">
        <v>4</v>
      </c>
      <c r="L415" s="91"/>
      <c r="M415" s="92"/>
    </row>
    <row r="416" spans="1:13" s="45" customFormat="1" ht="8.5500000000000007" customHeight="1" x14ac:dyDescent="0.2">
      <c r="A416" s="98"/>
      <c r="B416" s="158"/>
      <c r="C416" s="158"/>
      <c r="D416" s="158"/>
      <c r="E416" s="158"/>
      <c r="F416" s="159"/>
      <c r="G416" s="190"/>
      <c r="H416" s="168"/>
      <c r="I416" s="161"/>
      <c r="J416" s="210"/>
      <c r="K416" s="233"/>
      <c r="L416" s="91"/>
      <c r="M416" s="92"/>
    </row>
    <row r="417" spans="1:13" s="45" customFormat="1" ht="8.5500000000000007" customHeight="1" x14ac:dyDescent="0.2">
      <c r="A417" s="98"/>
      <c r="B417" s="201" t="s">
        <v>871</v>
      </c>
      <c r="C417" s="201"/>
      <c r="D417" s="201"/>
      <c r="E417" s="201"/>
      <c r="F417" s="157"/>
      <c r="G417" s="189">
        <v>2007</v>
      </c>
      <c r="H417" s="167">
        <v>100</v>
      </c>
      <c r="I417" s="160"/>
      <c r="J417" s="209" t="s">
        <v>707</v>
      </c>
      <c r="K417" s="232">
        <v>2</v>
      </c>
      <c r="L417" s="91"/>
      <c r="M417" s="92"/>
    </row>
    <row r="418" spans="1:13" s="45" customFormat="1" ht="8.5500000000000007" customHeight="1" x14ac:dyDescent="0.2">
      <c r="A418" s="98"/>
      <c r="B418" s="158"/>
      <c r="C418" s="158"/>
      <c r="D418" s="158"/>
      <c r="E418" s="158"/>
      <c r="F418" s="159"/>
      <c r="G418" s="190"/>
      <c r="H418" s="168"/>
      <c r="I418" s="161"/>
      <c r="J418" s="210"/>
      <c r="K418" s="233"/>
      <c r="L418" s="91"/>
      <c r="M418" s="92"/>
    </row>
    <row r="419" spans="1:13" s="45" customFormat="1" ht="8.5500000000000007" customHeight="1" x14ac:dyDescent="0.2">
      <c r="A419" s="98"/>
      <c r="B419" s="201" t="s">
        <v>397</v>
      </c>
      <c r="C419" s="201"/>
      <c r="D419" s="201"/>
      <c r="E419" s="201"/>
      <c r="F419" s="157"/>
      <c r="G419" s="189">
        <v>2003</v>
      </c>
      <c r="H419" s="167" t="s">
        <v>627</v>
      </c>
      <c r="I419" s="160">
        <v>92</v>
      </c>
      <c r="J419" s="209" t="s">
        <v>401</v>
      </c>
      <c r="K419" s="232">
        <v>3</v>
      </c>
      <c r="L419" s="91"/>
      <c r="M419" s="92"/>
    </row>
    <row r="420" spans="1:13" s="45" customFormat="1" ht="8.5500000000000007" customHeight="1" x14ac:dyDescent="0.2">
      <c r="A420" s="98"/>
      <c r="B420" s="158"/>
      <c r="C420" s="158"/>
      <c r="D420" s="158"/>
      <c r="E420" s="158"/>
      <c r="F420" s="159"/>
      <c r="G420" s="190"/>
      <c r="H420" s="168"/>
      <c r="I420" s="161"/>
      <c r="J420" s="210"/>
      <c r="K420" s="233"/>
      <c r="L420" s="91"/>
      <c r="M420" s="92"/>
    </row>
    <row r="421" spans="1:13" s="45" customFormat="1" ht="8.5500000000000007" customHeight="1" x14ac:dyDescent="0.2">
      <c r="A421" s="98"/>
      <c r="B421" s="201" t="s">
        <v>397</v>
      </c>
      <c r="C421" s="201"/>
      <c r="D421" s="201"/>
      <c r="E421" s="201"/>
      <c r="F421" s="157"/>
      <c r="G421" s="189">
        <v>2005</v>
      </c>
      <c r="H421" s="167">
        <v>100</v>
      </c>
      <c r="I421" s="160">
        <v>96</v>
      </c>
      <c r="J421" s="209" t="s">
        <v>225</v>
      </c>
      <c r="K421" s="232">
        <v>4</v>
      </c>
      <c r="L421" s="91"/>
      <c r="M421" s="92"/>
    </row>
    <row r="422" spans="1:13" s="45" customFormat="1" ht="8.5500000000000007" customHeight="1" x14ac:dyDescent="0.2">
      <c r="A422" s="98"/>
      <c r="B422" s="158"/>
      <c r="C422" s="158"/>
      <c r="D422" s="158"/>
      <c r="E422" s="158"/>
      <c r="F422" s="159"/>
      <c r="G422" s="190"/>
      <c r="H422" s="168"/>
      <c r="I422" s="161"/>
      <c r="J422" s="210"/>
      <c r="K422" s="233"/>
      <c r="L422" s="91"/>
      <c r="M422" s="92"/>
    </row>
    <row r="423" spans="1:13" s="45" customFormat="1" ht="8.5500000000000007" customHeight="1" x14ac:dyDescent="0.2">
      <c r="A423" s="98"/>
      <c r="B423" s="201" t="s">
        <v>411</v>
      </c>
      <c r="C423" s="201"/>
      <c r="D423" s="201"/>
      <c r="E423" s="201"/>
      <c r="F423" s="157"/>
      <c r="G423" s="189">
        <v>2005</v>
      </c>
      <c r="H423" s="167">
        <v>100</v>
      </c>
      <c r="I423" s="160">
        <v>96</v>
      </c>
      <c r="J423" s="209" t="s">
        <v>225</v>
      </c>
      <c r="K423" s="232">
        <v>3</v>
      </c>
      <c r="L423" s="91"/>
      <c r="M423" s="92"/>
    </row>
    <row r="424" spans="1:13" s="45" customFormat="1" ht="8.5500000000000007" customHeight="1" x14ac:dyDescent="0.2">
      <c r="A424" s="98"/>
      <c r="B424" s="158"/>
      <c r="C424" s="158"/>
      <c r="D424" s="158"/>
      <c r="E424" s="158"/>
      <c r="F424" s="159"/>
      <c r="G424" s="190"/>
      <c r="H424" s="168"/>
      <c r="I424" s="161"/>
      <c r="J424" s="210"/>
      <c r="K424" s="233"/>
      <c r="L424" s="91"/>
      <c r="M424" s="92"/>
    </row>
    <row r="425" spans="1:13" s="45" customFormat="1" ht="8.5500000000000007" customHeight="1" x14ac:dyDescent="0.2">
      <c r="A425" s="98"/>
      <c r="B425" s="201" t="s">
        <v>411</v>
      </c>
      <c r="C425" s="201"/>
      <c r="D425" s="201"/>
      <c r="E425" s="201"/>
      <c r="F425" s="157"/>
      <c r="G425" s="189">
        <v>2007</v>
      </c>
      <c r="H425" s="167">
        <v>100</v>
      </c>
      <c r="I425" s="160">
        <v>96</v>
      </c>
      <c r="J425" s="209" t="s">
        <v>314</v>
      </c>
      <c r="K425" s="232">
        <v>3</v>
      </c>
      <c r="L425" s="91"/>
      <c r="M425" s="92"/>
    </row>
    <row r="426" spans="1:13" s="45" customFormat="1" ht="8.5500000000000007" customHeight="1" x14ac:dyDescent="0.2">
      <c r="A426" s="98"/>
      <c r="B426" s="158"/>
      <c r="C426" s="158"/>
      <c r="D426" s="158"/>
      <c r="E426" s="158"/>
      <c r="F426" s="159"/>
      <c r="G426" s="190"/>
      <c r="H426" s="168"/>
      <c r="I426" s="161"/>
      <c r="J426" s="210"/>
      <c r="K426" s="233"/>
      <c r="L426" s="91"/>
      <c r="M426" s="92"/>
    </row>
    <row r="427" spans="1:13" s="45" customFormat="1" ht="8.5500000000000007" customHeight="1" x14ac:dyDescent="0.2">
      <c r="A427" s="98"/>
      <c r="B427" s="201" t="s">
        <v>1422</v>
      </c>
      <c r="C427" s="201"/>
      <c r="D427" s="201"/>
      <c r="E427" s="201"/>
      <c r="F427" s="157"/>
      <c r="G427" s="189">
        <v>2007</v>
      </c>
      <c r="H427" s="167">
        <v>92</v>
      </c>
      <c r="I427" s="203">
        <v>98</v>
      </c>
      <c r="J427" s="209" t="s">
        <v>408</v>
      </c>
      <c r="K427" s="232">
        <v>3</v>
      </c>
      <c r="L427" s="91"/>
      <c r="M427" s="92"/>
    </row>
    <row r="428" spans="1:13" s="45" customFormat="1" ht="8.5500000000000007" customHeight="1" x14ac:dyDescent="0.2">
      <c r="A428" s="98"/>
      <c r="B428" s="158"/>
      <c r="C428" s="158"/>
      <c r="D428" s="158"/>
      <c r="E428" s="158"/>
      <c r="F428" s="159"/>
      <c r="G428" s="190"/>
      <c r="H428" s="168"/>
      <c r="I428" s="204"/>
      <c r="J428" s="210"/>
      <c r="K428" s="233"/>
      <c r="L428" s="91"/>
      <c r="M428" s="92"/>
    </row>
    <row r="429" spans="1:13" s="45" customFormat="1" ht="8.5500000000000007" customHeight="1" x14ac:dyDescent="0.2">
      <c r="A429" s="98"/>
      <c r="B429" s="201" t="s">
        <v>1525</v>
      </c>
      <c r="C429" s="201"/>
      <c r="D429" s="201"/>
      <c r="E429" s="201"/>
      <c r="F429" s="157"/>
      <c r="G429" s="189">
        <v>2012</v>
      </c>
      <c r="H429" s="167">
        <v>95</v>
      </c>
      <c r="I429" s="203"/>
      <c r="J429" s="209" t="s">
        <v>317</v>
      </c>
      <c r="K429" s="232">
        <v>4</v>
      </c>
      <c r="L429" s="91"/>
      <c r="M429" s="92"/>
    </row>
    <row r="430" spans="1:13" s="45" customFormat="1" ht="8.5500000000000007" customHeight="1" x14ac:dyDescent="0.2">
      <c r="A430" s="98"/>
      <c r="B430" s="158"/>
      <c r="C430" s="158"/>
      <c r="D430" s="158"/>
      <c r="E430" s="158"/>
      <c r="F430" s="159"/>
      <c r="G430" s="190"/>
      <c r="H430" s="168"/>
      <c r="I430" s="204"/>
      <c r="J430" s="210"/>
      <c r="K430" s="233"/>
      <c r="L430" s="91"/>
      <c r="M430" s="92"/>
    </row>
    <row r="431" spans="1:13" s="45" customFormat="1" ht="8.5500000000000007" customHeight="1" x14ac:dyDescent="0.2">
      <c r="A431" s="98"/>
      <c r="B431" s="201" t="s">
        <v>728</v>
      </c>
      <c r="C431" s="201"/>
      <c r="D431" s="201"/>
      <c r="E431" s="201"/>
      <c r="F431" s="157"/>
      <c r="G431" s="189">
        <v>2007</v>
      </c>
      <c r="H431" s="167">
        <v>96</v>
      </c>
      <c r="I431" s="160">
        <v>94</v>
      </c>
      <c r="J431" s="209" t="s">
        <v>34</v>
      </c>
      <c r="K431" s="232">
        <v>2</v>
      </c>
      <c r="L431" s="91"/>
      <c r="M431" s="92"/>
    </row>
    <row r="432" spans="1:13" s="45" customFormat="1" ht="8.5500000000000007" customHeight="1" x14ac:dyDescent="0.2">
      <c r="A432" s="98"/>
      <c r="B432" s="158"/>
      <c r="C432" s="158"/>
      <c r="D432" s="158"/>
      <c r="E432" s="158"/>
      <c r="F432" s="159"/>
      <c r="G432" s="190"/>
      <c r="H432" s="168"/>
      <c r="I432" s="161"/>
      <c r="J432" s="210"/>
      <c r="K432" s="233"/>
      <c r="L432" s="91"/>
      <c r="M432" s="92"/>
    </row>
    <row r="433" spans="1:13" s="45" customFormat="1" ht="8.5500000000000007" customHeight="1" x14ac:dyDescent="0.2">
      <c r="A433" s="98"/>
      <c r="B433" s="201" t="s">
        <v>1381</v>
      </c>
      <c r="C433" s="201"/>
      <c r="D433" s="201"/>
      <c r="E433" s="201"/>
      <c r="F433" s="157"/>
      <c r="G433" s="189">
        <v>2007</v>
      </c>
      <c r="H433" s="167">
        <v>98</v>
      </c>
      <c r="I433" s="160"/>
      <c r="J433" s="209" t="s">
        <v>408</v>
      </c>
      <c r="K433" s="232">
        <v>2</v>
      </c>
      <c r="L433" s="91"/>
      <c r="M433" s="92"/>
    </row>
    <row r="434" spans="1:13" s="45" customFormat="1" ht="8.5500000000000007" customHeight="1" x14ac:dyDescent="0.2">
      <c r="A434" s="98"/>
      <c r="B434" s="158"/>
      <c r="C434" s="158"/>
      <c r="D434" s="158"/>
      <c r="E434" s="158"/>
      <c r="F434" s="159"/>
      <c r="G434" s="190"/>
      <c r="H434" s="168"/>
      <c r="I434" s="161"/>
      <c r="J434" s="210"/>
      <c r="K434" s="233"/>
      <c r="L434" s="91"/>
      <c r="M434" s="92"/>
    </row>
    <row r="435" spans="1:13" s="45" customFormat="1" ht="8.5500000000000007" customHeight="1" x14ac:dyDescent="0.2">
      <c r="A435" s="98"/>
      <c r="B435" s="201" t="s">
        <v>690</v>
      </c>
      <c r="C435" s="201"/>
      <c r="D435" s="201"/>
      <c r="E435" s="201"/>
      <c r="F435" s="157"/>
      <c r="G435" s="189">
        <v>2007</v>
      </c>
      <c r="H435" s="167" t="s">
        <v>626</v>
      </c>
      <c r="I435" s="160">
        <v>95</v>
      </c>
      <c r="J435" s="209" t="s">
        <v>23</v>
      </c>
      <c r="K435" s="232">
        <v>1</v>
      </c>
      <c r="L435" s="91"/>
      <c r="M435" s="92"/>
    </row>
    <row r="436" spans="1:13" s="45" customFormat="1" ht="8.5500000000000007" customHeight="1" x14ac:dyDescent="0.2">
      <c r="A436" s="98"/>
      <c r="B436" s="158"/>
      <c r="C436" s="158"/>
      <c r="D436" s="158"/>
      <c r="E436" s="158"/>
      <c r="F436" s="159"/>
      <c r="G436" s="190"/>
      <c r="H436" s="168"/>
      <c r="I436" s="161"/>
      <c r="J436" s="210"/>
      <c r="K436" s="233"/>
      <c r="L436" s="91"/>
      <c r="M436" s="92"/>
    </row>
    <row r="437" spans="1:13" s="45" customFormat="1" ht="8.5500000000000007" customHeight="1" x14ac:dyDescent="0.2">
      <c r="A437" s="98"/>
      <c r="B437" s="213" t="s">
        <v>790</v>
      </c>
      <c r="C437" s="213"/>
      <c r="D437" s="213"/>
      <c r="E437" s="213"/>
      <c r="F437" s="213"/>
      <c r="G437" s="47"/>
      <c r="H437" s="47"/>
      <c r="I437" s="48"/>
      <c r="J437" s="104"/>
      <c r="K437" s="236">
        <v>237</v>
      </c>
      <c r="L437" s="290">
        <f>+K437</f>
        <v>237</v>
      </c>
      <c r="M437" s="92"/>
    </row>
    <row r="438" spans="1:13" s="45" customFormat="1" ht="8.5500000000000007" customHeight="1" x14ac:dyDescent="0.2">
      <c r="A438" s="98"/>
      <c r="B438" s="171"/>
      <c r="C438" s="171"/>
      <c r="D438" s="171"/>
      <c r="E438" s="171"/>
      <c r="F438" s="171"/>
      <c r="G438" s="54"/>
      <c r="H438" s="54"/>
      <c r="I438" s="49"/>
      <c r="J438" s="105"/>
      <c r="K438" s="225"/>
      <c r="L438" s="231"/>
      <c r="M438" s="92"/>
    </row>
    <row r="439" spans="1:13" s="45" customFormat="1" ht="8.5500000000000007" customHeight="1" x14ac:dyDescent="0.2">
      <c r="A439" s="98"/>
      <c r="B439" s="213" t="s">
        <v>811</v>
      </c>
      <c r="C439" s="213"/>
      <c r="D439" s="213"/>
      <c r="E439" s="213"/>
      <c r="F439" s="213"/>
      <c r="G439" s="47"/>
      <c r="H439" s="47"/>
      <c r="I439" s="48"/>
      <c r="J439" s="104"/>
      <c r="K439" s="236">
        <v>492</v>
      </c>
      <c r="L439" s="290"/>
      <c r="M439" s="290">
        <f>+K439</f>
        <v>492</v>
      </c>
    </row>
    <row r="440" spans="1:13" s="45" customFormat="1" ht="8.5500000000000007" customHeight="1" x14ac:dyDescent="0.2">
      <c r="A440" s="98"/>
      <c r="B440" s="171"/>
      <c r="C440" s="171"/>
      <c r="D440" s="171"/>
      <c r="E440" s="171"/>
      <c r="F440" s="171"/>
      <c r="G440" s="54"/>
      <c r="H440" s="54"/>
      <c r="I440" s="49"/>
      <c r="J440" s="105"/>
      <c r="K440" s="225"/>
      <c r="L440" s="231"/>
      <c r="M440" s="231"/>
    </row>
    <row r="441" spans="1:13" s="45" customFormat="1" ht="8.5500000000000007" customHeight="1" x14ac:dyDescent="0.2">
      <c r="A441" s="98"/>
      <c r="B441" s="291" t="s">
        <v>162</v>
      </c>
      <c r="C441" s="291"/>
      <c r="D441" s="291"/>
      <c r="E441" s="291"/>
      <c r="F441" s="291"/>
      <c r="G441" s="47"/>
      <c r="H441" s="47"/>
      <c r="I441" s="48"/>
      <c r="J441" s="104"/>
      <c r="K441" s="164"/>
      <c r="L441" s="91"/>
      <c r="M441" s="92"/>
    </row>
    <row r="442" spans="1:13" s="45" customFormat="1" ht="8.5500000000000007" customHeight="1" x14ac:dyDescent="0.2">
      <c r="A442" s="98"/>
      <c r="B442" s="219"/>
      <c r="C442" s="219"/>
      <c r="D442" s="219"/>
      <c r="E442" s="219"/>
      <c r="F442" s="219"/>
      <c r="G442" s="54"/>
      <c r="H442" s="54"/>
      <c r="I442" s="49"/>
      <c r="J442" s="105"/>
      <c r="K442" s="165"/>
      <c r="L442" s="91"/>
      <c r="M442" s="92"/>
    </row>
    <row r="443" spans="1:13" s="45" customFormat="1" ht="8.5500000000000007" customHeight="1" x14ac:dyDescent="0.2">
      <c r="A443" s="98"/>
      <c r="B443" s="201" t="s">
        <v>1325</v>
      </c>
      <c r="C443" s="201"/>
      <c r="D443" s="201"/>
      <c r="E443" s="201"/>
      <c r="F443" s="157"/>
      <c r="G443" s="189">
        <v>2010</v>
      </c>
      <c r="H443" s="167">
        <v>96</v>
      </c>
      <c r="I443" s="160"/>
      <c r="J443" s="255"/>
      <c r="K443" s="234">
        <v>1</v>
      </c>
      <c r="L443" s="91"/>
      <c r="M443" s="92"/>
    </row>
    <row r="444" spans="1:13" s="45" customFormat="1" ht="8.5500000000000007" customHeight="1" x14ac:dyDescent="0.2">
      <c r="A444" s="98"/>
      <c r="B444" s="158"/>
      <c r="C444" s="158"/>
      <c r="D444" s="158"/>
      <c r="E444" s="158"/>
      <c r="F444" s="159"/>
      <c r="G444" s="190"/>
      <c r="H444" s="168"/>
      <c r="I444" s="161"/>
      <c r="J444" s="256"/>
      <c r="K444" s="235"/>
      <c r="L444" s="91"/>
      <c r="M444" s="92"/>
    </row>
    <row r="445" spans="1:13" s="45" customFormat="1" ht="8.5500000000000007" customHeight="1" x14ac:dyDescent="0.2">
      <c r="A445" s="98"/>
      <c r="B445" s="201" t="s">
        <v>2003</v>
      </c>
      <c r="C445" s="201"/>
      <c r="D445" s="201"/>
      <c r="E445" s="201"/>
      <c r="F445" s="157"/>
      <c r="G445" s="189">
        <v>2018</v>
      </c>
      <c r="H445" s="167"/>
      <c r="I445" s="160"/>
      <c r="J445" s="255"/>
      <c r="K445" s="234">
        <v>2</v>
      </c>
      <c r="L445" s="91"/>
      <c r="M445" s="92"/>
    </row>
    <row r="446" spans="1:13" s="45" customFormat="1" ht="8.5500000000000007" customHeight="1" x14ac:dyDescent="0.2">
      <c r="A446" s="98"/>
      <c r="B446" s="158"/>
      <c r="C446" s="158"/>
      <c r="D446" s="158"/>
      <c r="E446" s="158"/>
      <c r="F446" s="159"/>
      <c r="G446" s="190"/>
      <c r="H446" s="168"/>
      <c r="I446" s="161"/>
      <c r="J446" s="256"/>
      <c r="K446" s="235"/>
      <c r="L446" s="91"/>
      <c r="M446" s="92"/>
    </row>
    <row r="447" spans="1:13" s="45" customFormat="1" ht="8.5500000000000007" customHeight="1" x14ac:dyDescent="0.2">
      <c r="A447" s="98"/>
      <c r="B447" s="201" t="s">
        <v>1323</v>
      </c>
      <c r="C447" s="201"/>
      <c r="D447" s="201"/>
      <c r="E447" s="201"/>
      <c r="F447" s="157"/>
      <c r="G447" s="189">
        <v>2005</v>
      </c>
      <c r="H447" s="167" t="s">
        <v>3</v>
      </c>
      <c r="I447" s="160"/>
      <c r="J447" s="255"/>
      <c r="K447" s="234">
        <v>1</v>
      </c>
      <c r="L447" s="91"/>
      <c r="M447" s="92"/>
    </row>
    <row r="448" spans="1:13" s="45" customFormat="1" ht="8.5500000000000007" customHeight="1" x14ac:dyDescent="0.2">
      <c r="A448" s="98"/>
      <c r="B448" s="158"/>
      <c r="C448" s="158"/>
      <c r="D448" s="158"/>
      <c r="E448" s="158"/>
      <c r="F448" s="159"/>
      <c r="G448" s="190"/>
      <c r="H448" s="168"/>
      <c r="I448" s="161"/>
      <c r="J448" s="256"/>
      <c r="K448" s="235"/>
      <c r="L448" s="91"/>
      <c r="M448" s="92"/>
    </row>
    <row r="449" spans="1:13" s="45" customFormat="1" ht="8.5500000000000007" customHeight="1" x14ac:dyDescent="0.2">
      <c r="A449" s="98"/>
      <c r="B449" s="201" t="s">
        <v>1323</v>
      </c>
      <c r="C449" s="201"/>
      <c r="D449" s="201"/>
      <c r="E449" s="201"/>
      <c r="F449" s="157"/>
      <c r="G449" s="189">
        <v>2018</v>
      </c>
      <c r="H449" s="167"/>
      <c r="I449" s="160"/>
      <c r="J449" s="255"/>
      <c r="K449" s="234">
        <v>2</v>
      </c>
      <c r="L449" s="91"/>
      <c r="M449" s="92"/>
    </row>
    <row r="450" spans="1:13" s="45" customFormat="1" ht="8.5500000000000007" customHeight="1" x14ac:dyDescent="0.2">
      <c r="A450" s="98"/>
      <c r="B450" s="158"/>
      <c r="C450" s="158"/>
      <c r="D450" s="158"/>
      <c r="E450" s="158"/>
      <c r="F450" s="159"/>
      <c r="G450" s="190"/>
      <c r="H450" s="168"/>
      <c r="I450" s="161"/>
      <c r="J450" s="256"/>
      <c r="K450" s="235"/>
      <c r="L450" s="91"/>
      <c r="M450" s="92"/>
    </row>
    <row r="451" spans="1:13" s="45" customFormat="1" ht="8.5500000000000007" customHeight="1" x14ac:dyDescent="0.2">
      <c r="A451" s="98"/>
      <c r="B451" s="201" t="s">
        <v>1324</v>
      </c>
      <c r="C451" s="201"/>
      <c r="D451" s="201"/>
      <c r="E451" s="201"/>
      <c r="F451" s="157"/>
      <c r="G451" s="189">
        <v>2009</v>
      </c>
      <c r="H451" s="167" t="s">
        <v>628</v>
      </c>
      <c r="I451" s="160"/>
      <c r="J451" s="255"/>
      <c r="K451" s="234">
        <v>1</v>
      </c>
      <c r="L451" s="91"/>
      <c r="M451" s="92"/>
    </row>
    <row r="452" spans="1:13" s="45" customFormat="1" ht="8.5500000000000007" customHeight="1" x14ac:dyDescent="0.2">
      <c r="A452" s="98"/>
      <c r="B452" s="158"/>
      <c r="C452" s="158"/>
      <c r="D452" s="158"/>
      <c r="E452" s="158"/>
      <c r="F452" s="159"/>
      <c r="G452" s="190"/>
      <c r="H452" s="168"/>
      <c r="I452" s="161"/>
      <c r="J452" s="256"/>
      <c r="K452" s="235"/>
      <c r="L452" s="91"/>
      <c r="M452" s="92"/>
    </row>
    <row r="453" spans="1:13" s="45" customFormat="1" ht="8.5500000000000007" customHeight="1" x14ac:dyDescent="0.2">
      <c r="A453" s="98"/>
      <c r="B453" s="201" t="s">
        <v>1324</v>
      </c>
      <c r="C453" s="201"/>
      <c r="D453" s="201"/>
      <c r="E453" s="201"/>
      <c r="F453" s="157"/>
      <c r="G453" s="189">
        <v>2018</v>
      </c>
      <c r="H453" s="167"/>
      <c r="I453" s="160"/>
      <c r="J453" s="255"/>
      <c r="K453" s="234">
        <v>2</v>
      </c>
      <c r="L453" s="91"/>
      <c r="M453" s="92"/>
    </row>
    <row r="454" spans="1:13" s="45" customFormat="1" ht="8.5500000000000007" customHeight="1" x14ac:dyDescent="0.2">
      <c r="A454" s="98"/>
      <c r="B454" s="158"/>
      <c r="C454" s="158"/>
      <c r="D454" s="158"/>
      <c r="E454" s="158"/>
      <c r="F454" s="159"/>
      <c r="G454" s="190"/>
      <c r="H454" s="168"/>
      <c r="I454" s="161"/>
      <c r="J454" s="256"/>
      <c r="K454" s="235"/>
      <c r="L454" s="91"/>
      <c r="M454" s="92"/>
    </row>
    <row r="455" spans="1:13" s="45" customFormat="1" ht="8.5500000000000007" customHeight="1" x14ac:dyDescent="0.2">
      <c r="A455" s="98"/>
      <c r="B455" s="201" t="s">
        <v>1724</v>
      </c>
      <c r="C455" s="201"/>
      <c r="D455" s="201"/>
      <c r="E455" s="201"/>
      <c r="F455" s="157"/>
      <c r="G455" s="189">
        <v>2019</v>
      </c>
      <c r="H455" s="167"/>
      <c r="I455" s="160"/>
      <c r="J455" s="255"/>
      <c r="K455" s="234">
        <v>3</v>
      </c>
      <c r="L455" s="91"/>
      <c r="M455" s="92"/>
    </row>
    <row r="456" spans="1:13" s="45" customFormat="1" ht="8.5500000000000007" customHeight="1" x14ac:dyDescent="0.2">
      <c r="A456" s="98"/>
      <c r="B456" s="158"/>
      <c r="C456" s="158"/>
      <c r="D456" s="158"/>
      <c r="E456" s="158"/>
      <c r="F456" s="159"/>
      <c r="G456" s="190"/>
      <c r="H456" s="168"/>
      <c r="I456" s="161"/>
      <c r="J456" s="256"/>
      <c r="K456" s="235"/>
      <c r="L456" s="91"/>
      <c r="M456" s="92"/>
    </row>
    <row r="457" spans="1:13" s="45" customFormat="1" ht="8.5500000000000007" customHeight="1" x14ac:dyDescent="0.2">
      <c r="A457" s="98"/>
      <c r="B457" s="201" t="s">
        <v>1803</v>
      </c>
      <c r="C457" s="201"/>
      <c r="D457" s="201"/>
      <c r="E457" s="201"/>
      <c r="F457" s="157"/>
      <c r="G457" s="189">
        <v>2018</v>
      </c>
      <c r="H457" s="167"/>
      <c r="I457" s="160"/>
      <c r="J457" s="255"/>
      <c r="K457" s="234">
        <v>2</v>
      </c>
      <c r="L457" s="91"/>
      <c r="M457" s="92"/>
    </row>
    <row r="458" spans="1:13" s="45" customFormat="1" ht="8.5500000000000007" customHeight="1" x14ac:dyDescent="0.2">
      <c r="A458" s="98"/>
      <c r="B458" s="158"/>
      <c r="C458" s="158"/>
      <c r="D458" s="158"/>
      <c r="E458" s="158"/>
      <c r="F458" s="159"/>
      <c r="G458" s="190"/>
      <c r="H458" s="168"/>
      <c r="I458" s="161"/>
      <c r="J458" s="256"/>
      <c r="K458" s="235"/>
      <c r="L458" s="91"/>
      <c r="M458" s="92"/>
    </row>
    <row r="459" spans="1:13" s="45" customFormat="1" ht="8.5500000000000007" customHeight="1" x14ac:dyDescent="0.2">
      <c r="A459" s="98"/>
      <c r="B459" s="213" t="s">
        <v>2002</v>
      </c>
      <c r="C459" s="213"/>
      <c r="D459" s="213"/>
      <c r="E459" s="213"/>
      <c r="F459" s="213"/>
      <c r="G459" s="71"/>
      <c r="H459" s="65"/>
      <c r="I459" s="65"/>
      <c r="J459" s="108"/>
      <c r="K459" s="164"/>
      <c r="L459" s="91"/>
      <c r="M459" s="92"/>
    </row>
    <row r="460" spans="1:13" s="45" customFormat="1" ht="8.5500000000000007" customHeight="1" x14ac:dyDescent="0.2">
      <c r="A460" s="98"/>
      <c r="B460" s="171"/>
      <c r="C460" s="171"/>
      <c r="D460" s="171"/>
      <c r="E460" s="171"/>
      <c r="F460" s="171"/>
      <c r="G460" s="72"/>
      <c r="H460" s="66"/>
      <c r="I460" s="66"/>
      <c r="J460" s="109"/>
      <c r="K460" s="165"/>
      <c r="L460" s="91"/>
      <c r="M460" s="92"/>
    </row>
    <row r="461" spans="1:13" s="45" customFormat="1" ht="8.5500000000000007" customHeight="1" x14ac:dyDescent="0.2">
      <c r="A461" s="98"/>
      <c r="B461" s="201" t="s">
        <v>1806</v>
      </c>
      <c r="C461" s="201"/>
      <c r="D461" s="201"/>
      <c r="E461" s="201"/>
      <c r="F461" s="157"/>
      <c r="G461" s="189">
        <v>2020</v>
      </c>
      <c r="H461" s="167"/>
      <c r="I461" s="160"/>
      <c r="J461" s="255"/>
      <c r="K461" s="234">
        <v>2</v>
      </c>
      <c r="L461" s="91"/>
      <c r="M461" s="92"/>
    </row>
    <row r="462" spans="1:13" s="45" customFormat="1" ht="8.5500000000000007" customHeight="1" x14ac:dyDescent="0.2">
      <c r="A462" s="98"/>
      <c r="B462" s="158"/>
      <c r="C462" s="158"/>
      <c r="D462" s="158"/>
      <c r="E462" s="158"/>
      <c r="F462" s="159"/>
      <c r="G462" s="190"/>
      <c r="H462" s="168"/>
      <c r="I462" s="161"/>
      <c r="J462" s="256"/>
      <c r="K462" s="235"/>
      <c r="L462" s="91"/>
      <c r="M462" s="92"/>
    </row>
    <row r="463" spans="1:13" s="45" customFormat="1" ht="8.5500000000000007" customHeight="1" x14ac:dyDescent="0.2">
      <c r="A463" s="98"/>
      <c r="B463" s="213" t="s">
        <v>795</v>
      </c>
      <c r="C463" s="213"/>
      <c r="D463" s="213"/>
      <c r="E463" s="213"/>
      <c r="F463" s="213"/>
      <c r="G463" s="47"/>
      <c r="H463" s="47"/>
      <c r="I463" s="48"/>
      <c r="J463" s="104"/>
      <c r="K463" s="236">
        <v>16</v>
      </c>
      <c r="L463" s="290">
        <f>+K463</f>
        <v>16</v>
      </c>
      <c r="M463" s="290">
        <f>+K463</f>
        <v>16</v>
      </c>
    </row>
    <row r="464" spans="1:13" s="45" customFormat="1" ht="8.5500000000000007" customHeight="1" x14ac:dyDescent="0.2">
      <c r="A464" s="98"/>
      <c r="B464" s="171"/>
      <c r="C464" s="171"/>
      <c r="D464" s="171"/>
      <c r="E464" s="171"/>
      <c r="F464" s="171"/>
      <c r="G464" s="54"/>
      <c r="H464" s="54"/>
      <c r="I464" s="49"/>
      <c r="J464" s="105"/>
      <c r="K464" s="225"/>
      <c r="L464" s="231"/>
      <c r="M464" s="231"/>
    </row>
    <row r="465" spans="1:13" s="45" customFormat="1" ht="8.5500000000000007" customHeight="1" x14ac:dyDescent="0.2">
      <c r="A465" s="98"/>
      <c r="B465" s="286" t="s">
        <v>160</v>
      </c>
      <c r="C465" s="286"/>
      <c r="D465" s="286"/>
      <c r="E465" s="286"/>
      <c r="F465" s="286"/>
      <c r="G465" s="75"/>
      <c r="H465" s="75"/>
      <c r="I465" s="75"/>
      <c r="J465" s="106"/>
      <c r="K465" s="75"/>
      <c r="L465" s="91"/>
      <c r="M465" s="92"/>
    </row>
    <row r="466" spans="1:13" s="45" customFormat="1" ht="8.5500000000000007" customHeight="1" x14ac:dyDescent="0.2">
      <c r="A466" s="98"/>
      <c r="B466" s="287"/>
      <c r="C466" s="287"/>
      <c r="D466" s="287"/>
      <c r="E466" s="287"/>
      <c r="F466" s="287"/>
      <c r="G466" s="76"/>
      <c r="H466" s="76"/>
      <c r="I466" s="76"/>
      <c r="J466" s="107"/>
      <c r="K466" s="76"/>
      <c r="L466" s="91"/>
      <c r="M466" s="92"/>
    </row>
    <row r="467" spans="1:13" s="45" customFormat="1" ht="8.5500000000000007" customHeight="1" x14ac:dyDescent="0.2">
      <c r="A467" s="98"/>
      <c r="B467" s="201" t="s">
        <v>161</v>
      </c>
      <c r="C467" s="201"/>
      <c r="D467" s="50"/>
      <c r="E467" s="51"/>
      <c r="F467" s="58"/>
      <c r="G467" s="251">
        <v>2005</v>
      </c>
      <c r="H467" s="253" t="s">
        <v>637</v>
      </c>
      <c r="I467" s="160">
        <v>96</v>
      </c>
      <c r="J467" s="209" t="s">
        <v>251</v>
      </c>
      <c r="K467" s="234">
        <v>3</v>
      </c>
      <c r="L467" s="91"/>
      <c r="M467" s="92"/>
    </row>
    <row r="468" spans="1:13" s="45" customFormat="1" ht="8.5500000000000007" customHeight="1" x14ac:dyDescent="0.2">
      <c r="A468" s="98"/>
      <c r="B468" s="158"/>
      <c r="C468" s="158"/>
      <c r="D468" s="52"/>
      <c r="E468" s="53"/>
      <c r="F468" s="59"/>
      <c r="G468" s="252"/>
      <c r="H468" s="254"/>
      <c r="I468" s="161"/>
      <c r="J468" s="210"/>
      <c r="K468" s="235"/>
      <c r="L468" s="91"/>
      <c r="M468" s="92"/>
    </row>
    <row r="469" spans="1:13" s="45" customFormat="1" ht="8.5500000000000007" customHeight="1" x14ac:dyDescent="0.2">
      <c r="A469" s="98"/>
      <c r="B469" s="201" t="s">
        <v>161</v>
      </c>
      <c r="C469" s="201"/>
      <c r="D469" s="50"/>
      <c r="E469" s="51"/>
      <c r="F469" s="58"/>
      <c r="G469" s="251">
        <v>2009</v>
      </c>
      <c r="H469" s="253">
        <v>99</v>
      </c>
      <c r="I469" s="160"/>
      <c r="J469" s="209" t="s">
        <v>342</v>
      </c>
      <c r="K469" s="234">
        <v>2</v>
      </c>
      <c r="L469" s="91"/>
      <c r="M469" s="92"/>
    </row>
    <row r="470" spans="1:13" s="45" customFormat="1" ht="8.5500000000000007" customHeight="1" x14ac:dyDescent="0.2">
      <c r="A470" s="98"/>
      <c r="B470" s="158"/>
      <c r="C470" s="158"/>
      <c r="D470" s="52"/>
      <c r="E470" s="53"/>
      <c r="F470" s="59"/>
      <c r="G470" s="252"/>
      <c r="H470" s="254"/>
      <c r="I470" s="161"/>
      <c r="J470" s="210"/>
      <c r="K470" s="235"/>
      <c r="L470" s="91"/>
      <c r="M470" s="92"/>
    </row>
    <row r="471" spans="1:13" s="45" customFormat="1" ht="8.5500000000000007" customHeight="1" x14ac:dyDescent="0.2">
      <c r="A471" s="98"/>
      <c r="B471" s="201" t="s">
        <v>161</v>
      </c>
      <c r="C471" s="201"/>
      <c r="D471" s="50"/>
      <c r="E471" s="51"/>
      <c r="F471" s="58"/>
      <c r="G471" s="251">
        <v>2010</v>
      </c>
      <c r="H471" s="253" t="s">
        <v>630</v>
      </c>
      <c r="I471" s="160"/>
      <c r="J471" s="209"/>
      <c r="K471" s="234">
        <v>1</v>
      </c>
      <c r="L471" s="91"/>
      <c r="M471" s="92"/>
    </row>
    <row r="472" spans="1:13" s="45" customFormat="1" ht="8.5500000000000007" customHeight="1" x14ac:dyDescent="0.2">
      <c r="A472" s="98"/>
      <c r="B472" s="158"/>
      <c r="C472" s="158"/>
      <c r="D472" s="52"/>
      <c r="E472" s="53"/>
      <c r="F472" s="59"/>
      <c r="G472" s="252"/>
      <c r="H472" s="254"/>
      <c r="I472" s="161"/>
      <c r="J472" s="210"/>
      <c r="K472" s="235"/>
      <c r="L472" s="91"/>
      <c r="M472" s="92"/>
    </row>
    <row r="473" spans="1:13" s="45" customFormat="1" ht="8.5500000000000007" customHeight="1" x14ac:dyDescent="0.2">
      <c r="A473" s="98"/>
      <c r="B473" s="201" t="s">
        <v>161</v>
      </c>
      <c r="C473" s="201"/>
      <c r="D473" s="50"/>
      <c r="E473" s="51"/>
      <c r="F473" s="58"/>
      <c r="G473" s="251">
        <v>2011</v>
      </c>
      <c r="H473" s="253">
        <v>94</v>
      </c>
      <c r="I473" s="160"/>
      <c r="J473" s="209"/>
      <c r="K473" s="234">
        <v>2</v>
      </c>
      <c r="L473" s="91"/>
      <c r="M473" s="92"/>
    </row>
    <row r="474" spans="1:13" s="45" customFormat="1" ht="8.5500000000000007" customHeight="1" x14ac:dyDescent="0.2">
      <c r="A474" s="98"/>
      <c r="B474" s="158"/>
      <c r="C474" s="158"/>
      <c r="D474" s="52"/>
      <c r="E474" s="53"/>
      <c r="F474" s="59"/>
      <c r="G474" s="252"/>
      <c r="H474" s="254"/>
      <c r="I474" s="161"/>
      <c r="J474" s="210"/>
      <c r="K474" s="235"/>
      <c r="L474" s="91"/>
      <c r="M474" s="92"/>
    </row>
    <row r="475" spans="1:13" s="45" customFormat="1" ht="8.5500000000000007" customHeight="1" x14ac:dyDescent="0.2">
      <c r="A475" s="98"/>
      <c r="B475" s="213" t="s">
        <v>791</v>
      </c>
      <c r="C475" s="213"/>
      <c r="D475" s="213"/>
      <c r="E475" s="213"/>
      <c r="F475" s="213"/>
      <c r="G475" s="47"/>
      <c r="H475" s="47"/>
      <c r="I475" s="48"/>
      <c r="J475" s="104"/>
      <c r="K475" s="236">
        <v>8</v>
      </c>
      <c r="L475" s="290">
        <f>+K475</f>
        <v>8</v>
      </c>
      <c r="M475" s="290">
        <f>+K475</f>
        <v>8</v>
      </c>
    </row>
    <row r="476" spans="1:13" s="45" customFormat="1" ht="8.5500000000000007" customHeight="1" x14ac:dyDescent="0.2">
      <c r="A476" s="98"/>
      <c r="B476" s="171"/>
      <c r="C476" s="171"/>
      <c r="D476" s="171"/>
      <c r="E476" s="171"/>
      <c r="F476" s="171"/>
      <c r="G476" s="54"/>
      <c r="H476" s="54"/>
      <c r="I476" s="49"/>
      <c r="J476" s="105"/>
      <c r="K476" s="225"/>
      <c r="L476" s="231"/>
      <c r="M476" s="231"/>
    </row>
    <row r="477" spans="1:13" s="45" customFormat="1" ht="8.5500000000000007" customHeight="1" x14ac:dyDescent="0.2">
      <c r="A477" s="98"/>
      <c r="B477" s="286" t="s">
        <v>1722</v>
      </c>
      <c r="C477" s="286"/>
      <c r="D477" s="286"/>
      <c r="E477" s="286"/>
      <c r="F477" s="286"/>
      <c r="G477" s="75"/>
      <c r="H477" s="75"/>
      <c r="I477" s="75"/>
      <c r="J477" s="106"/>
      <c r="K477" s="75"/>
      <c r="L477" s="91"/>
      <c r="M477" s="92"/>
    </row>
    <row r="478" spans="1:13" s="45" customFormat="1" ht="8.5500000000000007" customHeight="1" x14ac:dyDescent="0.2">
      <c r="A478" s="98"/>
      <c r="B478" s="287"/>
      <c r="C478" s="287"/>
      <c r="D478" s="287"/>
      <c r="E478" s="287"/>
      <c r="F478" s="287"/>
      <c r="G478" s="76"/>
      <c r="H478" s="76"/>
      <c r="I478" s="76"/>
      <c r="J478" s="107"/>
      <c r="K478" s="76"/>
      <c r="L478" s="91"/>
      <c r="M478" s="92"/>
    </row>
    <row r="479" spans="1:13" s="45" customFormat="1" ht="8.5500000000000007" customHeight="1" x14ac:dyDescent="0.2">
      <c r="A479" s="98"/>
      <c r="B479" s="281" t="s">
        <v>1805</v>
      </c>
      <c r="C479" s="281"/>
      <c r="D479" s="281"/>
      <c r="E479" s="281"/>
      <c r="F479" s="184"/>
      <c r="G479" s="189">
        <v>2021</v>
      </c>
      <c r="H479" s="167">
        <v>91</v>
      </c>
      <c r="I479" s="160"/>
      <c r="J479" s="288" t="s">
        <v>1787</v>
      </c>
      <c r="K479" s="232">
        <v>2</v>
      </c>
      <c r="L479" s="91"/>
      <c r="M479" s="92"/>
    </row>
    <row r="480" spans="1:13" s="45" customFormat="1" ht="8.5500000000000007" customHeight="1" x14ac:dyDescent="0.2">
      <c r="A480" s="98"/>
      <c r="B480" s="185"/>
      <c r="C480" s="185"/>
      <c r="D480" s="185"/>
      <c r="E480" s="185"/>
      <c r="F480" s="186"/>
      <c r="G480" s="190"/>
      <c r="H480" s="168"/>
      <c r="I480" s="161"/>
      <c r="J480" s="289"/>
      <c r="K480" s="233"/>
      <c r="L480" s="91"/>
      <c r="M480" s="92"/>
    </row>
    <row r="481" spans="1:13" s="45" customFormat="1" ht="8.5500000000000007" customHeight="1" x14ac:dyDescent="0.2">
      <c r="A481" s="98"/>
      <c r="B481" s="213" t="s">
        <v>1804</v>
      </c>
      <c r="C481" s="213"/>
      <c r="D481" s="213"/>
      <c r="E481" s="213"/>
      <c r="F481" s="213"/>
      <c r="G481" s="47"/>
      <c r="H481" s="47"/>
      <c r="I481" s="48"/>
      <c r="J481" s="104"/>
      <c r="K481" s="236">
        <v>2</v>
      </c>
      <c r="L481" s="290">
        <f>+K481</f>
        <v>2</v>
      </c>
      <c r="M481" s="290">
        <f>+K481</f>
        <v>2</v>
      </c>
    </row>
    <row r="482" spans="1:13" s="45" customFormat="1" ht="8.5500000000000007" customHeight="1" x14ac:dyDescent="0.2">
      <c r="A482" s="98"/>
      <c r="B482" s="171"/>
      <c r="C482" s="171"/>
      <c r="D482" s="171"/>
      <c r="E482" s="171"/>
      <c r="F482" s="171"/>
      <c r="G482" s="54"/>
      <c r="H482" s="54"/>
      <c r="I482" s="49"/>
      <c r="J482" s="105"/>
      <c r="K482" s="225"/>
      <c r="L482" s="231"/>
      <c r="M482" s="231"/>
    </row>
    <row r="483" spans="1:13" s="45" customFormat="1" ht="8.5500000000000007" customHeight="1" x14ac:dyDescent="0.2">
      <c r="A483" s="98"/>
      <c r="B483" s="286" t="s">
        <v>1058</v>
      </c>
      <c r="C483" s="286"/>
      <c r="D483" s="286"/>
      <c r="E483" s="286"/>
      <c r="F483" s="286"/>
      <c r="G483" s="75"/>
      <c r="H483" s="75"/>
      <c r="I483" s="75"/>
      <c r="J483" s="106"/>
      <c r="K483" s="75"/>
      <c r="L483" s="91"/>
      <c r="M483" s="92"/>
    </row>
    <row r="484" spans="1:13" s="45" customFormat="1" ht="8.5500000000000007" customHeight="1" x14ac:dyDescent="0.2">
      <c r="A484" s="98"/>
      <c r="B484" s="287"/>
      <c r="C484" s="287"/>
      <c r="D484" s="287"/>
      <c r="E484" s="287"/>
      <c r="F484" s="287"/>
      <c r="G484" s="76"/>
      <c r="H484" s="76"/>
      <c r="I484" s="76"/>
      <c r="J484" s="107"/>
      <c r="K484" s="76"/>
      <c r="L484" s="91"/>
      <c r="M484" s="92"/>
    </row>
    <row r="485" spans="1:13" s="45" customFormat="1" ht="8.5500000000000007" customHeight="1" x14ac:dyDescent="0.2">
      <c r="A485" s="98"/>
      <c r="B485" s="281" t="s">
        <v>1056</v>
      </c>
      <c r="C485" s="281"/>
      <c r="D485" s="281"/>
      <c r="E485" s="281"/>
      <c r="F485" s="184"/>
      <c r="G485" s="189">
        <v>2015</v>
      </c>
      <c r="H485" s="167">
        <v>92</v>
      </c>
      <c r="I485" s="160"/>
      <c r="J485" s="284"/>
      <c r="K485" s="232">
        <v>1</v>
      </c>
      <c r="L485" s="91"/>
      <c r="M485" s="92"/>
    </row>
    <row r="486" spans="1:13" s="45" customFormat="1" ht="8.5500000000000007" customHeight="1" x14ac:dyDescent="0.2">
      <c r="A486" s="98"/>
      <c r="B486" s="185"/>
      <c r="C486" s="185"/>
      <c r="D486" s="185"/>
      <c r="E486" s="185"/>
      <c r="F486" s="186"/>
      <c r="G486" s="190"/>
      <c r="H486" s="168"/>
      <c r="I486" s="161"/>
      <c r="J486" s="285"/>
      <c r="K486" s="233"/>
      <c r="L486" s="91"/>
      <c r="M486" s="92"/>
    </row>
    <row r="487" spans="1:13" s="45" customFormat="1" ht="8.5500000000000007" customHeight="1" x14ac:dyDescent="0.2">
      <c r="A487" s="98"/>
      <c r="B487" s="281" t="s">
        <v>1561</v>
      </c>
      <c r="C487" s="281"/>
      <c r="D487" s="281"/>
      <c r="E487" s="281"/>
      <c r="F487" s="184"/>
      <c r="G487" s="189">
        <v>2017</v>
      </c>
      <c r="H487" s="167"/>
      <c r="I487" s="160"/>
      <c r="J487" s="284"/>
      <c r="K487" s="232">
        <v>2</v>
      </c>
      <c r="L487" s="91"/>
      <c r="M487" s="92"/>
    </row>
    <row r="488" spans="1:13" s="45" customFormat="1" ht="8.5500000000000007" customHeight="1" x14ac:dyDescent="0.2">
      <c r="A488" s="98"/>
      <c r="B488" s="185"/>
      <c r="C488" s="185"/>
      <c r="D488" s="185"/>
      <c r="E488" s="185"/>
      <c r="F488" s="186"/>
      <c r="G488" s="190"/>
      <c r="H488" s="168"/>
      <c r="I488" s="161"/>
      <c r="J488" s="285"/>
      <c r="K488" s="233"/>
      <c r="L488" s="91"/>
      <c r="M488" s="92"/>
    </row>
    <row r="489" spans="1:13" s="45" customFormat="1" ht="8.5500000000000007" customHeight="1" x14ac:dyDescent="0.2">
      <c r="A489" s="98"/>
      <c r="B489" s="281" t="s">
        <v>1834</v>
      </c>
      <c r="C489" s="281"/>
      <c r="D489" s="281"/>
      <c r="E489" s="281"/>
      <c r="F489" s="184"/>
      <c r="G489" s="189">
        <v>2019</v>
      </c>
      <c r="H489" s="167"/>
      <c r="I489" s="160"/>
      <c r="J489" s="282"/>
      <c r="K489" s="232">
        <v>2</v>
      </c>
      <c r="L489" s="91"/>
      <c r="M489" s="92"/>
    </row>
    <row r="490" spans="1:13" s="45" customFormat="1" ht="8.5500000000000007" customHeight="1" x14ac:dyDescent="0.2">
      <c r="A490" s="98"/>
      <c r="B490" s="185"/>
      <c r="C490" s="185"/>
      <c r="D490" s="185"/>
      <c r="E490" s="185"/>
      <c r="F490" s="186"/>
      <c r="G490" s="190"/>
      <c r="H490" s="168"/>
      <c r="I490" s="161"/>
      <c r="J490" s="283"/>
      <c r="K490" s="233"/>
      <c r="L490" s="91"/>
      <c r="M490" s="92"/>
    </row>
    <row r="491" spans="1:13" s="45" customFormat="1" ht="8.5500000000000007" customHeight="1" x14ac:dyDescent="0.2">
      <c r="A491" s="98"/>
      <c r="B491" s="281" t="s">
        <v>1835</v>
      </c>
      <c r="C491" s="281"/>
      <c r="D491" s="281"/>
      <c r="E491" s="281"/>
      <c r="F491" s="184"/>
      <c r="G491" s="189">
        <v>2020</v>
      </c>
      <c r="H491" s="167"/>
      <c r="I491" s="160"/>
      <c r="J491" s="282"/>
      <c r="K491" s="232">
        <v>4</v>
      </c>
      <c r="L491" s="91"/>
      <c r="M491" s="92"/>
    </row>
    <row r="492" spans="1:13" s="45" customFormat="1" ht="8.5500000000000007" customHeight="1" x14ac:dyDescent="0.2">
      <c r="A492" s="98"/>
      <c r="B492" s="185"/>
      <c r="C492" s="185"/>
      <c r="D492" s="185"/>
      <c r="E492" s="185"/>
      <c r="F492" s="186"/>
      <c r="G492" s="190"/>
      <c r="H492" s="168"/>
      <c r="I492" s="161"/>
      <c r="J492" s="283"/>
      <c r="K492" s="233"/>
      <c r="L492" s="91"/>
      <c r="M492" s="92"/>
    </row>
    <row r="493" spans="1:13" s="45" customFormat="1" ht="8.5500000000000007" customHeight="1" x14ac:dyDescent="0.2">
      <c r="A493" s="98"/>
      <c r="B493" s="281" t="s">
        <v>1382</v>
      </c>
      <c r="C493" s="281"/>
      <c r="D493" s="281"/>
      <c r="E493" s="281"/>
      <c r="F493" s="184"/>
      <c r="G493" s="189">
        <v>2017</v>
      </c>
      <c r="H493" s="167" t="s">
        <v>1567</v>
      </c>
      <c r="I493" s="160"/>
      <c r="J493" s="282" t="s">
        <v>1560</v>
      </c>
      <c r="K493" s="232">
        <v>1</v>
      </c>
      <c r="L493" s="91"/>
      <c r="M493" s="92"/>
    </row>
    <row r="494" spans="1:13" s="45" customFormat="1" ht="8.5500000000000007" customHeight="1" x14ac:dyDescent="0.2">
      <c r="A494" s="98"/>
      <c r="B494" s="185"/>
      <c r="C494" s="185"/>
      <c r="D494" s="185"/>
      <c r="E494" s="185"/>
      <c r="F494" s="186"/>
      <c r="G494" s="190"/>
      <c r="H494" s="168"/>
      <c r="I494" s="161"/>
      <c r="J494" s="283"/>
      <c r="K494" s="233"/>
      <c r="L494" s="91"/>
      <c r="M494" s="92"/>
    </row>
    <row r="495" spans="1:13" s="45" customFormat="1" ht="8.5500000000000007" customHeight="1" x14ac:dyDescent="0.2">
      <c r="A495" s="98"/>
      <c r="B495" s="213" t="s">
        <v>1059</v>
      </c>
      <c r="C495" s="213"/>
      <c r="D495" s="213"/>
      <c r="E495" s="213"/>
      <c r="F495" s="213"/>
      <c r="G495" s="47"/>
      <c r="H495" s="47"/>
      <c r="I495" s="48"/>
      <c r="J495" s="104"/>
      <c r="K495" s="236">
        <v>10</v>
      </c>
      <c r="L495" s="290">
        <f>+K495</f>
        <v>10</v>
      </c>
      <c r="M495" s="290">
        <f>+K495</f>
        <v>10</v>
      </c>
    </row>
    <row r="496" spans="1:13" s="45" customFormat="1" ht="8.5500000000000007" customHeight="1" x14ac:dyDescent="0.2">
      <c r="A496" s="98"/>
      <c r="B496" s="171"/>
      <c r="C496" s="171"/>
      <c r="D496" s="171"/>
      <c r="E496" s="171"/>
      <c r="F496" s="171"/>
      <c r="G496" s="54"/>
      <c r="H496" s="54"/>
      <c r="I496" s="49"/>
      <c r="J496" s="105"/>
      <c r="K496" s="225"/>
      <c r="L496" s="231"/>
      <c r="M496" s="231"/>
    </row>
    <row r="497" spans="1:13" s="45" customFormat="1" ht="8.5500000000000007" customHeight="1" x14ac:dyDescent="0.2">
      <c r="A497" s="98"/>
      <c r="B497" s="213" t="s">
        <v>1163</v>
      </c>
      <c r="C497" s="213"/>
      <c r="D497" s="213"/>
      <c r="E497" s="213"/>
      <c r="F497" s="213"/>
      <c r="G497" s="47"/>
      <c r="H497" s="47"/>
      <c r="I497" s="48"/>
      <c r="J497" s="104"/>
      <c r="K497" s="236">
        <v>528</v>
      </c>
      <c r="L497" s="290">
        <f>SUM(L11:L496)</f>
        <v>528</v>
      </c>
      <c r="M497" s="290">
        <f>SUM(M11:M496)</f>
        <v>528</v>
      </c>
    </row>
    <row r="498" spans="1:13" s="45" customFormat="1" ht="8.5500000000000007" customHeight="1" x14ac:dyDescent="0.2">
      <c r="A498" s="98"/>
      <c r="B498" s="171"/>
      <c r="C498" s="171"/>
      <c r="D498" s="171"/>
      <c r="E498" s="171"/>
      <c r="F498" s="171"/>
      <c r="G498" s="54"/>
      <c r="H498" s="54"/>
      <c r="I498" s="49"/>
      <c r="J498" s="105"/>
      <c r="K498" s="225"/>
      <c r="L498" s="231"/>
      <c r="M498" s="231"/>
    </row>
    <row r="499" spans="1:13" ht="8.5500000000000007" customHeight="1" x14ac:dyDescent="0.25">
      <c r="H499" s="8"/>
      <c r="K499" s="7"/>
    </row>
    <row r="500" spans="1:13" ht="8.5500000000000007" customHeight="1" x14ac:dyDescent="0.25">
      <c r="H500" s="8"/>
      <c r="K500" s="7"/>
    </row>
    <row r="501" spans="1:13" ht="8.5500000000000007" customHeight="1" x14ac:dyDescent="0.25">
      <c r="D501" s="87" t="s">
        <v>792</v>
      </c>
      <c r="H501" s="8"/>
      <c r="L501" s="241">
        <f>(SUM(K11:K496)+K463+K475+K481+K495)/3</f>
        <v>528</v>
      </c>
    </row>
    <row r="502" spans="1:13" ht="8.5500000000000007" customHeight="1" x14ac:dyDescent="0.25">
      <c r="D502" s="87" t="s">
        <v>848</v>
      </c>
      <c r="H502" s="8"/>
      <c r="L502" s="231"/>
    </row>
    <row r="503" spans="1:13" x14ac:dyDescent="0.25">
      <c r="H503" s="8"/>
      <c r="K503" s="88"/>
    </row>
    <row r="504" spans="1:13" x14ac:dyDescent="0.25">
      <c r="H504" s="8"/>
    </row>
    <row r="505" spans="1:13" x14ac:dyDescent="0.25">
      <c r="H505" s="8"/>
    </row>
    <row r="506" spans="1:13" ht="12.6" x14ac:dyDescent="0.25">
      <c r="A506" s="1"/>
      <c r="H506" s="8"/>
      <c r="L506" s="1"/>
      <c r="M506" s="1"/>
    </row>
    <row r="507" spans="1:13" ht="12.6" x14ac:dyDescent="0.25">
      <c r="A507" s="1"/>
      <c r="H507" s="8"/>
      <c r="L507" s="1"/>
      <c r="M507" s="1"/>
    </row>
    <row r="508" spans="1:13" ht="12.6" x14ac:dyDescent="0.25">
      <c r="A508" s="1"/>
      <c r="H508" s="8"/>
      <c r="L508" s="1"/>
      <c r="M508" s="1"/>
    </row>
    <row r="509" spans="1:13" ht="12.6" x14ac:dyDescent="0.25">
      <c r="A509" s="1"/>
      <c r="H509" s="8"/>
      <c r="L509" s="1"/>
      <c r="M509" s="1"/>
    </row>
    <row r="510" spans="1:13" ht="12.6" x14ac:dyDescent="0.25">
      <c r="A510" s="1"/>
      <c r="H510" s="8"/>
      <c r="L510" s="1"/>
      <c r="M510" s="1"/>
    </row>
    <row r="511" spans="1:13" ht="12.6" x14ac:dyDescent="0.25">
      <c r="A511" s="1"/>
      <c r="H511" s="8"/>
      <c r="L511" s="1"/>
      <c r="M511" s="1"/>
    </row>
    <row r="512" spans="1:13" ht="12.6" x14ac:dyDescent="0.25">
      <c r="A512" s="1"/>
      <c r="H512" s="8"/>
      <c r="L512" s="1"/>
      <c r="M512" s="1"/>
    </row>
  </sheetData>
  <mergeCells count="1385">
    <mergeCell ref="B169:F170"/>
    <mergeCell ref="G169:G170"/>
    <mergeCell ref="H59:H60"/>
    <mergeCell ref="K233:K234"/>
    <mergeCell ref="B231:F232"/>
    <mergeCell ref="G231:G232"/>
    <mergeCell ref="H231:H232"/>
    <mergeCell ref="I231:I232"/>
    <mergeCell ref="B197:F198"/>
    <mergeCell ref="G197:G198"/>
    <mergeCell ref="J231:J232"/>
    <mergeCell ref="B239:F240"/>
    <mergeCell ref="B11:F12"/>
    <mergeCell ref="J15:J16"/>
    <mergeCell ref="I15:I16"/>
    <mergeCell ref="H15:H16"/>
    <mergeCell ref="J17:J18"/>
    <mergeCell ref="I17:I18"/>
    <mergeCell ref="H17:H18"/>
    <mergeCell ref="K13:K14"/>
    <mergeCell ref="K15:K16"/>
    <mergeCell ref="K17:K18"/>
    <mergeCell ref="G13:G14"/>
    <mergeCell ref="G15:G16"/>
    <mergeCell ref="G17:G18"/>
    <mergeCell ref="B13:F14"/>
    <mergeCell ref="B15:F16"/>
    <mergeCell ref="B17:F18"/>
    <mergeCell ref="K221:K222"/>
    <mergeCell ref="B113:F114"/>
    <mergeCell ref="J219:J220"/>
    <mergeCell ref="K219:K220"/>
    <mergeCell ref="J443:J444"/>
    <mergeCell ref="K409:K410"/>
    <mergeCell ref="B399:F400"/>
    <mergeCell ref="I409:I410"/>
    <mergeCell ref="J405:J406"/>
    <mergeCell ref="G393:G394"/>
    <mergeCell ref="I399:I400"/>
    <mergeCell ref="K399:K400"/>
    <mergeCell ref="J407:J408"/>
    <mergeCell ref="H407:H408"/>
    <mergeCell ref="I407:I408"/>
    <mergeCell ref="H397:H398"/>
    <mergeCell ref="I397:I398"/>
    <mergeCell ref="K407:K408"/>
    <mergeCell ref="I395:I396"/>
    <mergeCell ref="J395:J396"/>
    <mergeCell ref="J393:J394"/>
    <mergeCell ref="J417:J418"/>
    <mergeCell ref="K443:K444"/>
    <mergeCell ref="K441:K442"/>
    <mergeCell ref="B443:F444"/>
    <mergeCell ref="G443:G444"/>
    <mergeCell ref="G237:G238"/>
    <mergeCell ref="H237:H238"/>
    <mergeCell ref="I237:I238"/>
    <mergeCell ref="J237:J238"/>
    <mergeCell ref="B377:F378"/>
    <mergeCell ref="J351:J352"/>
    <mergeCell ref="K363:K364"/>
    <mergeCell ref="B365:F366"/>
    <mergeCell ref="B363:F364"/>
    <mergeCell ref="B357:F358"/>
    <mergeCell ref="B367:F368"/>
    <mergeCell ref="G367:G368"/>
    <mergeCell ref="B355:F356"/>
    <mergeCell ref="K377:K378"/>
    <mergeCell ref="B361:F362"/>
    <mergeCell ref="G361:G362"/>
    <mergeCell ref="H361:H362"/>
    <mergeCell ref="I361:I362"/>
    <mergeCell ref="J361:J362"/>
    <mergeCell ref="K361:K362"/>
    <mergeCell ref="I371:I372"/>
    <mergeCell ref="H373:H374"/>
    <mergeCell ref="I373:I374"/>
    <mergeCell ref="G369:G370"/>
    <mergeCell ref="J369:J370"/>
    <mergeCell ref="K237:K238"/>
    <mergeCell ref="K351:K352"/>
    <mergeCell ref="I345:I346"/>
    <mergeCell ref="K495:K496"/>
    <mergeCell ref="K393:K394"/>
    <mergeCell ref="K401:K402"/>
    <mergeCell ref="H423:H424"/>
    <mergeCell ref="I423:I424"/>
    <mergeCell ref="J423:J424"/>
    <mergeCell ref="B431:F432"/>
    <mergeCell ref="G431:G432"/>
    <mergeCell ref="K391:K392"/>
    <mergeCell ref="H421:H422"/>
    <mergeCell ref="H417:H418"/>
    <mergeCell ref="B413:F414"/>
    <mergeCell ref="B383:F384"/>
    <mergeCell ref="B359:F360"/>
    <mergeCell ref="I369:I370"/>
    <mergeCell ref="B369:F370"/>
    <mergeCell ref="B457:F458"/>
    <mergeCell ref="G457:G458"/>
    <mergeCell ref="H377:H378"/>
    <mergeCell ref="I419:I420"/>
    <mergeCell ref="B419:F420"/>
    <mergeCell ref="B415:F416"/>
    <mergeCell ref="G415:G416"/>
    <mergeCell ref="H415:H416"/>
    <mergeCell ref="I415:I416"/>
    <mergeCell ref="I383:I384"/>
    <mergeCell ref="J383:J384"/>
    <mergeCell ref="I381:I382"/>
    <mergeCell ref="H457:H458"/>
    <mergeCell ref="I457:I458"/>
    <mergeCell ref="J457:J458"/>
    <mergeCell ref="G377:G378"/>
    <mergeCell ref="G399:G400"/>
    <mergeCell ref="K397:K398"/>
    <mergeCell ref="K385:K386"/>
    <mergeCell ref="H399:H400"/>
    <mergeCell ref="J391:J392"/>
    <mergeCell ref="G383:G384"/>
    <mergeCell ref="H383:H384"/>
    <mergeCell ref="I413:I414"/>
    <mergeCell ref="J399:J400"/>
    <mergeCell ref="H409:H410"/>
    <mergeCell ref="H393:H394"/>
    <mergeCell ref="I393:I394"/>
    <mergeCell ref="I387:I388"/>
    <mergeCell ref="J387:J388"/>
    <mergeCell ref="K395:K396"/>
    <mergeCell ref="I391:I392"/>
    <mergeCell ref="K389:K390"/>
    <mergeCell ref="G425:G426"/>
    <mergeCell ref="H425:H426"/>
    <mergeCell ref="I425:I426"/>
    <mergeCell ref="H431:H432"/>
    <mergeCell ref="I431:I432"/>
    <mergeCell ref="B439:F440"/>
    <mergeCell ref="K439:K440"/>
    <mergeCell ref="I405:I406"/>
    <mergeCell ref="K405:K406"/>
    <mergeCell ref="I401:I402"/>
    <mergeCell ref="J401:J402"/>
    <mergeCell ref="J419:J420"/>
    <mergeCell ref="J409:J410"/>
    <mergeCell ref="H413:H414"/>
    <mergeCell ref="G419:G420"/>
    <mergeCell ref="J415:J416"/>
    <mergeCell ref="G401:G402"/>
    <mergeCell ref="H401:H402"/>
    <mergeCell ref="B435:F436"/>
    <mergeCell ref="G435:G436"/>
    <mergeCell ref="H435:H436"/>
    <mergeCell ref="I435:I436"/>
    <mergeCell ref="J435:J436"/>
    <mergeCell ref="K435:K436"/>
    <mergeCell ref="G405:G406"/>
    <mergeCell ref="G407:G408"/>
    <mergeCell ref="B425:F426"/>
    <mergeCell ref="G423:G424"/>
    <mergeCell ref="J425:J426"/>
    <mergeCell ref="K425:K426"/>
    <mergeCell ref="G421:G422"/>
    <mergeCell ref="K423:K424"/>
    <mergeCell ref="H411:H412"/>
    <mergeCell ref="B417:F418"/>
    <mergeCell ref="B409:F410"/>
    <mergeCell ref="H371:H372"/>
    <mergeCell ref="G413:G414"/>
    <mergeCell ref="G409:G410"/>
    <mergeCell ref="K421:K422"/>
    <mergeCell ref="K417:K418"/>
    <mergeCell ref="I417:I418"/>
    <mergeCell ref="I411:I412"/>
    <mergeCell ref="J411:J412"/>
    <mergeCell ref="G395:G396"/>
    <mergeCell ref="H395:H396"/>
    <mergeCell ref="H419:H420"/>
    <mergeCell ref="I421:I422"/>
    <mergeCell ref="B401:F402"/>
    <mergeCell ref="B389:F390"/>
    <mergeCell ref="G389:G390"/>
    <mergeCell ref="K381:K382"/>
    <mergeCell ref="J381:J382"/>
    <mergeCell ref="K415:K416"/>
    <mergeCell ref="I377:I378"/>
    <mergeCell ref="H381:H382"/>
    <mergeCell ref="J375:J376"/>
    <mergeCell ref="K375:K376"/>
    <mergeCell ref="H387:H388"/>
    <mergeCell ref="B407:F408"/>
    <mergeCell ref="I385:I386"/>
    <mergeCell ref="B405:F406"/>
    <mergeCell ref="B423:F424"/>
    <mergeCell ref="H389:H390"/>
    <mergeCell ref="B353:F354"/>
    <mergeCell ref="G353:G354"/>
    <mergeCell ref="K239:K240"/>
    <mergeCell ref="K353:K354"/>
    <mergeCell ref="J377:J378"/>
    <mergeCell ref="J169:J170"/>
    <mergeCell ref="K169:K170"/>
    <mergeCell ref="G373:G374"/>
    <mergeCell ref="G365:G366"/>
    <mergeCell ref="H365:H366"/>
    <mergeCell ref="I365:I366"/>
    <mergeCell ref="J365:J366"/>
    <mergeCell ref="K365:K366"/>
    <mergeCell ref="B379:F380"/>
    <mergeCell ref="L475:L476"/>
    <mergeCell ref="H451:H452"/>
    <mergeCell ref="J427:J428"/>
    <mergeCell ref="J431:J432"/>
    <mergeCell ref="B429:F430"/>
    <mergeCell ref="G429:G430"/>
    <mergeCell ref="H429:H430"/>
    <mergeCell ref="I429:I430"/>
    <mergeCell ref="K429:K430"/>
    <mergeCell ref="J429:J430"/>
    <mergeCell ref="J421:J422"/>
    <mergeCell ref="G417:G418"/>
    <mergeCell ref="J373:J374"/>
    <mergeCell ref="K373:K374"/>
    <mergeCell ref="K369:K370"/>
    <mergeCell ref="B375:F376"/>
    <mergeCell ref="B387:F388"/>
    <mergeCell ref="H405:H406"/>
    <mergeCell ref="M475:M476"/>
    <mergeCell ref="B497:F498"/>
    <mergeCell ref="K497:K498"/>
    <mergeCell ref="L497:L498"/>
    <mergeCell ref="M497:M498"/>
    <mergeCell ref="B473:C474"/>
    <mergeCell ref="G473:G474"/>
    <mergeCell ref="H473:H474"/>
    <mergeCell ref="I473:I474"/>
    <mergeCell ref="J473:J474"/>
    <mergeCell ref="M439:M440"/>
    <mergeCell ref="B465:F466"/>
    <mergeCell ref="B467:C468"/>
    <mergeCell ref="G467:G468"/>
    <mergeCell ref="H467:H468"/>
    <mergeCell ref="I467:I468"/>
    <mergeCell ref="J467:J468"/>
    <mergeCell ref="L495:L496"/>
    <mergeCell ref="M495:M496"/>
    <mergeCell ref="G493:G494"/>
    <mergeCell ref="B483:F484"/>
    <mergeCell ref="J447:J448"/>
    <mergeCell ref="B493:F494"/>
    <mergeCell ref="B495:F496"/>
    <mergeCell ref="M463:M464"/>
    <mergeCell ref="H493:H494"/>
    <mergeCell ref="I493:I494"/>
    <mergeCell ref="J493:J494"/>
    <mergeCell ref="K493:K494"/>
    <mergeCell ref="L463:L464"/>
    <mergeCell ref="B451:F452"/>
    <mergeCell ref="G451:G452"/>
    <mergeCell ref="L501:L502"/>
    <mergeCell ref="G179:G180"/>
    <mergeCell ref="K179:K180"/>
    <mergeCell ref="G235:G236"/>
    <mergeCell ref="K235:K236"/>
    <mergeCell ref="K473:K474"/>
    <mergeCell ref="B475:F476"/>
    <mergeCell ref="K475:K476"/>
    <mergeCell ref="K467:K468"/>
    <mergeCell ref="B437:F438"/>
    <mergeCell ref="K437:K438"/>
    <mergeCell ref="G427:G428"/>
    <mergeCell ref="H427:H428"/>
    <mergeCell ref="I427:I428"/>
    <mergeCell ref="B433:F434"/>
    <mergeCell ref="G433:G434"/>
    <mergeCell ref="H433:H434"/>
    <mergeCell ref="K419:K420"/>
    <mergeCell ref="B421:F422"/>
    <mergeCell ref="K411:K412"/>
    <mergeCell ref="J413:J414"/>
    <mergeCell ref="K413:K414"/>
    <mergeCell ref="B411:F412"/>
    <mergeCell ref="G411:G412"/>
    <mergeCell ref="L437:L438"/>
    <mergeCell ref="L439:L440"/>
    <mergeCell ref="I433:I434"/>
    <mergeCell ref="J433:J434"/>
    <mergeCell ref="K433:K434"/>
    <mergeCell ref="K431:K432"/>
    <mergeCell ref="K427:K428"/>
    <mergeCell ref="B427:F428"/>
    <mergeCell ref="B397:F398"/>
    <mergeCell ref="G397:G398"/>
    <mergeCell ref="K383:K384"/>
    <mergeCell ref="G387:G388"/>
    <mergeCell ref="H369:H370"/>
    <mergeCell ref="J397:J398"/>
    <mergeCell ref="G391:G392"/>
    <mergeCell ref="H391:H392"/>
    <mergeCell ref="J385:J386"/>
    <mergeCell ref="B381:F382"/>
    <mergeCell ref="B395:F396"/>
    <mergeCell ref="K379:K380"/>
    <mergeCell ref="J379:J380"/>
    <mergeCell ref="I379:I380"/>
    <mergeCell ref="H379:H380"/>
    <mergeCell ref="G379:G380"/>
    <mergeCell ref="B393:F394"/>
    <mergeCell ref="B391:F392"/>
    <mergeCell ref="B373:F374"/>
    <mergeCell ref="I389:I390"/>
    <mergeCell ref="J389:J390"/>
    <mergeCell ref="H385:H386"/>
    <mergeCell ref="J371:J372"/>
    <mergeCell ref="K371:K372"/>
    <mergeCell ref="B371:F372"/>
    <mergeCell ref="G381:G382"/>
    <mergeCell ref="K387:K388"/>
    <mergeCell ref="B385:F386"/>
    <mergeCell ref="G385:G386"/>
    <mergeCell ref="G357:G358"/>
    <mergeCell ref="H357:H358"/>
    <mergeCell ref="I357:I358"/>
    <mergeCell ref="J357:J358"/>
    <mergeCell ref="K357:K358"/>
    <mergeCell ref="G363:G364"/>
    <mergeCell ref="H363:H364"/>
    <mergeCell ref="I363:I364"/>
    <mergeCell ref="G359:G360"/>
    <mergeCell ref="H359:H360"/>
    <mergeCell ref="I359:I360"/>
    <mergeCell ref="J359:J360"/>
    <mergeCell ref="J363:J364"/>
    <mergeCell ref="G375:G376"/>
    <mergeCell ref="H375:H376"/>
    <mergeCell ref="I375:I376"/>
    <mergeCell ref="G371:G372"/>
    <mergeCell ref="K367:K368"/>
    <mergeCell ref="H367:H368"/>
    <mergeCell ref="I367:I368"/>
    <mergeCell ref="J367:J368"/>
    <mergeCell ref="K359:K360"/>
    <mergeCell ref="I351:I352"/>
    <mergeCell ref="B351:F352"/>
    <mergeCell ref="G351:G352"/>
    <mergeCell ref="H351:H352"/>
    <mergeCell ref="H343:H344"/>
    <mergeCell ref="I343:I344"/>
    <mergeCell ref="J343:J344"/>
    <mergeCell ref="K343:K344"/>
    <mergeCell ref="B341:F342"/>
    <mergeCell ref="G341:G342"/>
    <mergeCell ref="H341:H342"/>
    <mergeCell ref="I341:I342"/>
    <mergeCell ref="J341:J342"/>
    <mergeCell ref="H355:H356"/>
    <mergeCell ref="I355:I356"/>
    <mergeCell ref="G345:G346"/>
    <mergeCell ref="H345:H346"/>
    <mergeCell ref="K349:K350"/>
    <mergeCell ref="B345:F346"/>
    <mergeCell ref="G355:G356"/>
    <mergeCell ref="K345:K346"/>
    <mergeCell ref="B349:F350"/>
    <mergeCell ref="G349:G350"/>
    <mergeCell ref="H349:H350"/>
    <mergeCell ref="I349:I350"/>
    <mergeCell ref="J349:J350"/>
    <mergeCell ref="H353:H354"/>
    <mergeCell ref="I353:I354"/>
    <mergeCell ref="J353:J354"/>
    <mergeCell ref="K355:K356"/>
    <mergeCell ref="J355:J356"/>
    <mergeCell ref="J345:J346"/>
    <mergeCell ref="K333:K334"/>
    <mergeCell ref="B335:F336"/>
    <mergeCell ref="G335:G336"/>
    <mergeCell ref="H335:H336"/>
    <mergeCell ref="I335:I336"/>
    <mergeCell ref="J335:J336"/>
    <mergeCell ref="K335:K336"/>
    <mergeCell ref="B333:F334"/>
    <mergeCell ref="G333:G334"/>
    <mergeCell ref="H333:H334"/>
    <mergeCell ref="I333:I334"/>
    <mergeCell ref="J333:J334"/>
    <mergeCell ref="K341:K342"/>
    <mergeCell ref="B343:F344"/>
    <mergeCell ref="G343:G344"/>
    <mergeCell ref="K337:K338"/>
    <mergeCell ref="B339:F340"/>
    <mergeCell ref="G339:G340"/>
    <mergeCell ref="H339:H340"/>
    <mergeCell ref="I339:I340"/>
    <mergeCell ref="J339:J340"/>
    <mergeCell ref="K339:K340"/>
    <mergeCell ref="B337:F338"/>
    <mergeCell ref="G337:G338"/>
    <mergeCell ref="H337:H338"/>
    <mergeCell ref="I337:I338"/>
    <mergeCell ref="J337:J338"/>
    <mergeCell ref="K331:K332"/>
    <mergeCell ref="K329:K330"/>
    <mergeCell ref="B329:F330"/>
    <mergeCell ref="G329:G330"/>
    <mergeCell ref="H329:H330"/>
    <mergeCell ref="I329:I330"/>
    <mergeCell ref="J329:J330"/>
    <mergeCell ref="K325:K326"/>
    <mergeCell ref="B327:F328"/>
    <mergeCell ref="G327:G328"/>
    <mergeCell ref="H327:H328"/>
    <mergeCell ref="I327:I328"/>
    <mergeCell ref="J327:J328"/>
    <mergeCell ref="K327:K328"/>
    <mergeCell ref="B325:F326"/>
    <mergeCell ref="G325:G326"/>
    <mergeCell ref="H325:H326"/>
    <mergeCell ref="I325:I326"/>
    <mergeCell ref="J325:J326"/>
    <mergeCell ref="K321:K322"/>
    <mergeCell ref="B323:F324"/>
    <mergeCell ref="G323:G324"/>
    <mergeCell ref="H323:H324"/>
    <mergeCell ref="I323:I324"/>
    <mergeCell ref="J323:J324"/>
    <mergeCell ref="K323:K324"/>
    <mergeCell ref="B321:F322"/>
    <mergeCell ref="G321:G322"/>
    <mergeCell ref="H321:H322"/>
    <mergeCell ref="I321:I322"/>
    <mergeCell ref="J321:J322"/>
    <mergeCell ref="B403:F404"/>
    <mergeCell ref="K317:K318"/>
    <mergeCell ref="B319:F320"/>
    <mergeCell ref="G319:G320"/>
    <mergeCell ref="H319:H320"/>
    <mergeCell ref="I319:I320"/>
    <mergeCell ref="J319:J320"/>
    <mergeCell ref="K319:K320"/>
    <mergeCell ref="B317:F318"/>
    <mergeCell ref="G317:G318"/>
    <mergeCell ref="H317:H318"/>
    <mergeCell ref="I317:I318"/>
    <mergeCell ref="J317:J318"/>
    <mergeCell ref="K403:K404"/>
    <mergeCell ref="B331:F332"/>
    <mergeCell ref="G331:G332"/>
    <mergeCell ref="B347:F348"/>
    <mergeCell ref="H331:H332"/>
    <mergeCell ref="I331:I332"/>
    <mergeCell ref="J331:J332"/>
    <mergeCell ref="B299:F300"/>
    <mergeCell ref="G299:G300"/>
    <mergeCell ref="H299:H300"/>
    <mergeCell ref="I299:I300"/>
    <mergeCell ref="J299:J300"/>
    <mergeCell ref="K313:K314"/>
    <mergeCell ref="B315:F316"/>
    <mergeCell ref="G315:G316"/>
    <mergeCell ref="H315:H316"/>
    <mergeCell ref="I315:I316"/>
    <mergeCell ref="J315:J316"/>
    <mergeCell ref="K315:K316"/>
    <mergeCell ref="B313:F314"/>
    <mergeCell ref="G313:G314"/>
    <mergeCell ref="H313:H314"/>
    <mergeCell ref="I313:I314"/>
    <mergeCell ref="J313:J314"/>
    <mergeCell ref="B309:F310"/>
    <mergeCell ref="G309:G310"/>
    <mergeCell ref="H309:H310"/>
    <mergeCell ref="I309:I310"/>
    <mergeCell ref="J309:J310"/>
    <mergeCell ref="K309:K310"/>
    <mergeCell ref="B311:F312"/>
    <mergeCell ref="G311:G312"/>
    <mergeCell ref="H311:H312"/>
    <mergeCell ref="I311:I312"/>
    <mergeCell ref="J311:J312"/>
    <mergeCell ref="K311:K312"/>
    <mergeCell ref="K347:K348"/>
    <mergeCell ref="K307:K308"/>
    <mergeCell ref="B307:F308"/>
    <mergeCell ref="H293:H294"/>
    <mergeCell ref="I293:I294"/>
    <mergeCell ref="J293:J294"/>
    <mergeCell ref="K293:K294"/>
    <mergeCell ref="B293:F294"/>
    <mergeCell ref="G293:G294"/>
    <mergeCell ref="G307:G308"/>
    <mergeCell ref="H307:H308"/>
    <mergeCell ref="I307:I308"/>
    <mergeCell ref="J307:J308"/>
    <mergeCell ref="K303:K304"/>
    <mergeCell ref="B305:F306"/>
    <mergeCell ref="G305:G306"/>
    <mergeCell ref="H305:H306"/>
    <mergeCell ref="I305:I306"/>
    <mergeCell ref="J305:J306"/>
    <mergeCell ref="K305:K306"/>
    <mergeCell ref="B303:F304"/>
    <mergeCell ref="G303:G304"/>
    <mergeCell ref="H303:H304"/>
    <mergeCell ref="I303:I304"/>
    <mergeCell ref="J303:J304"/>
    <mergeCell ref="K299:K300"/>
    <mergeCell ref="B301:F302"/>
    <mergeCell ref="G301:G302"/>
    <mergeCell ref="H301:H302"/>
    <mergeCell ref="I301:I302"/>
    <mergeCell ref="J301:J302"/>
    <mergeCell ref="K301:K302"/>
    <mergeCell ref="B287:F288"/>
    <mergeCell ref="G287:G288"/>
    <mergeCell ref="H287:H288"/>
    <mergeCell ref="I287:I288"/>
    <mergeCell ref="J287:J288"/>
    <mergeCell ref="K287:K288"/>
    <mergeCell ref="B285:F286"/>
    <mergeCell ref="G285:G286"/>
    <mergeCell ref="H285:H286"/>
    <mergeCell ref="I285:I286"/>
    <mergeCell ref="J285:J286"/>
    <mergeCell ref="K289:K290"/>
    <mergeCell ref="K295:K296"/>
    <mergeCell ref="B297:F298"/>
    <mergeCell ref="G297:G298"/>
    <mergeCell ref="H297:H298"/>
    <mergeCell ref="I297:I298"/>
    <mergeCell ref="J297:J298"/>
    <mergeCell ref="K297:K298"/>
    <mergeCell ref="B295:F296"/>
    <mergeCell ref="G295:G296"/>
    <mergeCell ref="H295:H296"/>
    <mergeCell ref="I295:I296"/>
    <mergeCell ref="J295:J296"/>
    <mergeCell ref="B291:F292"/>
    <mergeCell ref="K291:K292"/>
    <mergeCell ref="G283:G284"/>
    <mergeCell ref="H283:H284"/>
    <mergeCell ref="I283:I284"/>
    <mergeCell ref="J283:J284"/>
    <mergeCell ref="K283:K284"/>
    <mergeCell ref="B281:F282"/>
    <mergeCell ref="G281:G282"/>
    <mergeCell ref="H281:H282"/>
    <mergeCell ref="I281:I282"/>
    <mergeCell ref="J281:J282"/>
    <mergeCell ref="K277:K278"/>
    <mergeCell ref="B279:F280"/>
    <mergeCell ref="G279:G280"/>
    <mergeCell ref="H279:H280"/>
    <mergeCell ref="I279:I280"/>
    <mergeCell ref="J279:J280"/>
    <mergeCell ref="K279:K280"/>
    <mergeCell ref="B277:F278"/>
    <mergeCell ref="G277:G278"/>
    <mergeCell ref="H277:H278"/>
    <mergeCell ref="I277:I278"/>
    <mergeCell ref="J277:J278"/>
    <mergeCell ref="K281:K282"/>
    <mergeCell ref="B283:F284"/>
    <mergeCell ref="B289:F290"/>
    <mergeCell ref="G289:G290"/>
    <mergeCell ref="H289:H290"/>
    <mergeCell ref="I289:I290"/>
    <mergeCell ref="J289:J290"/>
    <mergeCell ref="K285:K286"/>
    <mergeCell ref="K269:K270"/>
    <mergeCell ref="B275:F276"/>
    <mergeCell ref="G275:G276"/>
    <mergeCell ref="H275:H276"/>
    <mergeCell ref="I275:I276"/>
    <mergeCell ref="J275:J276"/>
    <mergeCell ref="K275:K276"/>
    <mergeCell ref="B269:F270"/>
    <mergeCell ref="G269:G270"/>
    <mergeCell ref="H269:H270"/>
    <mergeCell ref="I269:I270"/>
    <mergeCell ref="J269:J270"/>
    <mergeCell ref="B271:F272"/>
    <mergeCell ref="G271:G272"/>
    <mergeCell ref="H271:H272"/>
    <mergeCell ref="I271:I272"/>
    <mergeCell ref="J271:J272"/>
    <mergeCell ref="K271:K272"/>
    <mergeCell ref="B273:F274"/>
    <mergeCell ref="G273:G274"/>
    <mergeCell ref="H273:H274"/>
    <mergeCell ref="I273:I274"/>
    <mergeCell ref="J273:J274"/>
    <mergeCell ref="K273:K274"/>
    <mergeCell ref="K265:K266"/>
    <mergeCell ref="B267:F268"/>
    <mergeCell ref="G267:G268"/>
    <mergeCell ref="H267:H268"/>
    <mergeCell ref="I267:I268"/>
    <mergeCell ref="J267:J268"/>
    <mergeCell ref="K267:K268"/>
    <mergeCell ref="B265:F266"/>
    <mergeCell ref="G265:G266"/>
    <mergeCell ref="H265:H266"/>
    <mergeCell ref="I265:I266"/>
    <mergeCell ref="J265:J266"/>
    <mergeCell ref="K263:K264"/>
    <mergeCell ref="B263:F264"/>
    <mergeCell ref="G263:G264"/>
    <mergeCell ref="H263:H264"/>
    <mergeCell ref="I263:I264"/>
    <mergeCell ref="J263:J264"/>
    <mergeCell ref="K259:K260"/>
    <mergeCell ref="B261:F262"/>
    <mergeCell ref="G261:G262"/>
    <mergeCell ref="H261:H262"/>
    <mergeCell ref="I261:I262"/>
    <mergeCell ref="J261:J262"/>
    <mergeCell ref="K261:K262"/>
    <mergeCell ref="B259:F260"/>
    <mergeCell ref="G259:G260"/>
    <mergeCell ref="H259:H260"/>
    <mergeCell ref="I259:I260"/>
    <mergeCell ref="J259:J260"/>
    <mergeCell ref="K255:K256"/>
    <mergeCell ref="B257:F258"/>
    <mergeCell ref="G257:G258"/>
    <mergeCell ref="H257:H258"/>
    <mergeCell ref="I257:I258"/>
    <mergeCell ref="J257:J258"/>
    <mergeCell ref="K257:K258"/>
    <mergeCell ref="B255:F256"/>
    <mergeCell ref="G255:G256"/>
    <mergeCell ref="H255:H256"/>
    <mergeCell ref="I255:I256"/>
    <mergeCell ref="J255:J256"/>
    <mergeCell ref="B253:F254"/>
    <mergeCell ref="G253:G254"/>
    <mergeCell ref="H253:H254"/>
    <mergeCell ref="I253:I254"/>
    <mergeCell ref="J253:J254"/>
    <mergeCell ref="K253:K254"/>
    <mergeCell ref="K247:K248"/>
    <mergeCell ref="B249:F250"/>
    <mergeCell ref="G249:G250"/>
    <mergeCell ref="H249:H250"/>
    <mergeCell ref="I249:I250"/>
    <mergeCell ref="J249:J250"/>
    <mergeCell ref="K249:K250"/>
    <mergeCell ref="K241:K242"/>
    <mergeCell ref="B243:F244"/>
    <mergeCell ref="K243:K244"/>
    <mergeCell ref="B251:F252"/>
    <mergeCell ref="G251:G252"/>
    <mergeCell ref="H251:H252"/>
    <mergeCell ref="I251:I252"/>
    <mergeCell ref="J251:J252"/>
    <mergeCell ref="K251:K252"/>
    <mergeCell ref="G221:G222"/>
    <mergeCell ref="H221:H222"/>
    <mergeCell ref="L243:L244"/>
    <mergeCell ref="B245:F246"/>
    <mergeCell ref="B247:F248"/>
    <mergeCell ref="G247:G248"/>
    <mergeCell ref="H247:H248"/>
    <mergeCell ref="I247:I248"/>
    <mergeCell ref="J247:J248"/>
    <mergeCell ref="B241:F242"/>
    <mergeCell ref="G241:G242"/>
    <mergeCell ref="H241:H242"/>
    <mergeCell ref="I241:I242"/>
    <mergeCell ref="J241:J242"/>
    <mergeCell ref="K231:K232"/>
    <mergeCell ref="B233:F234"/>
    <mergeCell ref="G233:G234"/>
    <mergeCell ref="H233:H234"/>
    <mergeCell ref="I233:I234"/>
    <mergeCell ref="J233:J234"/>
    <mergeCell ref="G239:G240"/>
    <mergeCell ref="H239:H240"/>
    <mergeCell ref="I239:I240"/>
    <mergeCell ref="J239:J240"/>
    <mergeCell ref="I225:I226"/>
    <mergeCell ref="J225:J226"/>
    <mergeCell ref="K223:K224"/>
    <mergeCell ref="B223:F224"/>
    <mergeCell ref="G223:G224"/>
    <mergeCell ref="H223:H224"/>
    <mergeCell ref="I223:I224"/>
    <mergeCell ref="B237:F238"/>
    <mergeCell ref="K225:K226"/>
    <mergeCell ref="B229:F230"/>
    <mergeCell ref="G229:G230"/>
    <mergeCell ref="B227:F228"/>
    <mergeCell ref="G227:G228"/>
    <mergeCell ref="H227:H228"/>
    <mergeCell ref="I227:I228"/>
    <mergeCell ref="J227:J228"/>
    <mergeCell ref="K227:K228"/>
    <mergeCell ref="K163:K164"/>
    <mergeCell ref="B163:F164"/>
    <mergeCell ref="G163:G164"/>
    <mergeCell ref="H163:H164"/>
    <mergeCell ref="I163:I164"/>
    <mergeCell ref="J163:J164"/>
    <mergeCell ref="I205:I206"/>
    <mergeCell ref="J205:J206"/>
    <mergeCell ref="H169:H170"/>
    <mergeCell ref="I169:I170"/>
    <mergeCell ref="I173:I174"/>
    <mergeCell ref="J173:J174"/>
    <mergeCell ref="K173:K174"/>
    <mergeCell ref="I197:I198"/>
    <mergeCell ref="K201:K202"/>
    <mergeCell ref="B203:F204"/>
    <mergeCell ref="K185:K186"/>
    <mergeCell ref="B187:F188"/>
    <mergeCell ref="G187:G188"/>
    <mergeCell ref="H187:H188"/>
    <mergeCell ref="I187:I188"/>
    <mergeCell ref="J187:J188"/>
    <mergeCell ref="B221:F222"/>
    <mergeCell ref="K187:K188"/>
    <mergeCell ref="H185:H186"/>
    <mergeCell ref="I185:I186"/>
    <mergeCell ref="J185:J186"/>
    <mergeCell ref="H201:H202"/>
    <mergeCell ref="I201:I202"/>
    <mergeCell ref="K165:K166"/>
    <mergeCell ref="B167:F168"/>
    <mergeCell ref="G167:G168"/>
    <mergeCell ref="H167:H168"/>
    <mergeCell ref="I167:I168"/>
    <mergeCell ref="J167:J168"/>
    <mergeCell ref="K167:K168"/>
    <mergeCell ref="B165:F166"/>
    <mergeCell ref="G165:G166"/>
    <mergeCell ref="J197:J198"/>
    <mergeCell ref="H165:H166"/>
    <mergeCell ref="I165:I166"/>
    <mergeCell ref="J165:J166"/>
    <mergeCell ref="B179:F180"/>
    <mergeCell ref="B195:F196"/>
    <mergeCell ref="I193:I194"/>
    <mergeCell ref="J193:J194"/>
    <mergeCell ref="K189:K190"/>
    <mergeCell ref="H197:H198"/>
    <mergeCell ref="G173:G174"/>
    <mergeCell ref="H173:H174"/>
    <mergeCell ref="K197:K198"/>
    <mergeCell ref="G195:G196"/>
    <mergeCell ref="H195:H196"/>
    <mergeCell ref="I195:I196"/>
    <mergeCell ref="J195:J196"/>
    <mergeCell ref="K193:K194"/>
    <mergeCell ref="I149:I150"/>
    <mergeCell ref="B151:F152"/>
    <mergeCell ref="I141:I142"/>
    <mergeCell ref="K161:K162"/>
    <mergeCell ref="B161:F162"/>
    <mergeCell ref="G161:G162"/>
    <mergeCell ref="H161:H162"/>
    <mergeCell ref="I161:I162"/>
    <mergeCell ref="J161:J162"/>
    <mergeCell ref="K155:K156"/>
    <mergeCell ref="B157:F158"/>
    <mergeCell ref="G157:G158"/>
    <mergeCell ref="H157:H158"/>
    <mergeCell ref="I157:I158"/>
    <mergeCell ref="J157:J158"/>
    <mergeCell ref="I155:I156"/>
    <mergeCell ref="J155:J156"/>
    <mergeCell ref="K157:K158"/>
    <mergeCell ref="B159:F160"/>
    <mergeCell ref="G159:G160"/>
    <mergeCell ref="H159:H160"/>
    <mergeCell ref="I159:I160"/>
    <mergeCell ref="J159:J160"/>
    <mergeCell ref="K159:K160"/>
    <mergeCell ref="K145:K146"/>
    <mergeCell ref="B173:F174"/>
    <mergeCell ref="H177:H178"/>
    <mergeCell ref="I177:I178"/>
    <mergeCell ref="G171:G172"/>
    <mergeCell ref="H171:H172"/>
    <mergeCell ref="I171:I172"/>
    <mergeCell ref="B155:F156"/>
    <mergeCell ref="G155:G156"/>
    <mergeCell ref="H155:H156"/>
    <mergeCell ref="K151:K152"/>
    <mergeCell ref="K143:K144"/>
    <mergeCell ref="G141:G142"/>
    <mergeCell ref="H141:H142"/>
    <mergeCell ref="J149:J150"/>
    <mergeCell ref="K149:K150"/>
    <mergeCell ref="H145:H146"/>
    <mergeCell ref="I145:I146"/>
    <mergeCell ref="G151:G152"/>
    <mergeCell ref="H151:H152"/>
    <mergeCell ref="I151:I152"/>
    <mergeCell ref="J151:J152"/>
    <mergeCell ref="J145:J146"/>
    <mergeCell ref="K147:K148"/>
    <mergeCell ref="B149:F150"/>
    <mergeCell ref="G149:G150"/>
    <mergeCell ref="H149:H150"/>
    <mergeCell ref="I127:I128"/>
    <mergeCell ref="J127:J128"/>
    <mergeCell ref="B125:F126"/>
    <mergeCell ref="G125:G126"/>
    <mergeCell ref="I131:I132"/>
    <mergeCell ref="J131:J132"/>
    <mergeCell ref="K125:K126"/>
    <mergeCell ref="J129:J130"/>
    <mergeCell ref="B93:F94"/>
    <mergeCell ref="B133:F134"/>
    <mergeCell ref="K123:K124"/>
    <mergeCell ref="I153:I154"/>
    <mergeCell ref="J153:J154"/>
    <mergeCell ref="K153:K154"/>
    <mergeCell ref="B153:F154"/>
    <mergeCell ref="G153:G154"/>
    <mergeCell ref="H153:H154"/>
    <mergeCell ref="H137:H138"/>
    <mergeCell ref="I137:I138"/>
    <mergeCell ref="J137:J138"/>
    <mergeCell ref="I101:I102"/>
    <mergeCell ref="G85:G86"/>
    <mergeCell ref="H85:H86"/>
    <mergeCell ref="I85:I86"/>
    <mergeCell ref="J85:J86"/>
    <mergeCell ref="H91:H92"/>
    <mergeCell ref="J95:J96"/>
    <mergeCell ref="K93:K94"/>
    <mergeCell ref="K101:K102"/>
    <mergeCell ref="H83:H84"/>
    <mergeCell ref="G93:G94"/>
    <mergeCell ref="H89:H90"/>
    <mergeCell ref="K87:K88"/>
    <mergeCell ref="G123:G124"/>
    <mergeCell ref="J141:J142"/>
    <mergeCell ref="K141:K142"/>
    <mergeCell ref="B143:F144"/>
    <mergeCell ref="G143:G144"/>
    <mergeCell ref="H143:H144"/>
    <mergeCell ref="B141:F142"/>
    <mergeCell ref="K131:K132"/>
    <mergeCell ref="B135:F136"/>
    <mergeCell ref="K137:K138"/>
    <mergeCell ref="I111:I112"/>
    <mergeCell ref="J111:J112"/>
    <mergeCell ref="I113:I114"/>
    <mergeCell ref="B137:F138"/>
    <mergeCell ref="G137:G138"/>
    <mergeCell ref="K129:K130"/>
    <mergeCell ref="B127:F128"/>
    <mergeCell ref="G127:G128"/>
    <mergeCell ref="H127:H128"/>
    <mergeCell ref="I121:I122"/>
    <mergeCell ref="J121:J122"/>
    <mergeCell ref="B107:F108"/>
    <mergeCell ref="B105:F106"/>
    <mergeCell ref="G105:G106"/>
    <mergeCell ref="H105:H106"/>
    <mergeCell ref="I105:I106"/>
    <mergeCell ref="J105:J106"/>
    <mergeCell ref="K105:K106"/>
    <mergeCell ref="J115:J116"/>
    <mergeCell ref="K115:K116"/>
    <mergeCell ref="J113:J114"/>
    <mergeCell ref="K113:K114"/>
    <mergeCell ref="B111:F112"/>
    <mergeCell ref="K121:K122"/>
    <mergeCell ref="K117:K118"/>
    <mergeCell ref="G107:G108"/>
    <mergeCell ref="G111:G112"/>
    <mergeCell ref="H111:H112"/>
    <mergeCell ref="I109:I110"/>
    <mergeCell ref="K39:K40"/>
    <mergeCell ref="G49:G50"/>
    <mergeCell ref="K47:K48"/>
    <mergeCell ref="G41:G42"/>
    <mergeCell ref="J43:J44"/>
    <mergeCell ref="J47:J48"/>
    <mergeCell ref="H41:H42"/>
    <mergeCell ref="I45:I46"/>
    <mergeCell ref="K45:K46"/>
    <mergeCell ref="K41:K42"/>
    <mergeCell ref="K49:K50"/>
    <mergeCell ref="J45:J46"/>
    <mergeCell ref="K31:K32"/>
    <mergeCell ref="B29:F30"/>
    <mergeCell ref="G29:G30"/>
    <mergeCell ref="H29:H30"/>
    <mergeCell ref="L117:L118"/>
    <mergeCell ref="J83:J84"/>
    <mergeCell ref="K95:K96"/>
    <mergeCell ref="G103:G104"/>
    <mergeCell ref="H103:H104"/>
    <mergeCell ref="K103:K104"/>
    <mergeCell ref="G91:G92"/>
    <mergeCell ref="H97:H98"/>
    <mergeCell ref="I97:I98"/>
    <mergeCell ref="J97:J98"/>
    <mergeCell ref="H99:H100"/>
    <mergeCell ref="I95:I96"/>
    <mergeCell ref="K97:K98"/>
    <mergeCell ref="J99:J100"/>
    <mergeCell ref="H95:H96"/>
    <mergeCell ref="H87:H88"/>
    <mergeCell ref="B27:F28"/>
    <mergeCell ref="K25:K26"/>
    <mergeCell ref="K33:K34"/>
    <mergeCell ref="B33:F34"/>
    <mergeCell ref="G33:G34"/>
    <mergeCell ref="H33:H34"/>
    <mergeCell ref="I21:I22"/>
    <mergeCell ref="K21:K22"/>
    <mergeCell ref="K23:K24"/>
    <mergeCell ref="B21:F22"/>
    <mergeCell ref="G21:G22"/>
    <mergeCell ref="K37:K38"/>
    <mergeCell ref="I29:I30"/>
    <mergeCell ref="J33:J34"/>
    <mergeCell ref="G27:G28"/>
    <mergeCell ref="B37:F38"/>
    <mergeCell ref="G37:G38"/>
    <mergeCell ref="H37:H38"/>
    <mergeCell ref="I37:I38"/>
    <mergeCell ref="J29:J30"/>
    <mergeCell ref="H35:H36"/>
    <mergeCell ref="I35:I36"/>
    <mergeCell ref="J35:J36"/>
    <mergeCell ref="K35:K36"/>
    <mergeCell ref="K9:K10"/>
    <mergeCell ref="C3:J5"/>
    <mergeCell ref="C6:J7"/>
    <mergeCell ref="B9:F10"/>
    <mergeCell ref="G9:G10"/>
    <mergeCell ref="H9:H10"/>
    <mergeCell ref="I9:I10"/>
    <mergeCell ref="J21:J22"/>
    <mergeCell ref="J25:J26"/>
    <mergeCell ref="I41:I42"/>
    <mergeCell ref="J41:J42"/>
    <mergeCell ref="H27:H28"/>
    <mergeCell ref="I27:I28"/>
    <mergeCell ref="J27:J28"/>
    <mergeCell ref="K19:K20"/>
    <mergeCell ref="I33:I34"/>
    <mergeCell ref="K29:K30"/>
    <mergeCell ref="B31:F32"/>
    <mergeCell ref="G31:G32"/>
    <mergeCell ref="H31:H32"/>
    <mergeCell ref="I31:I32"/>
    <mergeCell ref="B19:F20"/>
    <mergeCell ref="G19:G20"/>
    <mergeCell ref="H19:H20"/>
    <mergeCell ref="I19:I20"/>
    <mergeCell ref="J19:J20"/>
    <mergeCell ref="B39:F40"/>
    <mergeCell ref="G39:G40"/>
    <mergeCell ref="H39:H40"/>
    <mergeCell ref="H21:H22"/>
    <mergeCell ref="K27:K28"/>
    <mergeCell ref="B25:F26"/>
    <mergeCell ref="B41:F42"/>
    <mergeCell ref="I39:I40"/>
    <mergeCell ref="J39:J40"/>
    <mergeCell ref="J37:J38"/>
    <mergeCell ref="B35:F36"/>
    <mergeCell ref="G35:G36"/>
    <mergeCell ref="I43:I44"/>
    <mergeCell ref="J31:J32"/>
    <mergeCell ref="B23:F24"/>
    <mergeCell ref="G23:G24"/>
    <mergeCell ref="H23:H24"/>
    <mergeCell ref="I23:I24"/>
    <mergeCell ref="J23:J24"/>
    <mergeCell ref="J177:J178"/>
    <mergeCell ref="G53:G54"/>
    <mergeCell ref="H53:H54"/>
    <mergeCell ref="J77:J78"/>
    <mergeCell ref="B71:F72"/>
    <mergeCell ref="G71:G72"/>
    <mergeCell ref="H71:H72"/>
    <mergeCell ref="I71:I72"/>
    <mergeCell ref="I59:I60"/>
    <mergeCell ref="J93:J94"/>
    <mergeCell ref="H93:H94"/>
    <mergeCell ref="I93:I94"/>
    <mergeCell ref="H55:H56"/>
    <mergeCell ref="B63:F64"/>
    <mergeCell ref="B75:F76"/>
    <mergeCell ref="J63:J64"/>
    <mergeCell ref="G25:G26"/>
    <mergeCell ref="H25:H26"/>
    <mergeCell ref="I25:I26"/>
    <mergeCell ref="H79:H80"/>
    <mergeCell ref="B81:F82"/>
    <mergeCell ref="B95:F96"/>
    <mergeCell ref="G95:G96"/>
    <mergeCell ref="I69:I70"/>
    <mergeCell ref="H61:H62"/>
    <mergeCell ref="I61:I62"/>
    <mergeCell ref="J61:J62"/>
    <mergeCell ref="G61:G62"/>
    <mergeCell ref="I73:I74"/>
    <mergeCell ref="I83:I84"/>
    <mergeCell ref="K485:K486"/>
    <mergeCell ref="K183:K184"/>
    <mergeCell ref="B191:F192"/>
    <mergeCell ref="G191:G192"/>
    <mergeCell ref="H191:H192"/>
    <mergeCell ref="I191:I192"/>
    <mergeCell ref="J191:J192"/>
    <mergeCell ref="K191:K192"/>
    <mergeCell ref="B189:F190"/>
    <mergeCell ref="G189:G190"/>
    <mergeCell ref="H189:H190"/>
    <mergeCell ref="I189:I190"/>
    <mergeCell ref="B463:F464"/>
    <mergeCell ref="J211:J212"/>
    <mergeCell ref="K211:K212"/>
    <mergeCell ref="B185:F186"/>
    <mergeCell ref="G185:G186"/>
    <mergeCell ref="I183:I184"/>
    <mergeCell ref="G209:G210"/>
    <mergeCell ref="H209:H210"/>
    <mergeCell ref="B119:F120"/>
    <mergeCell ref="H75:H76"/>
    <mergeCell ref="K73:K74"/>
    <mergeCell ref="I77:I78"/>
    <mergeCell ref="J59:J60"/>
    <mergeCell ref="K59:K60"/>
    <mergeCell ref="K79:K80"/>
    <mergeCell ref="K71:K72"/>
    <mergeCell ref="B69:F70"/>
    <mergeCell ref="G69:G70"/>
    <mergeCell ref="I209:I210"/>
    <mergeCell ref="J209:J210"/>
    <mergeCell ref="K205:K206"/>
    <mergeCell ref="B207:F208"/>
    <mergeCell ref="G207:G208"/>
    <mergeCell ref="H181:H182"/>
    <mergeCell ref="B57:F58"/>
    <mergeCell ref="H73:H74"/>
    <mergeCell ref="I65:I66"/>
    <mergeCell ref="H77:H78"/>
    <mergeCell ref="I75:I76"/>
    <mergeCell ref="B73:F74"/>
    <mergeCell ref="J75:J76"/>
    <mergeCell ref="B139:F140"/>
    <mergeCell ref="G139:G140"/>
    <mergeCell ref="H139:H140"/>
    <mergeCell ref="I139:I140"/>
    <mergeCell ref="I133:I134"/>
    <mergeCell ref="J101:J102"/>
    <mergeCell ref="G135:G136"/>
    <mergeCell ref="J135:J136"/>
    <mergeCell ref="J91:J92"/>
    <mergeCell ref="J87:J88"/>
    <mergeCell ref="K195:K196"/>
    <mergeCell ref="J201:J202"/>
    <mergeCell ref="B199:F200"/>
    <mergeCell ref="G199:G200"/>
    <mergeCell ref="H199:H200"/>
    <mergeCell ref="B129:F130"/>
    <mergeCell ref="G129:G130"/>
    <mergeCell ref="H129:H130"/>
    <mergeCell ref="I129:I130"/>
    <mergeCell ref="K51:K52"/>
    <mergeCell ref="B51:F52"/>
    <mergeCell ref="G51:G52"/>
    <mergeCell ref="H51:H52"/>
    <mergeCell ref="B67:F68"/>
    <mergeCell ref="K67:K68"/>
    <mergeCell ref="G89:G90"/>
    <mergeCell ref="B89:F90"/>
    <mergeCell ref="B91:F92"/>
    <mergeCell ref="I89:I90"/>
    <mergeCell ref="J89:J90"/>
    <mergeCell ref="K89:K90"/>
    <mergeCell ref="K53:K54"/>
    <mergeCell ref="B53:F54"/>
    <mergeCell ref="J57:J58"/>
    <mergeCell ref="I55:I56"/>
    <mergeCell ref="J69:J70"/>
    <mergeCell ref="J71:J72"/>
    <mergeCell ref="B61:F62"/>
    <mergeCell ref="B65:F66"/>
    <mergeCell ref="G65:G66"/>
    <mergeCell ref="J73:J74"/>
    <mergeCell ref="G75:G76"/>
    <mergeCell ref="B177:F178"/>
    <mergeCell ref="G177:G178"/>
    <mergeCell ref="K177:K178"/>
    <mergeCell ref="B175:F176"/>
    <mergeCell ref="G175:G176"/>
    <mergeCell ref="H175:H176"/>
    <mergeCell ref="G115:G116"/>
    <mergeCell ref="H115:H116"/>
    <mergeCell ref="I115:I116"/>
    <mergeCell ref="K127:K128"/>
    <mergeCell ref="K85:K86"/>
    <mergeCell ref="B83:F84"/>
    <mergeCell ref="G83:G84"/>
    <mergeCell ref="G81:G82"/>
    <mergeCell ref="K91:K92"/>
    <mergeCell ref="K135:K136"/>
    <mergeCell ref="K83:K84"/>
    <mergeCell ref="K111:K112"/>
    <mergeCell ref="K107:K108"/>
    <mergeCell ref="K109:K110"/>
    <mergeCell ref="G113:G114"/>
    <mergeCell ref="H113:H114"/>
    <mergeCell ref="J107:J108"/>
    <mergeCell ref="G109:G110"/>
    <mergeCell ref="I91:I92"/>
    <mergeCell ref="B109:F110"/>
    <mergeCell ref="B117:F118"/>
    <mergeCell ref="G133:G134"/>
    <mergeCell ref="B115:F116"/>
    <mergeCell ref="B121:F122"/>
    <mergeCell ref="G121:G122"/>
    <mergeCell ref="H121:H122"/>
    <mergeCell ref="K43:K44"/>
    <mergeCell ref="B49:F50"/>
    <mergeCell ref="B47:F48"/>
    <mergeCell ref="G47:G48"/>
    <mergeCell ref="H47:H48"/>
    <mergeCell ref="I47:I48"/>
    <mergeCell ref="I51:I52"/>
    <mergeCell ref="J65:J66"/>
    <mergeCell ref="G57:G58"/>
    <mergeCell ref="H57:H58"/>
    <mergeCell ref="I57:I58"/>
    <mergeCell ref="K61:K62"/>
    <mergeCell ref="K63:K64"/>
    <mergeCell ref="K65:K66"/>
    <mergeCell ref="H65:H66"/>
    <mergeCell ref="B55:F56"/>
    <mergeCell ref="G55:G56"/>
    <mergeCell ref="K55:K56"/>
    <mergeCell ref="J51:J52"/>
    <mergeCell ref="G63:G64"/>
    <mergeCell ref="B45:F46"/>
    <mergeCell ref="G45:G46"/>
    <mergeCell ref="H45:H46"/>
    <mergeCell ref="J53:J54"/>
    <mergeCell ref="J55:J56"/>
    <mergeCell ref="I53:I54"/>
    <mergeCell ref="B43:F44"/>
    <mergeCell ref="G43:G44"/>
    <mergeCell ref="H43:H44"/>
    <mergeCell ref="H49:H50"/>
    <mergeCell ref="I49:I50"/>
    <mergeCell ref="J49:J50"/>
    <mergeCell ref="H69:H70"/>
    <mergeCell ref="K69:K70"/>
    <mergeCell ref="H63:H64"/>
    <mergeCell ref="I63:I64"/>
    <mergeCell ref="K133:K134"/>
    <mergeCell ref="K75:K76"/>
    <mergeCell ref="G73:G74"/>
    <mergeCell ref="K57:K58"/>
    <mergeCell ref="B59:F60"/>
    <mergeCell ref="G59:G60"/>
    <mergeCell ref="K469:K470"/>
    <mergeCell ref="H443:H444"/>
    <mergeCell ref="I443:I444"/>
    <mergeCell ref="J189:J190"/>
    <mergeCell ref="G203:G204"/>
    <mergeCell ref="H203:H204"/>
    <mergeCell ref="I203:I204"/>
    <mergeCell ref="B183:F184"/>
    <mergeCell ref="G183:G184"/>
    <mergeCell ref="H183:H184"/>
    <mergeCell ref="J203:J204"/>
    <mergeCell ref="K203:K204"/>
    <mergeCell ref="B181:F182"/>
    <mergeCell ref="G181:G182"/>
    <mergeCell ref="B103:F104"/>
    <mergeCell ref="J103:J104"/>
    <mergeCell ref="I181:I182"/>
    <mergeCell ref="B461:F462"/>
    <mergeCell ref="B201:F202"/>
    <mergeCell ref="K207:K208"/>
    <mergeCell ref="B205:F206"/>
    <mergeCell ref="G205:G206"/>
    <mergeCell ref="J133:J134"/>
    <mergeCell ref="H207:H208"/>
    <mergeCell ref="I207:I208"/>
    <mergeCell ref="J207:J208"/>
    <mergeCell ref="I219:I220"/>
    <mergeCell ref="G99:G100"/>
    <mergeCell ref="B171:F172"/>
    <mergeCell ref="K171:K172"/>
    <mergeCell ref="I103:I104"/>
    <mergeCell ref="H109:H110"/>
    <mergeCell ref="J109:J110"/>
    <mergeCell ref="J171:J172"/>
    <mergeCell ref="B145:F146"/>
    <mergeCell ref="G145:G146"/>
    <mergeCell ref="K77:K78"/>
    <mergeCell ref="H81:H82"/>
    <mergeCell ref="I81:I82"/>
    <mergeCell ref="J81:J82"/>
    <mergeCell ref="K81:K82"/>
    <mergeCell ref="B79:F80"/>
    <mergeCell ref="G79:G80"/>
    <mergeCell ref="I99:I100"/>
    <mergeCell ref="B87:F88"/>
    <mergeCell ref="G87:G88"/>
    <mergeCell ref="I87:I88"/>
    <mergeCell ref="H135:H136"/>
    <mergeCell ref="I135:I136"/>
    <mergeCell ref="H101:H102"/>
    <mergeCell ref="B123:F124"/>
    <mergeCell ref="I79:I80"/>
    <mergeCell ref="J79:J80"/>
    <mergeCell ref="K175:K176"/>
    <mergeCell ref="B85:F86"/>
    <mergeCell ref="B77:F78"/>
    <mergeCell ref="G77:G78"/>
    <mergeCell ref="I487:I488"/>
    <mergeCell ref="J487:J488"/>
    <mergeCell ref="K139:K140"/>
    <mergeCell ref="H125:H126"/>
    <mergeCell ref="I125:I126"/>
    <mergeCell ref="K99:K100"/>
    <mergeCell ref="J125:J126"/>
    <mergeCell ref="H107:H108"/>
    <mergeCell ref="I107:I108"/>
    <mergeCell ref="B147:F148"/>
    <mergeCell ref="L481:L482"/>
    <mergeCell ref="B441:F442"/>
    <mergeCell ref="G201:G202"/>
    <mergeCell ref="K199:K200"/>
    <mergeCell ref="J181:J182"/>
    <mergeCell ref="B209:F210"/>
    <mergeCell ref="I217:I218"/>
    <mergeCell ref="K209:K210"/>
    <mergeCell ref="B211:F212"/>
    <mergeCell ref="G211:G212"/>
    <mergeCell ref="I451:I452"/>
    <mergeCell ref="J451:J452"/>
    <mergeCell ref="B471:C472"/>
    <mergeCell ref="H211:H212"/>
    <mergeCell ref="B101:F102"/>
    <mergeCell ref="B99:F100"/>
    <mergeCell ref="H193:H194"/>
    <mergeCell ref="B235:F236"/>
    <mergeCell ref="K213:K214"/>
    <mergeCell ref="M481:M482"/>
    <mergeCell ref="B97:F98"/>
    <mergeCell ref="G97:G98"/>
    <mergeCell ref="H133:H134"/>
    <mergeCell ref="G461:G462"/>
    <mergeCell ref="H461:H462"/>
    <mergeCell ref="I461:I462"/>
    <mergeCell ref="J461:J462"/>
    <mergeCell ref="K461:K462"/>
    <mergeCell ref="I143:I144"/>
    <mergeCell ref="J143:J144"/>
    <mergeCell ref="J139:J140"/>
    <mergeCell ref="B469:C470"/>
    <mergeCell ref="G469:G470"/>
    <mergeCell ref="H469:H470"/>
    <mergeCell ref="I175:I176"/>
    <mergeCell ref="J175:J176"/>
    <mergeCell ref="K181:K182"/>
    <mergeCell ref="I147:I148"/>
    <mergeCell ref="J147:J148"/>
    <mergeCell ref="G131:G132"/>
    <mergeCell ref="B131:F132"/>
    <mergeCell ref="G147:G148"/>
    <mergeCell ref="H147:H148"/>
    <mergeCell ref="G101:G102"/>
    <mergeCell ref="H131:H132"/>
    <mergeCell ref="K463:K464"/>
    <mergeCell ref="J183:J184"/>
    <mergeCell ref="K471:K472"/>
    <mergeCell ref="J199:J200"/>
    <mergeCell ref="B193:F194"/>
    <mergeCell ref="G193:G194"/>
    <mergeCell ref="B491:F492"/>
    <mergeCell ref="G491:G492"/>
    <mergeCell ref="H491:H492"/>
    <mergeCell ref="I491:I492"/>
    <mergeCell ref="J491:J492"/>
    <mergeCell ref="K491:K492"/>
    <mergeCell ref="B477:F478"/>
    <mergeCell ref="B479:F480"/>
    <mergeCell ref="G479:G480"/>
    <mergeCell ref="H479:H480"/>
    <mergeCell ref="I479:I480"/>
    <mergeCell ref="J479:J480"/>
    <mergeCell ref="K479:K480"/>
    <mergeCell ref="B481:F482"/>
    <mergeCell ref="K481:K482"/>
    <mergeCell ref="G487:G488"/>
    <mergeCell ref="H487:H488"/>
    <mergeCell ref="B485:F486"/>
    <mergeCell ref="G485:G486"/>
    <mergeCell ref="H485:H486"/>
    <mergeCell ref="B487:F488"/>
    <mergeCell ref="K487:K488"/>
    <mergeCell ref="B215:F216"/>
    <mergeCell ref="G215:G216"/>
    <mergeCell ref="I221:I222"/>
    <mergeCell ref="J221:J222"/>
    <mergeCell ref="B219:F220"/>
    <mergeCell ref="G219:G220"/>
    <mergeCell ref="H219:H220"/>
    <mergeCell ref="H229:H230"/>
    <mergeCell ref="I229:I230"/>
    <mergeCell ref="J229:J230"/>
    <mergeCell ref="I199:I200"/>
    <mergeCell ref="H215:H216"/>
    <mergeCell ref="I215:I216"/>
    <mergeCell ref="J215:J216"/>
    <mergeCell ref="K215:K216"/>
    <mergeCell ref="B213:F214"/>
    <mergeCell ref="G213:G214"/>
    <mergeCell ref="H213:H214"/>
    <mergeCell ref="I213:I214"/>
    <mergeCell ref="J213:J214"/>
    <mergeCell ref="B217:F218"/>
    <mergeCell ref="G217:G218"/>
    <mergeCell ref="H217:H218"/>
    <mergeCell ref="J217:J218"/>
    <mergeCell ref="K217:K218"/>
    <mergeCell ref="K229:K230"/>
    <mergeCell ref="B225:F226"/>
    <mergeCell ref="G225:G226"/>
    <mergeCell ref="H225:H226"/>
    <mergeCell ref="I211:I212"/>
    <mergeCell ref="H205:H206"/>
    <mergeCell ref="J223:J224"/>
    <mergeCell ref="K457:K458"/>
    <mergeCell ref="B455:F456"/>
    <mergeCell ref="G455:G456"/>
    <mergeCell ref="H455:H456"/>
    <mergeCell ref="I455:I456"/>
    <mergeCell ref="J455:J456"/>
    <mergeCell ref="K455:K456"/>
    <mergeCell ref="B489:F490"/>
    <mergeCell ref="G489:G490"/>
    <mergeCell ref="H489:H490"/>
    <mergeCell ref="I489:I490"/>
    <mergeCell ref="J489:J490"/>
    <mergeCell ref="K489:K490"/>
    <mergeCell ref="I485:I486"/>
    <mergeCell ref="J485:J486"/>
    <mergeCell ref="I469:I470"/>
    <mergeCell ref="J469:J470"/>
    <mergeCell ref="G471:G472"/>
    <mergeCell ref="H471:H472"/>
    <mergeCell ref="I471:I472"/>
    <mergeCell ref="J471:J472"/>
    <mergeCell ref="B459:F460"/>
    <mergeCell ref="K459:K460"/>
    <mergeCell ref="B445:F446"/>
    <mergeCell ref="G445:G446"/>
    <mergeCell ref="H445:H446"/>
    <mergeCell ref="I445:I446"/>
    <mergeCell ref="J445:J446"/>
    <mergeCell ref="K445:K446"/>
    <mergeCell ref="B453:F454"/>
    <mergeCell ref="G453:G454"/>
    <mergeCell ref="H453:H454"/>
    <mergeCell ref="I453:I454"/>
    <mergeCell ref="J453:J454"/>
    <mergeCell ref="K453:K454"/>
    <mergeCell ref="B449:F450"/>
    <mergeCell ref="G449:G450"/>
    <mergeCell ref="H449:H450"/>
    <mergeCell ref="I449:I450"/>
    <mergeCell ref="J449:J450"/>
    <mergeCell ref="K449:K450"/>
    <mergeCell ref="K451:K452"/>
    <mergeCell ref="B447:F448"/>
    <mergeCell ref="G447:G448"/>
    <mergeCell ref="H447:H448"/>
    <mergeCell ref="I447:I448"/>
    <mergeCell ref="K447:K448"/>
  </mergeCells>
  <phoneticPr fontId="41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>
    <oddFooter>&amp;L&amp;D&amp;R&amp;P/&amp;N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M37"/>
  <sheetViews>
    <sheetView showGridLines="0" view="pageBreakPreview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9.109375" style="89"/>
    <col min="13" max="13" width="9.109375" style="90"/>
    <col min="14" max="16384" width="9.109375" style="1"/>
  </cols>
  <sheetData>
    <row r="1" spans="1:13" ht="12" customHeight="1" x14ac:dyDescent="0.25">
      <c r="A1" s="97"/>
    </row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430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3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3" s="45" customFormat="1" ht="8.5500000000000007" customHeight="1" x14ac:dyDescent="0.2">
      <c r="A11" s="43"/>
      <c r="B11" s="218" t="s">
        <v>289</v>
      </c>
      <c r="C11" s="218"/>
      <c r="D11" s="218"/>
      <c r="E11" s="218"/>
      <c r="F11" s="218"/>
      <c r="G11" s="77"/>
      <c r="H11" s="47"/>
      <c r="I11" s="48"/>
      <c r="J11" s="48"/>
      <c r="K11" s="222"/>
      <c r="L11" s="91"/>
      <c r="M11" s="92"/>
    </row>
    <row r="12" spans="1:13" s="45" customFormat="1" ht="8.5500000000000007" customHeight="1" x14ac:dyDescent="0.2">
      <c r="A12" s="43"/>
      <c r="B12" s="219"/>
      <c r="C12" s="219"/>
      <c r="D12" s="219"/>
      <c r="E12" s="219"/>
      <c r="F12" s="219"/>
      <c r="G12" s="78"/>
      <c r="H12" s="54"/>
      <c r="I12" s="49"/>
      <c r="J12" s="49"/>
      <c r="K12" s="165"/>
      <c r="L12" s="91"/>
      <c r="M12" s="92"/>
    </row>
    <row r="13" spans="1:13" s="45" customFormat="1" ht="8.5500000000000007" customHeight="1" x14ac:dyDescent="0.2">
      <c r="A13" s="43"/>
      <c r="B13" s="156" t="s">
        <v>542</v>
      </c>
      <c r="C13" s="156"/>
      <c r="D13" s="156"/>
      <c r="E13" s="156"/>
      <c r="F13" s="157"/>
      <c r="G13" s="189">
        <v>2003</v>
      </c>
      <c r="H13" s="267">
        <v>93</v>
      </c>
      <c r="I13" s="56"/>
      <c r="J13" s="211" t="s">
        <v>252</v>
      </c>
      <c r="K13" s="164">
        <v>1</v>
      </c>
      <c r="L13" s="91"/>
      <c r="M13" s="92"/>
    </row>
    <row r="14" spans="1:13" s="45" customFormat="1" ht="8.5500000000000007" customHeight="1" x14ac:dyDescent="0.2">
      <c r="A14" s="43"/>
      <c r="B14" s="158"/>
      <c r="C14" s="158"/>
      <c r="D14" s="158"/>
      <c r="E14" s="158"/>
      <c r="F14" s="159"/>
      <c r="G14" s="190"/>
      <c r="H14" s="268"/>
      <c r="I14" s="57"/>
      <c r="J14" s="168"/>
      <c r="K14" s="165"/>
      <c r="L14" s="91"/>
      <c r="M14" s="92"/>
    </row>
    <row r="15" spans="1:13" s="45" customFormat="1" ht="8.5500000000000007" customHeight="1" x14ac:dyDescent="0.2">
      <c r="A15" s="43"/>
      <c r="B15" s="156" t="s">
        <v>219</v>
      </c>
      <c r="C15" s="156"/>
      <c r="D15" s="156"/>
      <c r="E15" s="156"/>
      <c r="F15" s="157"/>
      <c r="G15" s="166">
        <v>2004</v>
      </c>
      <c r="H15" s="267">
        <v>94</v>
      </c>
      <c r="I15" s="56"/>
      <c r="J15" s="211" t="s">
        <v>288</v>
      </c>
      <c r="K15" s="164">
        <v>1</v>
      </c>
      <c r="L15" s="91"/>
      <c r="M15" s="92"/>
    </row>
    <row r="16" spans="1:13" s="45" customFormat="1" ht="8.5500000000000007" customHeight="1" x14ac:dyDescent="0.2">
      <c r="A16" s="43"/>
      <c r="B16" s="158"/>
      <c r="C16" s="158"/>
      <c r="D16" s="158"/>
      <c r="E16" s="158"/>
      <c r="F16" s="159"/>
      <c r="G16" s="166"/>
      <c r="H16" s="268"/>
      <c r="I16" s="57"/>
      <c r="J16" s="168"/>
      <c r="K16" s="165"/>
      <c r="L16" s="91"/>
      <c r="M16" s="92"/>
    </row>
    <row r="17" spans="1:13" s="45" customFormat="1" ht="8.5500000000000007" customHeight="1" x14ac:dyDescent="0.2">
      <c r="A17" s="43"/>
      <c r="B17" s="156" t="s">
        <v>219</v>
      </c>
      <c r="C17" s="156"/>
      <c r="D17" s="156"/>
      <c r="E17" s="156"/>
      <c r="F17" s="157"/>
      <c r="G17" s="166">
        <v>2006</v>
      </c>
      <c r="H17" s="167">
        <v>92</v>
      </c>
      <c r="I17" s="160">
        <v>91</v>
      </c>
      <c r="J17" s="162" t="s">
        <v>53</v>
      </c>
      <c r="K17" s="164">
        <v>7</v>
      </c>
      <c r="L17" s="91"/>
      <c r="M17" s="92"/>
    </row>
    <row r="18" spans="1:13" s="45" customFormat="1" ht="8.5500000000000007" customHeight="1" x14ac:dyDescent="0.2">
      <c r="A18" s="43"/>
      <c r="B18" s="158"/>
      <c r="C18" s="158"/>
      <c r="D18" s="158"/>
      <c r="E18" s="158"/>
      <c r="F18" s="159"/>
      <c r="G18" s="166"/>
      <c r="H18" s="168"/>
      <c r="I18" s="161"/>
      <c r="J18" s="163"/>
      <c r="K18" s="165"/>
      <c r="L18" s="91"/>
      <c r="M18" s="92"/>
    </row>
    <row r="19" spans="1:13" s="45" customFormat="1" ht="8.5500000000000007" customHeight="1" x14ac:dyDescent="0.2">
      <c r="A19" s="43"/>
      <c r="B19" s="156" t="s">
        <v>385</v>
      </c>
      <c r="C19" s="156"/>
      <c r="D19" s="156"/>
      <c r="E19" s="156"/>
      <c r="F19" s="157"/>
      <c r="G19" s="166">
        <v>2008</v>
      </c>
      <c r="H19" s="267">
        <v>89</v>
      </c>
      <c r="I19" s="160"/>
      <c r="J19" s="160"/>
      <c r="K19" s="164">
        <v>1</v>
      </c>
      <c r="L19" s="91"/>
      <c r="M19" s="92"/>
    </row>
    <row r="20" spans="1:13" s="45" customFormat="1" ht="8.5500000000000007" customHeight="1" x14ac:dyDescent="0.2">
      <c r="A20" s="43"/>
      <c r="B20" s="158"/>
      <c r="C20" s="158"/>
      <c r="D20" s="158"/>
      <c r="E20" s="158"/>
      <c r="F20" s="159"/>
      <c r="G20" s="166"/>
      <c r="H20" s="268"/>
      <c r="I20" s="161"/>
      <c r="J20" s="161"/>
      <c r="K20" s="165"/>
      <c r="L20" s="91"/>
      <c r="M20" s="92"/>
    </row>
    <row r="21" spans="1:13" s="45" customFormat="1" ht="8.5500000000000007" customHeight="1" x14ac:dyDescent="0.2">
      <c r="A21" s="43"/>
      <c r="B21" s="156" t="s">
        <v>701</v>
      </c>
      <c r="C21" s="156"/>
      <c r="D21" s="156"/>
      <c r="E21" s="156"/>
      <c r="F21" s="157"/>
      <c r="G21" s="166">
        <v>2006</v>
      </c>
      <c r="H21" s="267">
        <v>98</v>
      </c>
      <c r="I21" s="160">
        <v>94</v>
      </c>
      <c r="J21" s="160"/>
      <c r="K21" s="164">
        <v>2</v>
      </c>
      <c r="L21" s="91"/>
      <c r="M21" s="92"/>
    </row>
    <row r="22" spans="1:13" s="45" customFormat="1" ht="8.5500000000000007" customHeight="1" x14ac:dyDescent="0.2">
      <c r="A22" s="43"/>
      <c r="B22" s="158"/>
      <c r="C22" s="158"/>
      <c r="D22" s="158"/>
      <c r="E22" s="158"/>
      <c r="F22" s="159"/>
      <c r="G22" s="166"/>
      <c r="H22" s="268"/>
      <c r="I22" s="161"/>
      <c r="J22" s="161"/>
      <c r="K22" s="165"/>
      <c r="L22" s="91"/>
      <c r="M22" s="92"/>
    </row>
    <row r="23" spans="1:13" s="45" customFormat="1" ht="8.5500000000000007" customHeight="1" x14ac:dyDescent="0.2">
      <c r="A23" s="43"/>
      <c r="B23" s="156" t="s">
        <v>701</v>
      </c>
      <c r="C23" s="156"/>
      <c r="D23" s="156"/>
      <c r="E23" s="156"/>
      <c r="F23" s="157"/>
      <c r="G23" s="166">
        <v>2009</v>
      </c>
      <c r="H23" s="267">
        <v>100</v>
      </c>
      <c r="I23" s="160">
        <v>93</v>
      </c>
      <c r="J23" s="160"/>
      <c r="K23" s="164">
        <v>1</v>
      </c>
      <c r="L23" s="91"/>
      <c r="M23" s="92"/>
    </row>
    <row r="24" spans="1:13" s="45" customFormat="1" ht="8.5500000000000007" customHeight="1" x14ac:dyDescent="0.2">
      <c r="A24" s="43"/>
      <c r="B24" s="158"/>
      <c r="C24" s="158"/>
      <c r="D24" s="158"/>
      <c r="E24" s="158"/>
      <c r="F24" s="159"/>
      <c r="G24" s="166"/>
      <c r="H24" s="268"/>
      <c r="I24" s="161"/>
      <c r="J24" s="161"/>
      <c r="K24" s="165"/>
      <c r="L24" s="91"/>
      <c r="M24" s="92"/>
    </row>
    <row r="25" spans="1:13" s="45" customFormat="1" ht="8.5500000000000007" customHeight="1" x14ac:dyDescent="0.2">
      <c r="A25" s="43"/>
      <c r="B25" s="156" t="s">
        <v>543</v>
      </c>
      <c r="C25" s="156"/>
      <c r="D25" s="156"/>
      <c r="E25" s="156"/>
      <c r="F25" s="157"/>
      <c r="G25" s="166">
        <v>2009</v>
      </c>
      <c r="H25" s="267"/>
      <c r="I25" s="160"/>
      <c r="J25" s="211"/>
      <c r="K25" s="164">
        <v>1</v>
      </c>
      <c r="L25" s="91"/>
      <c r="M25" s="92"/>
    </row>
    <row r="26" spans="1:13" s="45" customFormat="1" ht="8.5500000000000007" customHeight="1" x14ac:dyDescent="0.2">
      <c r="A26" s="43"/>
      <c r="B26" s="158"/>
      <c r="C26" s="158"/>
      <c r="D26" s="158"/>
      <c r="E26" s="158"/>
      <c r="F26" s="159"/>
      <c r="G26" s="166"/>
      <c r="H26" s="268"/>
      <c r="I26" s="161"/>
      <c r="J26" s="168"/>
      <c r="K26" s="165"/>
      <c r="L26" s="91"/>
      <c r="M26" s="92"/>
    </row>
    <row r="27" spans="1:13" s="45" customFormat="1" ht="8.5500000000000007" customHeight="1" x14ac:dyDescent="0.2">
      <c r="A27" s="43"/>
      <c r="B27" s="156" t="s">
        <v>1777</v>
      </c>
      <c r="C27" s="156"/>
      <c r="D27" s="156"/>
      <c r="E27" s="156"/>
      <c r="F27" s="157"/>
      <c r="G27" s="166">
        <v>2005</v>
      </c>
      <c r="H27" s="267" t="s">
        <v>633</v>
      </c>
      <c r="I27" s="160"/>
      <c r="J27" s="211"/>
      <c r="K27" s="164">
        <v>2</v>
      </c>
      <c r="L27" s="91"/>
      <c r="M27" s="92"/>
    </row>
    <row r="28" spans="1:13" s="45" customFormat="1" ht="8.5500000000000007" customHeight="1" x14ac:dyDescent="0.2">
      <c r="A28" s="43"/>
      <c r="B28" s="158"/>
      <c r="C28" s="158"/>
      <c r="D28" s="158"/>
      <c r="E28" s="158"/>
      <c r="F28" s="159"/>
      <c r="G28" s="166"/>
      <c r="H28" s="268"/>
      <c r="I28" s="161"/>
      <c r="J28" s="168"/>
      <c r="K28" s="165"/>
      <c r="L28" s="91"/>
      <c r="M28" s="92"/>
    </row>
    <row r="29" spans="1:13" s="45" customFormat="1" ht="8.5500000000000007" customHeight="1" x14ac:dyDescent="0.2">
      <c r="A29" s="43"/>
      <c r="B29" s="156" t="s">
        <v>1812</v>
      </c>
      <c r="C29" s="156"/>
      <c r="D29" s="156"/>
      <c r="E29" s="156"/>
      <c r="F29" s="157"/>
      <c r="G29" s="166">
        <v>2005</v>
      </c>
      <c r="H29" s="267"/>
      <c r="I29" s="160"/>
      <c r="J29" s="211"/>
      <c r="K29" s="164">
        <v>1</v>
      </c>
      <c r="L29" s="91"/>
      <c r="M29" s="92"/>
    </row>
    <row r="30" spans="1:13" s="45" customFormat="1" ht="8.5500000000000007" customHeight="1" x14ac:dyDescent="0.2">
      <c r="A30" s="43"/>
      <c r="B30" s="158"/>
      <c r="C30" s="158"/>
      <c r="D30" s="158"/>
      <c r="E30" s="158"/>
      <c r="F30" s="159"/>
      <c r="G30" s="166"/>
      <c r="H30" s="268"/>
      <c r="I30" s="161"/>
      <c r="J30" s="168"/>
      <c r="K30" s="165"/>
      <c r="L30" s="91"/>
      <c r="M30" s="92"/>
    </row>
    <row r="31" spans="1:13" s="45" customFormat="1" ht="8.5500000000000007" customHeight="1" x14ac:dyDescent="0.2">
      <c r="A31" s="43"/>
      <c r="B31" s="170" t="s">
        <v>793</v>
      </c>
      <c r="C31" s="170"/>
      <c r="D31" s="170"/>
      <c r="E31" s="170"/>
      <c r="F31" s="170"/>
      <c r="G31" s="47"/>
      <c r="H31" s="47"/>
      <c r="I31" s="48"/>
      <c r="J31" s="48"/>
      <c r="K31" s="224">
        <v>17</v>
      </c>
      <c r="L31" s="230">
        <f>SUM(L13:L30)</f>
        <v>0</v>
      </c>
      <c r="M31" s="92"/>
    </row>
    <row r="32" spans="1:13" s="45" customFormat="1" ht="8.5500000000000007" customHeight="1" x14ac:dyDescent="0.2">
      <c r="A32" s="43"/>
      <c r="B32" s="171"/>
      <c r="C32" s="171"/>
      <c r="D32" s="171"/>
      <c r="E32" s="171"/>
      <c r="F32" s="171"/>
      <c r="G32" s="54"/>
      <c r="H32" s="54"/>
      <c r="I32" s="49"/>
      <c r="J32" s="49"/>
      <c r="K32" s="225"/>
      <c r="L32" s="231"/>
      <c r="M32" s="92"/>
    </row>
    <row r="33" spans="1:13" s="45" customFormat="1" ht="8.5500000000000007" customHeight="1" x14ac:dyDescent="0.2">
      <c r="A33" s="43"/>
      <c r="B33" s="156"/>
      <c r="C33" s="156"/>
      <c r="D33" s="156"/>
      <c r="E33" s="156"/>
      <c r="F33" s="156"/>
      <c r="G33" s="307"/>
      <c r="H33" s="304"/>
      <c r="I33" s="305"/>
      <c r="J33" s="302"/>
      <c r="K33" s="311"/>
      <c r="L33" s="91"/>
      <c r="M33" s="92"/>
    </row>
    <row r="34" spans="1:13" s="45" customFormat="1" ht="8.5500000000000007" customHeight="1" x14ac:dyDescent="0.2">
      <c r="A34" s="43"/>
      <c r="B34" s="158"/>
      <c r="C34" s="158"/>
      <c r="D34" s="158"/>
      <c r="E34" s="158"/>
      <c r="F34" s="158"/>
      <c r="G34" s="307"/>
      <c r="H34" s="303"/>
      <c r="I34" s="306"/>
      <c r="J34" s="303"/>
      <c r="K34" s="311"/>
      <c r="L34" s="91"/>
      <c r="M34" s="92"/>
    </row>
    <row r="35" spans="1:13" ht="8.5500000000000007" customHeight="1" x14ac:dyDescent="0.25">
      <c r="B35" s="31"/>
      <c r="C35" s="31"/>
      <c r="D35" s="31"/>
      <c r="E35" s="31"/>
      <c r="F35" s="31"/>
      <c r="G35" s="32"/>
      <c r="H35" s="29"/>
      <c r="I35" s="33"/>
      <c r="J35" s="29"/>
      <c r="L35" s="230">
        <f>SUM(K13:K30)-L31</f>
        <v>17</v>
      </c>
    </row>
    <row r="36" spans="1:13" ht="16.2" x14ac:dyDescent="0.25">
      <c r="B36" s="3"/>
      <c r="L36" s="231"/>
    </row>
    <row r="37" spans="1:13" ht="16.2" x14ac:dyDescent="0.25">
      <c r="A37" s="1"/>
      <c r="B37" s="3"/>
      <c r="L37" s="1"/>
      <c r="M37" s="1"/>
    </row>
  </sheetData>
  <autoFilter ref="A3:M37" xr:uid="{00000000-0009-0000-0000-000005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1">
    <mergeCell ref="B27:F28"/>
    <mergeCell ref="G27:G28"/>
    <mergeCell ref="H27:H28"/>
    <mergeCell ref="I27:I28"/>
    <mergeCell ref="J27:J28"/>
    <mergeCell ref="L35:L36"/>
    <mergeCell ref="J17:J18"/>
    <mergeCell ref="I17:I18"/>
    <mergeCell ref="K17:K18"/>
    <mergeCell ref="I29:I30"/>
    <mergeCell ref="K29:K30"/>
    <mergeCell ref="J29:J30"/>
    <mergeCell ref="I21:I22"/>
    <mergeCell ref="K33:K34"/>
    <mergeCell ref="K25:K26"/>
    <mergeCell ref="I25:I26"/>
    <mergeCell ref="K19:K20"/>
    <mergeCell ref="L31:L32"/>
    <mergeCell ref="J19:J20"/>
    <mergeCell ref="I19:I20"/>
    <mergeCell ref="K27:K28"/>
    <mergeCell ref="G25:G26"/>
    <mergeCell ref="G21:G22"/>
    <mergeCell ref="J21:J22"/>
    <mergeCell ref="K21:K22"/>
    <mergeCell ref="H19:H20"/>
    <mergeCell ref="K23:K24"/>
    <mergeCell ref="G23:G24"/>
    <mergeCell ref="H23:H24"/>
    <mergeCell ref="I23:I24"/>
    <mergeCell ref="J23:J24"/>
    <mergeCell ref="K11:K12"/>
    <mergeCell ref="K15:K16"/>
    <mergeCell ref="I9:I10"/>
    <mergeCell ref="K13:K14"/>
    <mergeCell ref="J13:J14"/>
    <mergeCell ref="K9:K10"/>
    <mergeCell ref="C3:J5"/>
    <mergeCell ref="J15:J16"/>
    <mergeCell ref="D6:J7"/>
    <mergeCell ref="B13:F14"/>
    <mergeCell ref="G13:G14"/>
    <mergeCell ref="H13:H14"/>
    <mergeCell ref="B9:F10"/>
    <mergeCell ref="B11:F12"/>
    <mergeCell ref="B15:F16"/>
    <mergeCell ref="H15:H16"/>
    <mergeCell ref="G9:G10"/>
    <mergeCell ref="H9:H10"/>
    <mergeCell ref="G15:G16"/>
    <mergeCell ref="B17:F18"/>
    <mergeCell ref="B19:F20"/>
    <mergeCell ref="G17:G18"/>
    <mergeCell ref="H17:H18"/>
    <mergeCell ref="G19:G20"/>
    <mergeCell ref="J33:J34"/>
    <mergeCell ref="K31:K32"/>
    <mergeCell ref="H33:H34"/>
    <mergeCell ref="B21:F22"/>
    <mergeCell ref="B25:F26"/>
    <mergeCell ref="G29:G30"/>
    <mergeCell ref="H29:H30"/>
    <mergeCell ref="J25:J26"/>
    <mergeCell ref="H21:H22"/>
    <mergeCell ref="B31:F32"/>
    <mergeCell ref="I33:I34"/>
    <mergeCell ref="B33:F34"/>
    <mergeCell ref="G33:G34"/>
    <mergeCell ref="B29:F30"/>
    <mergeCell ref="H25:H26"/>
    <mergeCell ref="B23:F24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6"/>
  <dimension ref="A1:M433"/>
  <sheetViews>
    <sheetView showGridLines="0" view="pageBreakPreview" zoomScaleNormal="100" zoomScaleSheetLayoutView="100" workbookViewId="0"/>
  </sheetViews>
  <sheetFormatPr defaultColWidth="9.109375" defaultRowHeight="13.2" x14ac:dyDescent="0.25"/>
  <cols>
    <col min="1" max="1" width="9.109375" style="28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9" width="9.109375" style="1"/>
    <col min="10" max="10" width="9.109375" style="119"/>
    <col min="11" max="11" width="10" style="1" customWidth="1"/>
    <col min="12" max="12" width="9.109375" style="89"/>
    <col min="13" max="13" width="9.109375" style="90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430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3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324" t="s">
        <v>987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325"/>
      <c r="K10" s="309"/>
    </row>
    <row r="11" spans="1:13" s="45" customFormat="1" ht="8.5500000000000007" customHeight="1" x14ac:dyDescent="0.2">
      <c r="A11" s="98"/>
      <c r="B11" s="218" t="s">
        <v>87</v>
      </c>
      <c r="C11" s="218"/>
      <c r="D11" s="218"/>
      <c r="E11" s="218"/>
      <c r="F11" s="218"/>
      <c r="G11" s="77"/>
      <c r="H11" s="77"/>
      <c r="I11" s="62"/>
      <c r="J11" s="115"/>
      <c r="K11" s="62"/>
      <c r="L11" s="91"/>
      <c r="M11" s="92"/>
    </row>
    <row r="12" spans="1:13" s="45" customFormat="1" ht="8.5500000000000007" customHeight="1" x14ac:dyDescent="0.2">
      <c r="A12" s="98"/>
      <c r="B12" s="219"/>
      <c r="C12" s="219"/>
      <c r="D12" s="219"/>
      <c r="E12" s="219"/>
      <c r="F12" s="219"/>
      <c r="G12" s="78"/>
      <c r="H12" s="78"/>
      <c r="I12" s="63"/>
      <c r="J12" s="116"/>
      <c r="K12" s="63"/>
      <c r="L12" s="91"/>
      <c r="M12" s="92"/>
    </row>
    <row r="13" spans="1:13" s="45" customFormat="1" ht="8.5500000000000007" customHeight="1" x14ac:dyDescent="0.2">
      <c r="A13" s="98"/>
      <c r="B13" s="156" t="s">
        <v>1032</v>
      </c>
      <c r="C13" s="156"/>
      <c r="D13" s="156"/>
      <c r="E13" s="156"/>
      <c r="F13" s="157"/>
      <c r="G13" s="166">
        <v>1994</v>
      </c>
      <c r="H13" s="167">
        <v>93</v>
      </c>
      <c r="I13" s="160">
        <v>95</v>
      </c>
      <c r="J13" s="247"/>
      <c r="K13" s="164">
        <v>1</v>
      </c>
      <c r="L13" s="91"/>
      <c r="M13" s="92"/>
    </row>
    <row r="14" spans="1:13" s="45" customFormat="1" ht="8.5500000000000007" customHeight="1" x14ac:dyDescent="0.2">
      <c r="A14" s="98"/>
      <c r="B14" s="158"/>
      <c r="C14" s="158"/>
      <c r="D14" s="158"/>
      <c r="E14" s="158"/>
      <c r="F14" s="159"/>
      <c r="G14" s="166"/>
      <c r="H14" s="168"/>
      <c r="I14" s="161"/>
      <c r="J14" s="248"/>
      <c r="K14" s="165"/>
      <c r="L14" s="91"/>
      <c r="M14" s="92"/>
    </row>
    <row r="15" spans="1:13" s="45" customFormat="1" ht="8.5500000000000007" customHeight="1" x14ac:dyDescent="0.2">
      <c r="A15" s="98"/>
      <c r="B15" s="156" t="s">
        <v>610</v>
      </c>
      <c r="C15" s="156"/>
      <c r="D15" s="156"/>
      <c r="E15" s="156"/>
      <c r="F15" s="157"/>
      <c r="G15" s="166">
        <v>1983</v>
      </c>
      <c r="H15" s="167">
        <v>100</v>
      </c>
      <c r="I15" s="160">
        <v>97</v>
      </c>
      <c r="J15" s="247"/>
      <c r="K15" s="164">
        <v>1</v>
      </c>
      <c r="L15" s="91"/>
      <c r="M15" s="92"/>
    </row>
    <row r="16" spans="1:13" s="45" customFormat="1" ht="8.5500000000000007" customHeight="1" x14ac:dyDescent="0.2">
      <c r="A16" s="98"/>
      <c r="B16" s="158"/>
      <c r="C16" s="158"/>
      <c r="D16" s="158"/>
      <c r="E16" s="158"/>
      <c r="F16" s="159"/>
      <c r="G16" s="166"/>
      <c r="H16" s="168"/>
      <c r="I16" s="161"/>
      <c r="J16" s="248"/>
      <c r="K16" s="165"/>
      <c r="L16" s="91"/>
      <c r="M16" s="92"/>
    </row>
    <row r="17" spans="1:13" s="45" customFormat="1" ht="8.5500000000000007" customHeight="1" x14ac:dyDescent="0.2">
      <c r="A17" s="98"/>
      <c r="B17" s="156" t="s">
        <v>610</v>
      </c>
      <c r="C17" s="156"/>
      <c r="D17" s="156"/>
      <c r="E17" s="156"/>
      <c r="F17" s="157"/>
      <c r="G17" s="166">
        <v>1986</v>
      </c>
      <c r="H17" s="167">
        <v>97</v>
      </c>
      <c r="I17" s="160"/>
      <c r="J17" s="247"/>
      <c r="K17" s="164">
        <v>1</v>
      </c>
      <c r="L17" s="91"/>
      <c r="M17" s="92"/>
    </row>
    <row r="18" spans="1:13" s="45" customFormat="1" ht="8.5500000000000007" customHeight="1" x14ac:dyDescent="0.2">
      <c r="A18" s="98"/>
      <c r="B18" s="158"/>
      <c r="C18" s="158"/>
      <c r="D18" s="158"/>
      <c r="E18" s="158"/>
      <c r="F18" s="159"/>
      <c r="G18" s="166"/>
      <c r="H18" s="168"/>
      <c r="I18" s="161"/>
      <c r="J18" s="248"/>
      <c r="K18" s="165"/>
      <c r="L18" s="91"/>
      <c r="M18" s="92"/>
    </row>
    <row r="19" spans="1:13" s="45" customFormat="1" ht="8.5500000000000007" customHeight="1" x14ac:dyDescent="0.2">
      <c r="A19" s="98"/>
      <c r="B19" s="156" t="s">
        <v>610</v>
      </c>
      <c r="C19" s="156"/>
      <c r="D19" s="156"/>
      <c r="E19" s="156"/>
      <c r="F19" s="157"/>
      <c r="G19" s="166">
        <v>1990</v>
      </c>
      <c r="H19" s="167">
        <v>93</v>
      </c>
      <c r="I19" s="160">
        <v>98</v>
      </c>
      <c r="J19" s="247"/>
      <c r="K19" s="164">
        <v>1</v>
      </c>
      <c r="L19" s="91"/>
      <c r="M19" s="92"/>
    </row>
    <row r="20" spans="1:13" s="45" customFormat="1" ht="8.5500000000000007" customHeight="1" x14ac:dyDescent="0.2">
      <c r="A20" s="98"/>
      <c r="B20" s="158"/>
      <c r="C20" s="158"/>
      <c r="D20" s="158"/>
      <c r="E20" s="158"/>
      <c r="F20" s="159"/>
      <c r="G20" s="166"/>
      <c r="H20" s="168"/>
      <c r="I20" s="161"/>
      <c r="J20" s="248"/>
      <c r="K20" s="165"/>
      <c r="L20" s="91"/>
      <c r="M20" s="92"/>
    </row>
    <row r="21" spans="1:13" s="45" customFormat="1" ht="8.5500000000000007" customHeight="1" x14ac:dyDescent="0.2">
      <c r="A21" s="98"/>
      <c r="B21" s="156" t="s">
        <v>610</v>
      </c>
      <c r="C21" s="156"/>
      <c r="D21" s="156"/>
      <c r="E21" s="156"/>
      <c r="F21" s="157"/>
      <c r="G21" s="166">
        <v>1994</v>
      </c>
      <c r="H21" s="167">
        <v>90</v>
      </c>
      <c r="I21" s="160">
        <v>96</v>
      </c>
      <c r="J21" s="249"/>
      <c r="K21" s="164">
        <v>1</v>
      </c>
      <c r="L21" s="91"/>
      <c r="M21" s="92"/>
    </row>
    <row r="22" spans="1:13" s="45" customFormat="1" ht="8.5500000000000007" customHeight="1" x14ac:dyDescent="0.2">
      <c r="A22" s="98"/>
      <c r="B22" s="158"/>
      <c r="C22" s="158"/>
      <c r="D22" s="158"/>
      <c r="E22" s="158"/>
      <c r="F22" s="159"/>
      <c r="G22" s="166"/>
      <c r="H22" s="168"/>
      <c r="I22" s="161"/>
      <c r="J22" s="250"/>
      <c r="K22" s="165"/>
      <c r="L22" s="91"/>
      <c r="M22" s="92"/>
    </row>
    <row r="23" spans="1:13" s="45" customFormat="1" ht="8.5500000000000007" customHeight="1" x14ac:dyDescent="0.2">
      <c r="A23" s="98"/>
      <c r="B23" s="156" t="s">
        <v>843</v>
      </c>
      <c r="C23" s="156"/>
      <c r="D23" s="156"/>
      <c r="E23" s="156"/>
      <c r="F23" s="157"/>
      <c r="G23" s="166">
        <v>1994</v>
      </c>
      <c r="H23" s="167">
        <v>90</v>
      </c>
      <c r="I23" s="160">
        <v>96</v>
      </c>
      <c r="J23" s="249"/>
      <c r="K23" s="164">
        <v>1</v>
      </c>
      <c r="L23" s="91"/>
      <c r="M23" s="92"/>
    </row>
    <row r="24" spans="1:13" s="45" customFormat="1" ht="8.5500000000000007" customHeight="1" x14ac:dyDescent="0.2">
      <c r="A24" s="98"/>
      <c r="B24" s="158"/>
      <c r="C24" s="158"/>
      <c r="D24" s="158"/>
      <c r="E24" s="158"/>
      <c r="F24" s="159"/>
      <c r="G24" s="166"/>
      <c r="H24" s="168"/>
      <c r="I24" s="161"/>
      <c r="J24" s="250"/>
      <c r="K24" s="165"/>
      <c r="L24" s="91"/>
      <c r="M24" s="92"/>
    </row>
    <row r="25" spans="1:13" s="45" customFormat="1" ht="8.5500000000000007" customHeight="1" x14ac:dyDescent="0.2">
      <c r="A25" s="98"/>
      <c r="B25" s="156" t="s">
        <v>75</v>
      </c>
      <c r="C25" s="156"/>
      <c r="D25" s="156"/>
      <c r="E25" s="156"/>
      <c r="F25" s="157"/>
      <c r="G25" s="166">
        <v>1992</v>
      </c>
      <c r="H25" s="167">
        <v>93</v>
      </c>
      <c r="I25" s="160">
        <v>94</v>
      </c>
      <c r="J25" s="249"/>
      <c r="K25" s="164">
        <v>1</v>
      </c>
      <c r="L25" s="91"/>
      <c r="M25" s="92"/>
    </row>
    <row r="26" spans="1:13" s="45" customFormat="1" ht="8.5500000000000007" customHeight="1" x14ac:dyDescent="0.2">
      <c r="A26" s="98"/>
      <c r="B26" s="158"/>
      <c r="C26" s="158"/>
      <c r="D26" s="158"/>
      <c r="E26" s="158"/>
      <c r="F26" s="159"/>
      <c r="G26" s="166"/>
      <c r="H26" s="168"/>
      <c r="I26" s="161"/>
      <c r="J26" s="250"/>
      <c r="K26" s="165"/>
      <c r="L26" s="91"/>
      <c r="M26" s="92"/>
    </row>
    <row r="27" spans="1:13" s="45" customFormat="1" ht="8.5500000000000007" customHeight="1" x14ac:dyDescent="0.2">
      <c r="A27" s="98"/>
      <c r="B27" s="156" t="s">
        <v>75</v>
      </c>
      <c r="C27" s="156"/>
      <c r="D27" s="156"/>
      <c r="E27" s="156"/>
      <c r="F27" s="157"/>
      <c r="G27" s="166">
        <v>2003</v>
      </c>
      <c r="H27" s="167"/>
      <c r="I27" s="56"/>
      <c r="J27" s="249"/>
      <c r="K27" s="164">
        <v>1</v>
      </c>
      <c r="L27" s="91"/>
      <c r="M27" s="92"/>
    </row>
    <row r="28" spans="1:13" s="45" customFormat="1" ht="8.5500000000000007" customHeight="1" x14ac:dyDescent="0.2">
      <c r="A28" s="98"/>
      <c r="B28" s="158"/>
      <c r="C28" s="158"/>
      <c r="D28" s="158"/>
      <c r="E28" s="158"/>
      <c r="F28" s="159"/>
      <c r="G28" s="166"/>
      <c r="H28" s="168"/>
      <c r="I28" s="57"/>
      <c r="J28" s="250"/>
      <c r="K28" s="165"/>
      <c r="L28" s="91"/>
      <c r="M28" s="92"/>
    </row>
    <row r="29" spans="1:13" s="45" customFormat="1" ht="8.5500000000000007" customHeight="1" x14ac:dyDescent="0.2">
      <c r="A29" s="98"/>
      <c r="B29" s="156" t="s">
        <v>303</v>
      </c>
      <c r="C29" s="156"/>
      <c r="D29" s="156"/>
      <c r="E29" s="156"/>
      <c r="F29" s="157"/>
      <c r="G29" s="166">
        <v>2006</v>
      </c>
      <c r="H29" s="167"/>
      <c r="I29" s="160">
        <v>96</v>
      </c>
      <c r="J29" s="249"/>
      <c r="K29" s="164">
        <v>1</v>
      </c>
      <c r="L29" s="91"/>
      <c r="M29" s="92"/>
    </row>
    <row r="30" spans="1:13" s="45" customFormat="1" ht="8.5500000000000007" customHeight="1" x14ac:dyDescent="0.2">
      <c r="A30" s="98"/>
      <c r="B30" s="158"/>
      <c r="C30" s="158"/>
      <c r="D30" s="158"/>
      <c r="E30" s="158"/>
      <c r="F30" s="159"/>
      <c r="G30" s="166"/>
      <c r="H30" s="168"/>
      <c r="I30" s="161"/>
      <c r="J30" s="250"/>
      <c r="K30" s="165"/>
      <c r="L30" s="91"/>
      <c r="M30" s="92"/>
    </row>
    <row r="31" spans="1:13" s="45" customFormat="1" ht="8.5500000000000007" customHeight="1" x14ac:dyDescent="0.2">
      <c r="A31" s="98"/>
      <c r="B31" s="156" t="s">
        <v>217</v>
      </c>
      <c r="C31" s="156"/>
      <c r="D31" s="156"/>
      <c r="E31" s="156"/>
      <c r="F31" s="157"/>
      <c r="G31" s="166">
        <v>1982</v>
      </c>
      <c r="H31" s="167"/>
      <c r="I31" s="160">
        <v>93</v>
      </c>
      <c r="J31" s="249"/>
      <c r="K31" s="164">
        <v>1</v>
      </c>
      <c r="L31" s="91"/>
      <c r="M31" s="92"/>
    </row>
    <row r="32" spans="1:13" s="45" customFormat="1" ht="8.5500000000000007" customHeight="1" x14ac:dyDescent="0.2">
      <c r="A32" s="98"/>
      <c r="B32" s="158"/>
      <c r="C32" s="158"/>
      <c r="D32" s="158"/>
      <c r="E32" s="158"/>
      <c r="F32" s="159"/>
      <c r="G32" s="166"/>
      <c r="H32" s="168"/>
      <c r="I32" s="161"/>
      <c r="J32" s="250"/>
      <c r="K32" s="165"/>
      <c r="L32" s="91"/>
      <c r="M32" s="92"/>
    </row>
    <row r="33" spans="1:13" s="45" customFormat="1" ht="8.5500000000000007" customHeight="1" x14ac:dyDescent="0.2">
      <c r="A33" s="98"/>
      <c r="B33" s="156" t="s">
        <v>217</v>
      </c>
      <c r="C33" s="156"/>
      <c r="D33" s="156"/>
      <c r="E33" s="156"/>
      <c r="F33" s="157"/>
      <c r="G33" s="166">
        <v>1988</v>
      </c>
      <c r="H33" s="167"/>
      <c r="I33" s="160">
        <v>95</v>
      </c>
      <c r="J33" s="249"/>
      <c r="K33" s="164">
        <v>2</v>
      </c>
      <c r="L33" s="91"/>
      <c r="M33" s="92"/>
    </row>
    <row r="34" spans="1:13" s="45" customFormat="1" ht="8.5500000000000007" customHeight="1" x14ac:dyDescent="0.2">
      <c r="A34" s="98"/>
      <c r="B34" s="158"/>
      <c r="C34" s="158"/>
      <c r="D34" s="158"/>
      <c r="E34" s="158"/>
      <c r="F34" s="159"/>
      <c r="G34" s="166"/>
      <c r="H34" s="168"/>
      <c r="I34" s="161"/>
      <c r="J34" s="250"/>
      <c r="K34" s="165"/>
      <c r="L34" s="91"/>
      <c r="M34" s="92"/>
    </row>
    <row r="35" spans="1:13" s="45" customFormat="1" ht="8.5500000000000007" customHeight="1" x14ac:dyDescent="0.2">
      <c r="A35" s="98"/>
      <c r="B35" s="156" t="s">
        <v>217</v>
      </c>
      <c r="C35" s="156"/>
      <c r="D35" s="156"/>
      <c r="E35" s="156"/>
      <c r="F35" s="157"/>
      <c r="G35" s="166">
        <v>1990</v>
      </c>
      <c r="H35" s="167">
        <v>89</v>
      </c>
      <c r="I35" s="160">
        <v>94</v>
      </c>
      <c r="J35" s="257">
        <v>18.5</v>
      </c>
      <c r="K35" s="164">
        <v>1</v>
      </c>
      <c r="L35" s="91"/>
      <c r="M35" s="92"/>
    </row>
    <row r="36" spans="1:13" s="45" customFormat="1" ht="8.5500000000000007" customHeight="1" x14ac:dyDescent="0.2">
      <c r="A36" s="98"/>
      <c r="B36" s="158"/>
      <c r="C36" s="158"/>
      <c r="D36" s="158"/>
      <c r="E36" s="158"/>
      <c r="F36" s="159"/>
      <c r="G36" s="166"/>
      <c r="H36" s="168"/>
      <c r="I36" s="161"/>
      <c r="J36" s="250"/>
      <c r="K36" s="165"/>
      <c r="L36" s="91"/>
      <c r="M36" s="92"/>
    </row>
    <row r="37" spans="1:13" s="45" customFormat="1" ht="8.5500000000000007" customHeight="1" x14ac:dyDescent="0.2">
      <c r="A37" s="98"/>
      <c r="B37" s="156" t="s">
        <v>217</v>
      </c>
      <c r="C37" s="156"/>
      <c r="D37" s="156"/>
      <c r="E37" s="156"/>
      <c r="F37" s="157"/>
      <c r="G37" s="166">
        <v>2003</v>
      </c>
      <c r="H37" s="167"/>
      <c r="I37" s="160">
        <v>92</v>
      </c>
      <c r="J37" s="249"/>
      <c r="K37" s="164">
        <v>1</v>
      </c>
      <c r="L37" s="91"/>
      <c r="M37" s="92"/>
    </row>
    <row r="38" spans="1:13" s="45" customFormat="1" ht="8.5500000000000007" customHeight="1" x14ac:dyDescent="0.2">
      <c r="A38" s="98"/>
      <c r="B38" s="158"/>
      <c r="C38" s="158"/>
      <c r="D38" s="158"/>
      <c r="E38" s="158"/>
      <c r="F38" s="159"/>
      <c r="G38" s="166"/>
      <c r="H38" s="168"/>
      <c r="I38" s="161"/>
      <c r="J38" s="250"/>
      <c r="K38" s="165"/>
      <c r="L38" s="91"/>
      <c r="M38" s="92"/>
    </row>
    <row r="39" spans="1:13" s="45" customFormat="1" ht="8.5500000000000007" customHeight="1" x14ac:dyDescent="0.2">
      <c r="A39" s="98"/>
      <c r="B39" s="156" t="s">
        <v>777</v>
      </c>
      <c r="C39" s="156"/>
      <c r="D39" s="156"/>
      <c r="E39" s="156"/>
      <c r="F39" s="157"/>
      <c r="G39" s="189">
        <v>1997</v>
      </c>
      <c r="H39" s="267" t="s">
        <v>556</v>
      </c>
      <c r="I39" s="326">
        <v>92</v>
      </c>
      <c r="J39" s="247"/>
      <c r="K39" s="164">
        <v>1</v>
      </c>
      <c r="L39" s="91"/>
      <c r="M39" s="92"/>
    </row>
    <row r="40" spans="1:13" s="45" customFormat="1" ht="8.5500000000000007" customHeight="1" x14ac:dyDescent="0.2">
      <c r="A40" s="98"/>
      <c r="B40" s="158"/>
      <c r="C40" s="158"/>
      <c r="D40" s="158"/>
      <c r="E40" s="158"/>
      <c r="F40" s="159"/>
      <c r="G40" s="190"/>
      <c r="H40" s="268"/>
      <c r="I40" s="327"/>
      <c r="J40" s="248"/>
      <c r="K40" s="165"/>
      <c r="L40" s="91"/>
      <c r="M40" s="92"/>
    </row>
    <row r="41" spans="1:13" s="45" customFormat="1" ht="8.5500000000000007" customHeight="1" x14ac:dyDescent="0.2">
      <c r="A41" s="98"/>
      <c r="B41" s="156" t="s">
        <v>777</v>
      </c>
      <c r="C41" s="156"/>
      <c r="D41" s="156"/>
      <c r="E41" s="156"/>
      <c r="F41" s="157"/>
      <c r="G41" s="189">
        <v>2006</v>
      </c>
      <c r="H41" s="267" t="s">
        <v>557</v>
      </c>
      <c r="I41" s="326"/>
      <c r="J41" s="257"/>
      <c r="K41" s="164">
        <v>1</v>
      </c>
      <c r="L41" s="91"/>
      <c r="M41" s="92"/>
    </row>
    <row r="42" spans="1:13" s="45" customFormat="1" ht="8.5500000000000007" customHeight="1" x14ac:dyDescent="0.2">
      <c r="A42" s="98"/>
      <c r="B42" s="158"/>
      <c r="C42" s="158"/>
      <c r="D42" s="158"/>
      <c r="E42" s="158"/>
      <c r="F42" s="159"/>
      <c r="G42" s="190"/>
      <c r="H42" s="268"/>
      <c r="I42" s="327"/>
      <c r="J42" s="250"/>
      <c r="K42" s="165"/>
      <c r="L42" s="91"/>
      <c r="M42" s="92"/>
    </row>
    <row r="43" spans="1:13" s="45" customFormat="1" ht="8.5500000000000007" customHeight="1" x14ac:dyDescent="0.2">
      <c r="A43" s="98"/>
      <c r="B43" s="156" t="s">
        <v>777</v>
      </c>
      <c r="C43" s="156"/>
      <c r="D43" s="156"/>
      <c r="E43" s="156"/>
      <c r="F43" s="157"/>
      <c r="G43" s="189">
        <v>2008</v>
      </c>
      <c r="H43" s="267">
        <v>100</v>
      </c>
      <c r="I43" s="326"/>
      <c r="J43" s="255"/>
      <c r="K43" s="164">
        <v>2</v>
      </c>
      <c r="L43" s="91"/>
      <c r="M43" s="92"/>
    </row>
    <row r="44" spans="1:13" s="45" customFormat="1" ht="8.5500000000000007" customHeight="1" x14ac:dyDescent="0.2">
      <c r="A44" s="98"/>
      <c r="B44" s="158"/>
      <c r="C44" s="158"/>
      <c r="D44" s="158"/>
      <c r="E44" s="158"/>
      <c r="F44" s="159"/>
      <c r="G44" s="190"/>
      <c r="H44" s="268"/>
      <c r="I44" s="327"/>
      <c r="J44" s="256"/>
      <c r="K44" s="165"/>
      <c r="L44" s="91"/>
      <c r="M44" s="92"/>
    </row>
    <row r="45" spans="1:13" s="45" customFormat="1" ht="8.5500000000000007" customHeight="1" x14ac:dyDescent="0.2">
      <c r="A45" s="98"/>
      <c r="B45" s="156" t="s">
        <v>900</v>
      </c>
      <c r="C45" s="156"/>
      <c r="D45" s="156"/>
      <c r="E45" s="156"/>
      <c r="F45" s="157"/>
      <c r="G45" s="166">
        <v>1990</v>
      </c>
      <c r="H45" s="267"/>
      <c r="I45" s="160"/>
      <c r="J45" s="257"/>
      <c r="K45" s="164">
        <v>1</v>
      </c>
      <c r="L45" s="91"/>
      <c r="M45" s="92"/>
    </row>
    <row r="46" spans="1:13" s="45" customFormat="1" ht="8.5500000000000007" customHeight="1" x14ac:dyDescent="0.2">
      <c r="A46" s="98"/>
      <c r="B46" s="158"/>
      <c r="C46" s="158"/>
      <c r="D46" s="158"/>
      <c r="E46" s="158"/>
      <c r="F46" s="159"/>
      <c r="G46" s="166"/>
      <c r="H46" s="268"/>
      <c r="I46" s="161"/>
      <c r="J46" s="250"/>
      <c r="K46" s="165"/>
      <c r="L46" s="91"/>
      <c r="M46" s="92"/>
    </row>
    <row r="47" spans="1:13" s="45" customFormat="1" ht="8.5500000000000007" customHeight="1" x14ac:dyDescent="0.2">
      <c r="A47" s="98"/>
      <c r="B47" s="156" t="s">
        <v>774</v>
      </c>
      <c r="C47" s="156"/>
      <c r="D47" s="156"/>
      <c r="E47" s="156"/>
      <c r="F47" s="157"/>
      <c r="G47" s="166">
        <v>1999</v>
      </c>
      <c r="H47" s="267" t="s">
        <v>865</v>
      </c>
      <c r="I47" s="160"/>
      <c r="J47" s="257"/>
      <c r="K47" s="164">
        <v>1</v>
      </c>
      <c r="L47" s="91"/>
      <c r="M47" s="92"/>
    </row>
    <row r="48" spans="1:13" s="45" customFormat="1" ht="8.5500000000000007" customHeight="1" x14ac:dyDescent="0.2">
      <c r="A48" s="98"/>
      <c r="B48" s="158"/>
      <c r="C48" s="158"/>
      <c r="D48" s="158"/>
      <c r="E48" s="158"/>
      <c r="F48" s="159"/>
      <c r="G48" s="166"/>
      <c r="H48" s="268"/>
      <c r="I48" s="161"/>
      <c r="J48" s="250"/>
      <c r="K48" s="165"/>
      <c r="L48" s="91"/>
      <c r="M48" s="92"/>
    </row>
    <row r="49" spans="1:13" s="45" customFormat="1" ht="8.5500000000000007" customHeight="1" x14ac:dyDescent="0.2">
      <c r="A49" s="98"/>
      <c r="B49" s="156" t="s">
        <v>1327</v>
      </c>
      <c r="C49" s="156"/>
      <c r="D49" s="156"/>
      <c r="E49" s="156"/>
      <c r="F49" s="157"/>
      <c r="G49" s="166">
        <v>2005</v>
      </c>
      <c r="H49" s="267">
        <v>96</v>
      </c>
      <c r="I49" s="160"/>
      <c r="J49" s="249"/>
      <c r="K49" s="164">
        <v>1</v>
      </c>
      <c r="L49" s="91"/>
      <c r="M49" s="92"/>
    </row>
    <row r="50" spans="1:13" s="45" customFormat="1" ht="8.5500000000000007" customHeight="1" x14ac:dyDescent="0.2">
      <c r="A50" s="98"/>
      <c r="B50" s="158"/>
      <c r="C50" s="158"/>
      <c r="D50" s="158"/>
      <c r="E50" s="158"/>
      <c r="F50" s="159"/>
      <c r="G50" s="166"/>
      <c r="H50" s="316"/>
      <c r="I50" s="161"/>
      <c r="J50" s="250"/>
      <c r="K50" s="165"/>
      <c r="L50" s="91"/>
      <c r="M50" s="92"/>
    </row>
    <row r="51" spans="1:13" s="45" customFormat="1" ht="8.5500000000000007" customHeight="1" x14ac:dyDescent="0.2">
      <c r="A51" s="98"/>
      <c r="B51" s="156" t="s">
        <v>784</v>
      </c>
      <c r="C51" s="156"/>
      <c r="D51" s="156"/>
      <c r="E51" s="156"/>
      <c r="F51" s="157"/>
      <c r="G51" s="166">
        <v>1990</v>
      </c>
      <c r="H51" s="267">
        <v>94</v>
      </c>
      <c r="I51" s="160">
        <v>95</v>
      </c>
      <c r="J51" s="249"/>
      <c r="K51" s="164">
        <v>1</v>
      </c>
      <c r="L51" s="91"/>
      <c r="M51" s="92"/>
    </row>
    <row r="52" spans="1:13" s="45" customFormat="1" ht="8.5500000000000007" customHeight="1" x14ac:dyDescent="0.2">
      <c r="A52" s="98"/>
      <c r="B52" s="158"/>
      <c r="C52" s="158"/>
      <c r="D52" s="158"/>
      <c r="E52" s="158"/>
      <c r="F52" s="159"/>
      <c r="G52" s="166"/>
      <c r="H52" s="316"/>
      <c r="I52" s="161"/>
      <c r="J52" s="250"/>
      <c r="K52" s="165"/>
      <c r="L52" s="91"/>
      <c r="M52" s="92"/>
    </row>
    <row r="53" spans="1:13" s="45" customFormat="1" ht="8.5500000000000007" customHeight="1" x14ac:dyDescent="0.2">
      <c r="A53" s="98"/>
      <c r="B53" s="156" t="s">
        <v>784</v>
      </c>
      <c r="C53" s="156"/>
      <c r="D53" s="156"/>
      <c r="E53" s="156"/>
      <c r="F53" s="157"/>
      <c r="G53" s="166">
        <v>1992</v>
      </c>
      <c r="H53" s="267">
        <v>97</v>
      </c>
      <c r="I53" s="160"/>
      <c r="J53" s="249">
        <v>16</v>
      </c>
      <c r="K53" s="164">
        <v>2</v>
      </c>
      <c r="L53" s="91"/>
      <c r="M53" s="92"/>
    </row>
    <row r="54" spans="1:13" s="45" customFormat="1" ht="8.5500000000000007" customHeight="1" x14ac:dyDescent="0.2">
      <c r="A54" s="98"/>
      <c r="B54" s="158"/>
      <c r="C54" s="158"/>
      <c r="D54" s="158"/>
      <c r="E54" s="158"/>
      <c r="F54" s="159"/>
      <c r="G54" s="166"/>
      <c r="H54" s="316"/>
      <c r="I54" s="161"/>
      <c r="J54" s="250"/>
      <c r="K54" s="165"/>
      <c r="L54" s="91"/>
      <c r="M54" s="92"/>
    </row>
    <row r="55" spans="1:13" s="45" customFormat="1" ht="8.5500000000000007" customHeight="1" x14ac:dyDescent="0.2">
      <c r="A55" s="98"/>
      <c r="B55" s="156" t="s">
        <v>784</v>
      </c>
      <c r="C55" s="156"/>
      <c r="D55" s="156"/>
      <c r="E55" s="156"/>
      <c r="F55" s="157"/>
      <c r="G55" s="166">
        <v>1999</v>
      </c>
      <c r="H55" s="267">
        <v>94</v>
      </c>
      <c r="I55" s="160"/>
      <c r="J55" s="249"/>
      <c r="K55" s="164">
        <v>1</v>
      </c>
      <c r="L55" s="91"/>
      <c r="M55" s="92"/>
    </row>
    <row r="56" spans="1:13" s="45" customFormat="1" ht="8.5500000000000007" customHeight="1" x14ac:dyDescent="0.2">
      <c r="A56" s="98"/>
      <c r="B56" s="158"/>
      <c r="C56" s="158"/>
      <c r="D56" s="158"/>
      <c r="E56" s="158"/>
      <c r="F56" s="159"/>
      <c r="G56" s="166"/>
      <c r="H56" s="268"/>
      <c r="I56" s="161"/>
      <c r="J56" s="250"/>
      <c r="K56" s="165"/>
      <c r="L56" s="91"/>
      <c r="M56" s="92"/>
    </row>
    <row r="57" spans="1:13" s="45" customFormat="1" ht="8.5500000000000007" customHeight="1" x14ac:dyDescent="0.2">
      <c r="A57" s="98"/>
      <c r="B57" s="156" t="s">
        <v>784</v>
      </c>
      <c r="C57" s="156"/>
      <c r="D57" s="156"/>
      <c r="E57" s="156"/>
      <c r="F57" s="157"/>
      <c r="G57" s="166">
        <v>2000</v>
      </c>
      <c r="H57" s="267" t="s">
        <v>688</v>
      </c>
      <c r="I57" s="160"/>
      <c r="J57" s="249">
        <v>18</v>
      </c>
      <c r="K57" s="164">
        <v>1</v>
      </c>
      <c r="L57" s="91"/>
      <c r="M57" s="92"/>
    </row>
    <row r="58" spans="1:13" s="45" customFormat="1" ht="8.5500000000000007" customHeight="1" x14ac:dyDescent="0.2">
      <c r="A58" s="98"/>
      <c r="B58" s="158"/>
      <c r="C58" s="158"/>
      <c r="D58" s="158"/>
      <c r="E58" s="158"/>
      <c r="F58" s="159"/>
      <c r="G58" s="166"/>
      <c r="H58" s="268"/>
      <c r="I58" s="161"/>
      <c r="J58" s="250"/>
      <c r="K58" s="165"/>
      <c r="L58" s="91"/>
      <c r="M58" s="92"/>
    </row>
    <row r="59" spans="1:13" s="45" customFormat="1" ht="8.5500000000000007" customHeight="1" x14ac:dyDescent="0.2">
      <c r="A59" s="98"/>
      <c r="B59" s="156" t="s">
        <v>784</v>
      </c>
      <c r="C59" s="156"/>
      <c r="D59" s="156"/>
      <c r="E59" s="156"/>
      <c r="F59" s="157"/>
      <c r="G59" s="166">
        <v>2005</v>
      </c>
      <c r="H59" s="267"/>
      <c r="I59" s="160"/>
      <c r="J59" s="249"/>
      <c r="K59" s="164">
        <v>1</v>
      </c>
      <c r="L59" s="91"/>
      <c r="M59" s="92"/>
    </row>
    <row r="60" spans="1:13" s="45" customFormat="1" ht="8.5500000000000007" customHeight="1" x14ac:dyDescent="0.2">
      <c r="A60" s="98"/>
      <c r="B60" s="158"/>
      <c r="C60" s="158"/>
      <c r="D60" s="158"/>
      <c r="E60" s="158"/>
      <c r="F60" s="159"/>
      <c r="G60" s="166"/>
      <c r="H60" s="316"/>
      <c r="I60" s="161"/>
      <c r="J60" s="250"/>
      <c r="K60" s="165"/>
      <c r="L60" s="91"/>
      <c r="M60" s="92"/>
    </row>
    <row r="61" spans="1:13" s="45" customFormat="1" ht="8.5500000000000007" customHeight="1" x14ac:dyDescent="0.2">
      <c r="A61" s="98"/>
      <c r="B61" s="156" t="s">
        <v>784</v>
      </c>
      <c r="C61" s="156"/>
      <c r="D61" s="156"/>
      <c r="E61" s="156"/>
      <c r="F61" s="157"/>
      <c r="G61" s="166">
        <v>2009</v>
      </c>
      <c r="H61" s="267">
        <v>96</v>
      </c>
      <c r="I61" s="160"/>
      <c r="J61" s="249">
        <v>17.5</v>
      </c>
      <c r="K61" s="164">
        <v>2</v>
      </c>
      <c r="L61" s="91"/>
      <c r="M61" s="92"/>
    </row>
    <row r="62" spans="1:13" s="45" customFormat="1" ht="8.5500000000000007" customHeight="1" x14ac:dyDescent="0.2">
      <c r="A62" s="98"/>
      <c r="B62" s="158"/>
      <c r="C62" s="158"/>
      <c r="D62" s="158"/>
      <c r="E62" s="158"/>
      <c r="F62" s="159"/>
      <c r="G62" s="166"/>
      <c r="H62" s="316"/>
      <c r="I62" s="161"/>
      <c r="J62" s="250"/>
      <c r="K62" s="165"/>
      <c r="L62" s="91"/>
      <c r="M62" s="92"/>
    </row>
    <row r="63" spans="1:13" s="45" customFormat="1" ht="8.5500000000000007" customHeight="1" x14ac:dyDescent="0.2">
      <c r="A63" s="98"/>
      <c r="B63" s="156" t="s">
        <v>784</v>
      </c>
      <c r="C63" s="156"/>
      <c r="D63" s="156"/>
      <c r="E63" s="156"/>
      <c r="F63" s="157"/>
      <c r="G63" s="166">
        <v>2011</v>
      </c>
      <c r="H63" s="267">
        <v>95</v>
      </c>
      <c r="I63" s="160"/>
      <c r="J63" s="249"/>
      <c r="K63" s="164">
        <v>1</v>
      </c>
      <c r="L63" s="91"/>
      <c r="M63" s="92"/>
    </row>
    <row r="64" spans="1:13" s="45" customFormat="1" ht="8.5500000000000007" customHeight="1" x14ac:dyDescent="0.2">
      <c r="A64" s="98"/>
      <c r="B64" s="158"/>
      <c r="C64" s="158"/>
      <c r="D64" s="158"/>
      <c r="E64" s="158"/>
      <c r="F64" s="159"/>
      <c r="G64" s="166"/>
      <c r="H64" s="316"/>
      <c r="I64" s="161"/>
      <c r="J64" s="250"/>
      <c r="K64" s="165"/>
      <c r="L64" s="91"/>
      <c r="M64" s="92"/>
    </row>
    <row r="65" spans="1:13" s="45" customFormat="1" ht="8.5500000000000007" customHeight="1" x14ac:dyDescent="0.2">
      <c r="A65" s="98"/>
      <c r="B65" s="156" t="s">
        <v>970</v>
      </c>
      <c r="C65" s="156"/>
      <c r="D65" s="156"/>
      <c r="E65" s="156"/>
      <c r="F65" s="157"/>
      <c r="G65" s="166">
        <v>1997</v>
      </c>
      <c r="H65" s="267">
        <v>93</v>
      </c>
      <c r="I65" s="160"/>
      <c r="J65" s="249"/>
      <c r="K65" s="164">
        <v>1</v>
      </c>
      <c r="L65" s="91"/>
      <c r="M65" s="92"/>
    </row>
    <row r="66" spans="1:13" s="45" customFormat="1" ht="8.5500000000000007" customHeight="1" x14ac:dyDescent="0.2">
      <c r="A66" s="98"/>
      <c r="B66" s="158"/>
      <c r="C66" s="158"/>
      <c r="D66" s="158"/>
      <c r="E66" s="158"/>
      <c r="F66" s="159"/>
      <c r="G66" s="166"/>
      <c r="H66" s="316"/>
      <c r="I66" s="161"/>
      <c r="J66" s="250"/>
      <c r="K66" s="165"/>
      <c r="L66" s="91"/>
      <c r="M66" s="92"/>
    </row>
    <row r="67" spans="1:13" s="45" customFormat="1" ht="8.5500000000000007" customHeight="1" x14ac:dyDescent="0.2">
      <c r="A67" s="98"/>
      <c r="B67" s="170" t="s">
        <v>244</v>
      </c>
      <c r="C67" s="170"/>
      <c r="D67" s="170"/>
      <c r="E67" s="170"/>
      <c r="F67" s="170"/>
      <c r="G67" s="77"/>
      <c r="H67" s="77"/>
      <c r="I67" s="62"/>
      <c r="J67" s="115"/>
      <c r="K67" s="164"/>
      <c r="L67" s="91"/>
      <c r="M67" s="92"/>
    </row>
    <row r="68" spans="1:13" s="45" customFormat="1" ht="8.5500000000000007" customHeight="1" x14ac:dyDescent="0.2">
      <c r="A68" s="98"/>
      <c r="B68" s="171"/>
      <c r="C68" s="171"/>
      <c r="D68" s="171"/>
      <c r="E68" s="171"/>
      <c r="F68" s="171"/>
      <c r="G68" s="78"/>
      <c r="H68" s="78"/>
      <c r="I68" s="63"/>
      <c r="J68" s="116"/>
      <c r="K68" s="165"/>
      <c r="L68" s="91"/>
      <c r="M68" s="92"/>
    </row>
    <row r="69" spans="1:13" s="45" customFormat="1" ht="8.5500000000000007" customHeight="1" x14ac:dyDescent="0.2">
      <c r="A69" s="98"/>
      <c r="B69" s="156" t="s">
        <v>1514</v>
      </c>
      <c r="C69" s="156"/>
      <c r="D69" s="156"/>
      <c r="E69" s="156"/>
      <c r="F69" s="157"/>
      <c r="G69" s="166">
        <v>2009</v>
      </c>
      <c r="H69" s="267">
        <v>94</v>
      </c>
      <c r="I69" s="160"/>
      <c r="J69" s="249"/>
      <c r="K69" s="164">
        <v>1</v>
      </c>
      <c r="L69" s="91"/>
      <c r="M69" s="92"/>
    </row>
    <row r="70" spans="1:13" s="45" customFormat="1" ht="8.5500000000000007" customHeight="1" x14ac:dyDescent="0.2">
      <c r="A70" s="98"/>
      <c r="B70" s="158"/>
      <c r="C70" s="158"/>
      <c r="D70" s="158"/>
      <c r="E70" s="158"/>
      <c r="F70" s="159"/>
      <c r="G70" s="166"/>
      <c r="H70" s="316"/>
      <c r="I70" s="161"/>
      <c r="J70" s="250"/>
      <c r="K70" s="165"/>
      <c r="L70" s="91"/>
      <c r="M70" s="92"/>
    </row>
    <row r="71" spans="1:13" s="45" customFormat="1" ht="8.5500000000000007" customHeight="1" x14ac:dyDescent="0.2">
      <c r="A71" s="243"/>
      <c r="B71" s="172" t="s">
        <v>1769</v>
      </c>
      <c r="C71" s="172"/>
      <c r="D71" s="172"/>
      <c r="E71" s="172"/>
      <c r="F71" s="173"/>
      <c r="G71" s="196">
        <v>2006</v>
      </c>
      <c r="H71" s="312"/>
      <c r="I71" s="203"/>
      <c r="J71" s="314"/>
      <c r="K71" s="228">
        <v>1</v>
      </c>
      <c r="L71" s="91"/>
      <c r="M71" s="92"/>
    </row>
    <row r="72" spans="1:13" s="45" customFormat="1" ht="8.5500000000000007" customHeight="1" x14ac:dyDescent="0.2">
      <c r="A72" s="243"/>
      <c r="B72" s="174"/>
      <c r="C72" s="174"/>
      <c r="D72" s="174"/>
      <c r="E72" s="174"/>
      <c r="F72" s="175"/>
      <c r="G72" s="196"/>
      <c r="H72" s="313"/>
      <c r="I72" s="204"/>
      <c r="J72" s="315"/>
      <c r="K72" s="229"/>
      <c r="L72" s="91"/>
      <c r="M72" s="92"/>
    </row>
    <row r="73" spans="1:13" s="45" customFormat="1" ht="8.5500000000000007" customHeight="1" x14ac:dyDescent="0.2">
      <c r="A73" s="98"/>
      <c r="B73" s="156" t="s">
        <v>1769</v>
      </c>
      <c r="C73" s="156"/>
      <c r="D73" s="156"/>
      <c r="E73" s="156"/>
      <c r="F73" s="157"/>
      <c r="G73" s="166">
        <v>2010</v>
      </c>
      <c r="H73" s="267">
        <v>97</v>
      </c>
      <c r="I73" s="160"/>
      <c r="J73" s="249"/>
      <c r="K73" s="164">
        <v>2</v>
      </c>
      <c r="L73" s="91"/>
      <c r="M73" s="92"/>
    </row>
    <row r="74" spans="1:13" s="45" customFormat="1" ht="8.5500000000000007" customHeight="1" x14ac:dyDescent="0.2">
      <c r="A74" s="98"/>
      <c r="B74" s="158"/>
      <c r="C74" s="158"/>
      <c r="D74" s="158"/>
      <c r="E74" s="158"/>
      <c r="F74" s="159"/>
      <c r="G74" s="166"/>
      <c r="H74" s="316"/>
      <c r="I74" s="161"/>
      <c r="J74" s="250"/>
      <c r="K74" s="165"/>
      <c r="L74" s="91"/>
      <c r="M74" s="92"/>
    </row>
    <row r="75" spans="1:13" s="45" customFormat="1" ht="8.5500000000000007" customHeight="1" x14ac:dyDescent="0.2">
      <c r="A75" s="98"/>
      <c r="B75" s="156" t="s">
        <v>1769</v>
      </c>
      <c r="C75" s="156"/>
      <c r="D75" s="156"/>
      <c r="E75" s="156"/>
      <c r="F75" s="157"/>
      <c r="G75" s="166">
        <v>2013</v>
      </c>
      <c r="H75" s="267">
        <v>93</v>
      </c>
      <c r="I75" s="160"/>
      <c r="J75" s="249"/>
      <c r="K75" s="164">
        <v>1</v>
      </c>
      <c r="L75" s="91"/>
      <c r="M75" s="92"/>
    </row>
    <row r="76" spans="1:13" s="45" customFormat="1" ht="8.5500000000000007" customHeight="1" x14ac:dyDescent="0.2">
      <c r="A76" s="98"/>
      <c r="B76" s="158"/>
      <c r="C76" s="158"/>
      <c r="D76" s="158"/>
      <c r="E76" s="158"/>
      <c r="F76" s="159"/>
      <c r="G76" s="166"/>
      <c r="H76" s="316"/>
      <c r="I76" s="161"/>
      <c r="J76" s="250"/>
      <c r="K76" s="165"/>
      <c r="L76" s="91"/>
      <c r="M76" s="92"/>
    </row>
    <row r="77" spans="1:13" s="45" customFormat="1" ht="8.5500000000000007" customHeight="1" x14ac:dyDescent="0.2">
      <c r="A77" s="98"/>
      <c r="B77" s="156" t="s">
        <v>929</v>
      </c>
      <c r="C77" s="156"/>
      <c r="D77" s="156"/>
      <c r="E77" s="156"/>
      <c r="F77" s="157"/>
      <c r="G77" s="166">
        <v>1983</v>
      </c>
      <c r="H77" s="267"/>
      <c r="I77" s="160"/>
      <c r="J77" s="249"/>
      <c r="K77" s="164">
        <v>1</v>
      </c>
      <c r="L77" s="91"/>
      <c r="M77" s="92"/>
    </row>
    <row r="78" spans="1:13" s="45" customFormat="1" ht="8.5500000000000007" customHeight="1" x14ac:dyDescent="0.2">
      <c r="A78" s="98"/>
      <c r="B78" s="158"/>
      <c r="C78" s="158"/>
      <c r="D78" s="158"/>
      <c r="E78" s="158"/>
      <c r="F78" s="159"/>
      <c r="G78" s="166"/>
      <c r="H78" s="316"/>
      <c r="I78" s="161"/>
      <c r="J78" s="250"/>
      <c r="K78" s="165"/>
      <c r="L78" s="91"/>
      <c r="M78" s="92"/>
    </row>
    <row r="79" spans="1:13" s="45" customFormat="1" ht="8.5500000000000007" customHeight="1" x14ac:dyDescent="0.2">
      <c r="A79" s="98"/>
      <c r="B79" s="156" t="s">
        <v>929</v>
      </c>
      <c r="C79" s="156"/>
      <c r="D79" s="156"/>
      <c r="E79" s="156"/>
      <c r="F79" s="157"/>
      <c r="G79" s="166">
        <v>1988</v>
      </c>
      <c r="H79" s="267"/>
      <c r="I79" s="160"/>
      <c r="J79" s="249"/>
      <c r="K79" s="164">
        <v>1</v>
      </c>
      <c r="L79" s="91"/>
      <c r="M79" s="92"/>
    </row>
    <row r="80" spans="1:13" s="45" customFormat="1" ht="8.5500000000000007" customHeight="1" x14ac:dyDescent="0.2">
      <c r="A80" s="98"/>
      <c r="B80" s="158"/>
      <c r="C80" s="158"/>
      <c r="D80" s="158"/>
      <c r="E80" s="158"/>
      <c r="F80" s="159"/>
      <c r="G80" s="166"/>
      <c r="H80" s="316"/>
      <c r="I80" s="161"/>
      <c r="J80" s="250"/>
      <c r="K80" s="165"/>
      <c r="L80" s="91"/>
      <c r="M80" s="92"/>
    </row>
    <row r="81" spans="1:13" s="45" customFormat="1" ht="8.5500000000000007" customHeight="1" x14ac:dyDescent="0.2">
      <c r="A81" s="98"/>
      <c r="B81" s="156" t="s">
        <v>930</v>
      </c>
      <c r="C81" s="156"/>
      <c r="D81" s="156"/>
      <c r="E81" s="156"/>
      <c r="F81" s="157"/>
      <c r="G81" s="166">
        <v>1992</v>
      </c>
      <c r="H81" s="267">
        <v>96</v>
      </c>
      <c r="I81" s="160"/>
      <c r="J81" s="249"/>
      <c r="K81" s="164">
        <v>1</v>
      </c>
      <c r="L81" s="91"/>
      <c r="M81" s="92"/>
    </row>
    <row r="82" spans="1:13" s="45" customFormat="1" ht="8.5500000000000007" customHeight="1" x14ac:dyDescent="0.2">
      <c r="A82" s="98"/>
      <c r="B82" s="158"/>
      <c r="C82" s="158"/>
      <c r="D82" s="158"/>
      <c r="E82" s="158"/>
      <c r="F82" s="159"/>
      <c r="G82" s="166"/>
      <c r="H82" s="316"/>
      <c r="I82" s="161"/>
      <c r="J82" s="250"/>
      <c r="K82" s="165"/>
      <c r="L82" s="91"/>
      <c r="M82" s="92"/>
    </row>
    <row r="83" spans="1:13" s="45" customFormat="1" ht="8.5500000000000007" customHeight="1" x14ac:dyDescent="0.2">
      <c r="A83" s="98"/>
      <c r="B83" s="172" t="s">
        <v>930</v>
      </c>
      <c r="C83" s="172"/>
      <c r="D83" s="172"/>
      <c r="E83" s="172"/>
      <c r="F83" s="173"/>
      <c r="G83" s="166">
        <v>1993</v>
      </c>
      <c r="H83" s="267">
        <v>93</v>
      </c>
      <c r="I83" s="160"/>
      <c r="J83" s="249"/>
      <c r="K83" s="164">
        <v>1</v>
      </c>
      <c r="L83" s="91"/>
      <c r="M83" s="92"/>
    </row>
    <row r="84" spans="1:13" s="45" customFormat="1" ht="8.5500000000000007" customHeight="1" x14ac:dyDescent="0.2">
      <c r="A84" s="98"/>
      <c r="B84" s="174"/>
      <c r="C84" s="174"/>
      <c r="D84" s="174"/>
      <c r="E84" s="174"/>
      <c r="F84" s="175"/>
      <c r="G84" s="166"/>
      <c r="H84" s="316"/>
      <c r="I84" s="161"/>
      <c r="J84" s="250"/>
      <c r="K84" s="165"/>
      <c r="L84" s="91"/>
      <c r="M84" s="92"/>
    </row>
    <row r="85" spans="1:13" s="45" customFormat="1" ht="8.5500000000000007" customHeight="1" x14ac:dyDescent="0.2">
      <c r="A85" s="98"/>
      <c r="B85" s="172" t="s">
        <v>930</v>
      </c>
      <c r="C85" s="172"/>
      <c r="D85" s="172"/>
      <c r="E85" s="172"/>
      <c r="F85" s="173"/>
      <c r="G85" s="166">
        <v>1995</v>
      </c>
      <c r="H85" s="267" t="s">
        <v>276</v>
      </c>
      <c r="I85" s="160"/>
      <c r="J85" s="249"/>
      <c r="K85" s="164">
        <v>1</v>
      </c>
      <c r="L85" s="91"/>
      <c r="M85" s="92"/>
    </row>
    <row r="86" spans="1:13" s="45" customFormat="1" ht="8.5500000000000007" customHeight="1" x14ac:dyDescent="0.2">
      <c r="A86" s="98"/>
      <c r="B86" s="174"/>
      <c r="C86" s="174"/>
      <c r="D86" s="174"/>
      <c r="E86" s="174"/>
      <c r="F86" s="175"/>
      <c r="G86" s="166"/>
      <c r="H86" s="316"/>
      <c r="I86" s="161"/>
      <c r="J86" s="250"/>
      <c r="K86" s="165"/>
      <c r="L86" s="91"/>
      <c r="M86" s="92"/>
    </row>
    <row r="87" spans="1:13" s="45" customFormat="1" ht="8.5500000000000007" customHeight="1" x14ac:dyDescent="0.2">
      <c r="A87" s="98"/>
      <c r="B87" s="156" t="s">
        <v>930</v>
      </c>
      <c r="C87" s="156"/>
      <c r="D87" s="156"/>
      <c r="E87" s="156"/>
      <c r="F87" s="157"/>
      <c r="G87" s="166">
        <v>2005</v>
      </c>
      <c r="H87" s="267">
        <v>92</v>
      </c>
      <c r="I87" s="160"/>
      <c r="J87" s="249"/>
      <c r="K87" s="164">
        <v>2</v>
      </c>
      <c r="L87" s="91"/>
      <c r="M87" s="92"/>
    </row>
    <row r="88" spans="1:13" s="45" customFormat="1" ht="8.5500000000000007" customHeight="1" x14ac:dyDescent="0.2">
      <c r="A88" s="98"/>
      <c r="B88" s="158"/>
      <c r="C88" s="158"/>
      <c r="D88" s="158"/>
      <c r="E88" s="158"/>
      <c r="F88" s="159"/>
      <c r="G88" s="166"/>
      <c r="H88" s="316"/>
      <c r="I88" s="161"/>
      <c r="J88" s="250"/>
      <c r="K88" s="165"/>
      <c r="L88" s="91"/>
      <c r="M88" s="92"/>
    </row>
    <row r="89" spans="1:13" s="45" customFormat="1" ht="8.5500000000000007" customHeight="1" x14ac:dyDescent="0.2">
      <c r="A89" s="243"/>
      <c r="B89" s="172" t="s">
        <v>930</v>
      </c>
      <c r="C89" s="172"/>
      <c r="D89" s="172"/>
      <c r="E89" s="172"/>
      <c r="F89" s="173"/>
      <c r="G89" s="196">
        <v>2006</v>
      </c>
      <c r="H89" s="312"/>
      <c r="I89" s="203"/>
      <c r="J89" s="314"/>
      <c r="K89" s="228">
        <v>1</v>
      </c>
      <c r="L89" s="91"/>
      <c r="M89" s="92"/>
    </row>
    <row r="90" spans="1:13" s="45" customFormat="1" ht="8.5500000000000007" customHeight="1" x14ac:dyDescent="0.2">
      <c r="A90" s="243"/>
      <c r="B90" s="174"/>
      <c r="C90" s="174"/>
      <c r="D90" s="174"/>
      <c r="E90" s="174"/>
      <c r="F90" s="175"/>
      <c r="G90" s="196"/>
      <c r="H90" s="313"/>
      <c r="I90" s="204"/>
      <c r="J90" s="315"/>
      <c r="K90" s="229"/>
      <c r="L90" s="91"/>
      <c r="M90" s="92"/>
    </row>
    <row r="91" spans="1:13" s="45" customFormat="1" ht="8.5500000000000007" customHeight="1" x14ac:dyDescent="0.2">
      <c r="A91" s="98"/>
      <c r="B91" s="156" t="s">
        <v>931</v>
      </c>
      <c r="C91" s="156"/>
      <c r="D91" s="156"/>
      <c r="E91" s="156"/>
      <c r="F91" s="157"/>
      <c r="G91" s="166">
        <v>1992</v>
      </c>
      <c r="H91" s="267">
        <v>94</v>
      </c>
      <c r="I91" s="160"/>
      <c r="J91" s="249"/>
      <c r="K91" s="164">
        <v>1</v>
      </c>
      <c r="L91" s="91"/>
      <c r="M91" s="92"/>
    </row>
    <row r="92" spans="1:13" s="45" customFormat="1" ht="8.5500000000000007" customHeight="1" x14ac:dyDescent="0.2">
      <c r="A92" s="98"/>
      <c r="B92" s="158"/>
      <c r="C92" s="158"/>
      <c r="D92" s="158"/>
      <c r="E92" s="158"/>
      <c r="F92" s="159"/>
      <c r="G92" s="166"/>
      <c r="H92" s="316"/>
      <c r="I92" s="161"/>
      <c r="J92" s="250"/>
      <c r="K92" s="165"/>
      <c r="L92" s="91"/>
      <c r="M92" s="92"/>
    </row>
    <row r="93" spans="1:13" s="45" customFormat="1" ht="8.5500000000000007" customHeight="1" x14ac:dyDescent="0.2">
      <c r="A93" s="98"/>
      <c r="B93" s="156" t="s">
        <v>931</v>
      </c>
      <c r="C93" s="156"/>
      <c r="D93" s="156"/>
      <c r="E93" s="156"/>
      <c r="F93" s="157"/>
      <c r="G93" s="166">
        <v>2013</v>
      </c>
      <c r="H93" s="267" t="s">
        <v>74</v>
      </c>
      <c r="I93" s="160"/>
      <c r="J93" s="249"/>
      <c r="K93" s="164">
        <v>1</v>
      </c>
      <c r="L93" s="91"/>
      <c r="M93" s="92"/>
    </row>
    <row r="94" spans="1:13" s="45" customFormat="1" ht="8.5500000000000007" customHeight="1" x14ac:dyDescent="0.2">
      <c r="A94" s="98"/>
      <c r="B94" s="158"/>
      <c r="C94" s="158"/>
      <c r="D94" s="158"/>
      <c r="E94" s="158"/>
      <c r="F94" s="159"/>
      <c r="G94" s="166"/>
      <c r="H94" s="316"/>
      <c r="I94" s="161"/>
      <c r="J94" s="250"/>
      <c r="K94" s="165"/>
      <c r="L94" s="91"/>
      <c r="M94" s="92"/>
    </row>
    <row r="95" spans="1:13" s="45" customFormat="1" ht="8.5500000000000007" customHeight="1" x14ac:dyDescent="0.2">
      <c r="A95" s="98"/>
      <c r="B95" s="156" t="s">
        <v>932</v>
      </c>
      <c r="C95" s="156"/>
      <c r="D95" s="156"/>
      <c r="E95" s="156"/>
      <c r="F95" s="157"/>
      <c r="G95" s="166">
        <v>2011</v>
      </c>
      <c r="H95" s="267">
        <v>93</v>
      </c>
      <c r="I95" s="160"/>
      <c r="J95" s="249"/>
      <c r="K95" s="164">
        <v>1</v>
      </c>
      <c r="L95" s="91"/>
      <c r="M95" s="92"/>
    </row>
    <row r="96" spans="1:13" s="45" customFormat="1" ht="8.5500000000000007" customHeight="1" x14ac:dyDescent="0.2">
      <c r="A96" s="98"/>
      <c r="B96" s="158"/>
      <c r="C96" s="158"/>
      <c r="D96" s="158"/>
      <c r="E96" s="158"/>
      <c r="F96" s="159"/>
      <c r="G96" s="166"/>
      <c r="H96" s="316"/>
      <c r="I96" s="161"/>
      <c r="J96" s="250"/>
      <c r="K96" s="165"/>
      <c r="L96" s="91"/>
      <c r="M96" s="92"/>
    </row>
    <row r="97" spans="1:13" s="45" customFormat="1" ht="8.5500000000000007" customHeight="1" x14ac:dyDescent="0.2">
      <c r="A97" s="98"/>
      <c r="B97" s="156" t="s">
        <v>932</v>
      </c>
      <c r="C97" s="156"/>
      <c r="D97" s="156"/>
      <c r="E97" s="156"/>
      <c r="F97" s="157"/>
      <c r="G97" s="166">
        <v>2012</v>
      </c>
      <c r="H97" s="267" t="s">
        <v>61</v>
      </c>
      <c r="I97" s="160"/>
      <c r="J97" s="249"/>
      <c r="K97" s="164">
        <v>1</v>
      </c>
      <c r="L97" s="91"/>
      <c r="M97" s="92"/>
    </row>
    <row r="98" spans="1:13" s="45" customFormat="1" ht="8.5500000000000007" customHeight="1" x14ac:dyDescent="0.2">
      <c r="A98" s="98"/>
      <c r="B98" s="158"/>
      <c r="C98" s="158"/>
      <c r="D98" s="158"/>
      <c r="E98" s="158"/>
      <c r="F98" s="159"/>
      <c r="G98" s="166"/>
      <c r="H98" s="316"/>
      <c r="I98" s="161"/>
      <c r="J98" s="250"/>
      <c r="K98" s="165"/>
      <c r="L98" s="91"/>
      <c r="M98" s="92"/>
    </row>
    <row r="99" spans="1:13" s="45" customFormat="1" ht="8.5500000000000007" customHeight="1" x14ac:dyDescent="0.2">
      <c r="A99" s="98"/>
      <c r="B99" s="156" t="s">
        <v>932</v>
      </c>
      <c r="C99" s="156"/>
      <c r="D99" s="156"/>
      <c r="E99" s="156"/>
      <c r="F99" s="157"/>
      <c r="G99" s="166">
        <v>2013</v>
      </c>
      <c r="H99" s="267">
        <v>91</v>
      </c>
      <c r="I99" s="160"/>
      <c r="J99" s="249"/>
      <c r="K99" s="164">
        <v>1</v>
      </c>
      <c r="L99" s="91"/>
      <c r="M99" s="92"/>
    </row>
    <row r="100" spans="1:13" s="45" customFormat="1" ht="8.5500000000000007" customHeight="1" x14ac:dyDescent="0.2">
      <c r="A100" s="98"/>
      <c r="B100" s="158"/>
      <c r="C100" s="158"/>
      <c r="D100" s="158"/>
      <c r="E100" s="158"/>
      <c r="F100" s="159"/>
      <c r="G100" s="166"/>
      <c r="H100" s="316"/>
      <c r="I100" s="161"/>
      <c r="J100" s="250"/>
      <c r="K100" s="165"/>
      <c r="L100" s="91"/>
      <c r="M100" s="92"/>
    </row>
    <row r="101" spans="1:13" s="45" customFormat="1" ht="8.5500000000000007" customHeight="1" x14ac:dyDescent="0.2">
      <c r="A101" s="98"/>
      <c r="B101" s="156" t="s">
        <v>958</v>
      </c>
      <c r="C101" s="156"/>
      <c r="D101" s="156"/>
      <c r="E101" s="156"/>
      <c r="F101" s="157"/>
      <c r="G101" s="166">
        <v>1983</v>
      </c>
      <c r="H101" s="267"/>
      <c r="I101" s="160"/>
      <c r="J101" s="249"/>
      <c r="K101" s="164">
        <v>1</v>
      </c>
      <c r="L101" s="91"/>
      <c r="M101" s="92"/>
    </row>
    <row r="102" spans="1:13" s="45" customFormat="1" ht="8.5500000000000007" customHeight="1" x14ac:dyDescent="0.2">
      <c r="A102" s="98"/>
      <c r="B102" s="158"/>
      <c r="C102" s="158"/>
      <c r="D102" s="158"/>
      <c r="E102" s="158"/>
      <c r="F102" s="159"/>
      <c r="G102" s="166"/>
      <c r="H102" s="316"/>
      <c r="I102" s="161"/>
      <c r="J102" s="250"/>
      <c r="K102" s="165"/>
      <c r="L102" s="91"/>
      <c r="M102" s="92"/>
    </row>
    <row r="103" spans="1:13" s="45" customFormat="1" ht="8.5500000000000007" customHeight="1" x14ac:dyDescent="0.2">
      <c r="A103" s="98"/>
      <c r="B103" s="156" t="s">
        <v>1040</v>
      </c>
      <c r="C103" s="156"/>
      <c r="D103" s="156"/>
      <c r="E103" s="156"/>
      <c r="F103" s="157"/>
      <c r="G103" s="166">
        <v>2002</v>
      </c>
      <c r="H103" s="267" t="s">
        <v>10</v>
      </c>
      <c r="I103" s="160"/>
      <c r="J103" s="249">
        <v>16</v>
      </c>
      <c r="K103" s="164">
        <v>1</v>
      </c>
      <c r="L103" s="91"/>
      <c r="M103" s="92"/>
    </row>
    <row r="104" spans="1:13" s="45" customFormat="1" ht="8.5500000000000007" customHeight="1" x14ac:dyDescent="0.2">
      <c r="A104" s="98"/>
      <c r="B104" s="158"/>
      <c r="C104" s="158"/>
      <c r="D104" s="158"/>
      <c r="E104" s="158"/>
      <c r="F104" s="159"/>
      <c r="G104" s="166"/>
      <c r="H104" s="268"/>
      <c r="I104" s="161"/>
      <c r="J104" s="250"/>
      <c r="K104" s="165"/>
      <c r="L104" s="91"/>
      <c r="M104" s="92"/>
    </row>
    <row r="105" spans="1:13" s="45" customFormat="1" ht="8.5500000000000007" customHeight="1" x14ac:dyDescent="0.2">
      <c r="A105" s="98"/>
      <c r="B105" s="156" t="s">
        <v>1041</v>
      </c>
      <c r="C105" s="156"/>
      <c r="D105" s="156"/>
      <c r="E105" s="156"/>
      <c r="F105" s="157"/>
      <c r="G105" s="166">
        <v>2005</v>
      </c>
      <c r="H105" s="267">
        <v>90</v>
      </c>
      <c r="I105" s="160"/>
      <c r="J105" s="249"/>
      <c r="K105" s="164">
        <v>1</v>
      </c>
      <c r="L105" s="91"/>
      <c r="M105" s="92"/>
    </row>
    <row r="106" spans="1:13" s="45" customFormat="1" ht="8.5500000000000007" customHeight="1" x14ac:dyDescent="0.2">
      <c r="A106" s="98"/>
      <c r="B106" s="158"/>
      <c r="C106" s="158"/>
      <c r="D106" s="158"/>
      <c r="E106" s="158"/>
      <c r="F106" s="159"/>
      <c r="G106" s="166"/>
      <c r="H106" s="316"/>
      <c r="I106" s="161"/>
      <c r="J106" s="250"/>
      <c r="K106" s="165"/>
      <c r="L106" s="91"/>
      <c r="M106" s="92"/>
    </row>
    <row r="107" spans="1:13" s="45" customFormat="1" ht="8.5500000000000007" customHeight="1" x14ac:dyDescent="0.2">
      <c r="A107" s="98"/>
      <c r="B107" s="156" t="s">
        <v>783</v>
      </c>
      <c r="C107" s="156"/>
      <c r="D107" s="156"/>
      <c r="E107" s="156"/>
      <c r="F107" s="157"/>
      <c r="G107" s="166">
        <v>1990</v>
      </c>
      <c r="H107" s="267">
        <v>93</v>
      </c>
      <c r="I107" s="160"/>
      <c r="J107" s="247"/>
      <c r="K107" s="164">
        <v>1</v>
      </c>
      <c r="L107" s="91"/>
      <c r="M107" s="92"/>
    </row>
    <row r="108" spans="1:13" s="45" customFormat="1" ht="8.5500000000000007" customHeight="1" x14ac:dyDescent="0.2">
      <c r="A108" s="98"/>
      <c r="B108" s="158"/>
      <c r="C108" s="158"/>
      <c r="D108" s="158"/>
      <c r="E108" s="158"/>
      <c r="F108" s="159"/>
      <c r="G108" s="166"/>
      <c r="H108" s="268"/>
      <c r="I108" s="161"/>
      <c r="J108" s="248"/>
      <c r="K108" s="165"/>
      <c r="L108" s="91"/>
      <c r="M108" s="92"/>
    </row>
    <row r="109" spans="1:13" s="45" customFormat="1" ht="8.5500000000000007" customHeight="1" x14ac:dyDescent="0.2">
      <c r="A109" s="98"/>
      <c r="B109" s="156" t="s">
        <v>783</v>
      </c>
      <c r="C109" s="156"/>
      <c r="D109" s="156"/>
      <c r="E109" s="156"/>
      <c r="F109" s="157"/>
      <c r="G109" s="166">
        <v>1995</v>
      </c>
      <c r="H109" s="267" t="s">
        <v>74</v>
      </c>
      <c r="I109" s="160">
        <v>98</v>
      </c>
      <c r="J109" s="247"/>
      <c r="K109" s="164">
        <v>1</v>
      </c>
      <c r="L109" s="91"/>
      <c r="M109" s="92"/>
    </row>
    <row r="110" spans="1:13" s="45" customFormat="1" ht="8.5500000000000007" customHeight="1" x14ac:dyDescent="0.2">
      <c r="A110" s="98"/>
      <c r="B110" s="158"/>
      <c r="C110" s="158"/>
      <c r="D110" s="158"/>
      <c r="E110" s="158"/>
      <c r="F110" s="159"/>
      <c r="G110" s="166"/>
      <c r="H110" s="268"/>
      <c r="I110" s="161"/>
      <c r="J110" s="248"/>
      <c r="K110" s="165"/>
      <c r="L110" s="91"/>
      <c r="M110" s="92"/>
    </row>
    <row r="111" spans="1:13" s="45" customFormat="1" ht="8.5500000000000007" customHeight="1" x14ac:dyDescent="0.2">
      <c r="A111" s="98"/>
      <c r="B111" s="156" t="s">
        <v>783</v>
      </c>
      <c r="C111" s="156"/>
      <c r="D111" s="156"/>
      <c r="E111" s="156"/>
      <c r="F111" s="157"/>
      <c r="G111" s="166">
        <v>1999</v>
      </c>
      <c r="H111" s="267" t="s">
        <v>74</v>
      </c>
      <c r="I111" s="160">
        <v>95</v>
      </c>
      <c r="J111" s="247"/>
      <c r="K111" s="164">
        <v>1</v>
      </c>
      <c r="L111" s="91"/>
      <c r="M111" s="92"/>
    </row>
    <row r="112" spans="1:13" s="45" customFormat="1" ht="8.5500000000000007" customHeight="1" x14ac:dyDescent="0.2">
      <c r="A112" s="98"/>
      <c r="B112" s="158"/>
      <c r="C112" s="158"/>
      <c r="D112" s="158"/>
      <c r="E112" s="158"/>
      <c r="F112" s="159"/>
      <c r="G112" s="166"/>
      <c r="H112" s="268"/>
      <c r="I112" s="161"/>
      <c r="J112" s="248"/>
      <c r="K112" s="165"/>
      <c r="L112" s="91"/>
      <c r="M112" s="92"/>
    </row>
    <row r="113" spans="1:13" s="45" customFormat="1" ht="8.5500000000000007" customHeight="1" x14ac:dyDescent="0.2">
      <c r="A113" s="98"/>
      <c r="B113" s="156" t="s">
        <v>783</v>
      </c>
      <c r="C113" s="156"/>
      <c r="D113" s="156"/>
      <c r="E113" s="156"/>
      <c r="F113" s="157"/>
      <c r="G113" s="166">
        <v>2000</v>
      </c>
      <c r="H113" s="267" t="s">
        <v>74</v>
      </c>
      <c r="I113" s="160"/>
      <c r="J113" s="257"/>
      <c r="K113" s="164">
        <v>1</v>
      </c>
      <c r="L113" s="91"/>
      <c r="M113" s="92"/>
    </row>
    <row r="114" spans="1:13" s="45" customFormat="1" ht="8.5500000000000007" customHeight="1" x14ac:dyDescent="0.2">
      <c r="A114" s="98"/>
      <c r="B114" s="158"/>
      <c r="C114" s="158"/>
      <c r="D114" s="158"/>
      <c r="E114" s="158"/>
      <c r="F114" s="159"/>
      <c r="G114" s="166"/>
      <c r="H114" s="268"/>
      <c r="I114" s="161"/>
      <c r="J114" s="250"/>
      <c r="K114" s="165"/>
      <c r="L114" s="91"/>
      <c r="M114" s="92"/>
    </row>
    <row r="115" spans="1:13" s="45" customFormat="1" ht="8.5500000000000007" customHeight="1" x14ac:dyDescent="0.2">
      <c r="A115" s="98"/>
      <c r="B115" s="156" t="s">
        <v>783</v>
      </c>
      <c r="C115" s="156"/>
      <c r="D115" s="156"/>
      <c r="E115" s="156"/>
      <c r="F115" s="157"/>
      <c r="G115" s="166">
        <v>2001</v>
      </c>
      <c r="H115" s="267" t="s">
        <v>44</v>
      </c>
      <c r="I115" s="160"/>
      <c r="J115" s="257">
        <v>20</v>
      </c>
      <c r="K115" s="164">
        <v>1</v>
      </c>
      <c r="L115" s="91"/>
      <c r="M115" s="92"/>
    </row>
    <row r="116" spans="1:13" s="45" customFormat="1" ht="8.5500000000000007" customHeight="1" x14ac:dyDescent="0.2">
      <c r="A116" s="98"/>
      <c r="B116" s="158"/>
      <c r="C116" s="158"/>
      <c r="D116" s="158"/>
      <c r="E116" s="158"/>
      <c r="F116" s="159"/>
      <c r="G116" s="166"/>
      <c r="H116" s="268"/>
      <c r="I116" s="161"/>
      <c r="J116" s="250"/>
      <c r="K116" s="165"/>
      <c r="L116" s="91"/>
      <c r="M116" s="92"/>
    </row>
    <row r="117" spans="1:13" s="45" customFormat="1" ht="8.5500000000000007" customHeight="1" x14ac:dyDescent="0.2">
      <c r="A117" s="98"/>
      <c r="B117" s="156" t="s">
        <v>783</v>
      </c>
      <c r="C117" s="156"/>
      <c r="D117" s="156"/>
      <c r="E117" s="156"/>
      <c r="F117" s="157"/>
      <c r="G117" s="166">
        <v>2002</v>
      </c>
      <c r="H117" s="267">
        <v>97</v>
      </c>
      <c r="I117" s="160"/>
      <c r="J117" s="322">
        <v>19.5</v>
      </c>
      <c r="K117" s="164">
        <v>1</v>
      </c>
      <c r="L117" s="91"/>
      <c r="M117" s="92"/>
    </row>
    <row r="118" spans="1:13" s="45" customFormat="1" ht="8.5500000000000007" customHeight="1" x14ac:dyDescent="0.2">
      <c r="A118" s="98"/>
      <c r="B118" s="158"/>
      <c r="C118" s="158"/>
      <c r="D118" s="158"/>
      <c r="E118" s="158"/>
      <c r="F118" s="159"/>
      <c r="G118" s="166"/>
      <c r="H118" s="268"/>
      <c r="I118" s="161"/>
      <c r="J118" s="323"/>
      <c r="K118" s="165"/>
      <c r="L118" s="91"/>
      <c r="M118" s="92"/>
    </row>
    <row r="119" spans="1:13" s="45" customFormat="1" ht="8.5500000000000007" customHeight="1" x14ac:dyDescent="0.2">
      <c r="A119" s="98"/>
      <c r="B119" s="156" t="s">
        <v>913</v>
      </c>
      <c r="C119" s="156"/>
      <c r="D119" s="156"/>
      <c r="E119" s="156"/>
      <c r="F119" s="157"/>
      <c r="G119" s="166">
        <v>1995</v>
      </c>
      <c r="H119" s="267" t="s">
        <v>688</v>
      </c>
      <c r="I119" s="160"/>
      <c r="J119" s="322">
        <v>14</v>
      </c>
      <c r="K119" s="164">
        <v>2</v>
      </c>
      <c r="L119" s="91"/>
      <c r="M119" s="92"/>
    </row>
    <row r="120" spans="1:13" s="45" customFormat="1" ht="8.5500000000000007" customHeight="1" x14ac:dyDescent="0.2">
      <c r="A120" s="98"/>
      <c r="B120" s="158"/>
      <c r="C120" s="158"/>
      <c r="D120" s="158"/>
      <c r="E120" s="158"/>
      <c r="F120" s="159"/>
      <c r="G120" s="166"/>
      <c r="H120" s="268"/>
      <c r="I120" s="161"/>
      <c r="J120" s="323"/>
      <c r="K120" s="165"/>
      <c r="L120" s="91"/>
      <c r="M120" s="92"/>
    </row>
    <row r="121" spans="1:13" s="45" customFormat="1" ht="8.5500000000000007" customHeight="1" x14ac:dyDescent="0.2">
      <c r="A121" s="98"/>
      <c r="B121" s="156" t="s">
        <v>878</v>
      </c>
      <c r="C121" s="156"/>
      <c r="D121" s="156"/>
      <c r="E121" s="156"/>
      <c r="F121" s="157"/>
      <c r="G121" s="166">
        <v>1994</v>
      </c>
      <c r="H121" s="267"/>
      <c r="I121" s="160"/>
      <c r="J121" s="322"/>
      <c r="K121" s="164">
        <v>1</v>
      </c>
      <c r="L121" s="91"/>
      <c r="M121" s="92"/>
    </row>
    <row r="122" spans="1:13" s="45" customFormat="1" ht="8.5500000000000007" customHeight="1" x14ac:dyDescent="0.2">
      <c r="A122" s="98"/>
      <c r="B122" s="158"/>
      <c r="C122" s="158"/>
      <c r="D122" s="158"/>
      <c r="E122" s="158"/>
      <c r="F122" s="159"/>
      <c r="G122" s="166"/>
      <c r="H122" s="268"/>
      <c r="I122" s="161"/>
      <c r="J122" s="323"/>
      <c r="K122" s="165"/>
      <c r="L122" s="91"/>
      <c r="M122" s="92"/>
    </row>
    <row r="123" spans="1:13" s="45" customFormat="1" ht="8.5500000000000007" customHeight="1" x14ac:dyDescent="0.2">
      <c r="A123" s="98"/>
      <c r="B123" s="170" t="s">
        <v>244</v>
      </c>
      <c r="C123" s="170"/>
      <c r="D123" s="170"/>
      <c r="E123" s="170"/>
      <c r="F123" s="170"/>
      <c r="G123" s="77"/>
      <c r="H123" s="77"/>
      <c r="I123" s="62"/>
      <c r="J123" s="115"/>
      <c r="K123" s="164"/>
      <c r="L123" s="91"/>
      <c r="M123" s="92"/>
    </row>
    <row r="124" spans="1:13" s="45" customFormat="1" ht="8.5500000000000007" customHeight="1" x14ac:dyDescent="0.2">
      <c r="A124" s="98"/>
      <c r="B124" s="171"/>
      <c r="C124" s="171"/>
      <c r="D124" s="171"/>
      <c r="E124" s="171"/>
      <c r="F124" s="171"/>
      <c r="G124" s="78"/>
      <c r="H124" s="78"/>
      <c r="I124" s="63"/>
      <c r="J124" s="116"/>
      <c r="K124" s="165"/>
      <c r="L124" s="91"/>
      <c r="M124" s="92"/>
    </row>
    <row r="125" spans="1:13" s="45" customFormat="1" ht="8.5500000000000007" customHeight="1" x14ac:dyDescent="0.2">
      <c r="A125" s="98"/>
      <c r="B125" s="156" t="s">
        <v>878</v>
      </c>
      <c r="C125" s="156"/>
      <c r="D125" s="156"/>
      <c r="E125" s="156"/>
      <c r="F125" s="157"/>
      <c r="G125" s="166">
        <v>1997</v>
      </c>
      <c r="H125" s="267"/>
      <c r="I125" s="160"/>
      <c r="J125" s="322">
        <v>15.5</v>
      </c>
      <c r="K125" s="164">
        <v>1</v>
      </c>
      <c r="L125" s="91"/>
      <c r="M125" s="92"/>
    </row>
    <row r="126" spans="1:13" s="45" customFormat="1" ht="8.5500000000000007" customHeight="1" x14ac:dyDescent="0.2">
      <c r="A126" s="98"/>
      <c r="B126" s="158"/>
      <c r="C126" s="158"/>
      <c r="D126" s="158"/>
      <c r="E126" s="158"/>
      <c r="F126" s="159"/>
      <c r="G126" s="166"/>
      <c r="H126" s="268"/>
      <c r="I126" s="161"/>
      <c r="J126" s="323"/>
      <c r="K126" s="165"/>
      <c r="L126" s="91"/>
      <c r="M126" s="92"/>
    </row>
    <row r="127" spans="1:13" s="45" customFormat="1" ht="8.5500000000000007" customHeight="1" x14ac:dyDescent="0.2">
      <c r="A127" s="98"/>
      <c r="B127" s="156" t="s">
        <v>762</v>
      </c>
      <c r="C127" s="156"/>
      <c r="D127" s="156"/>
      <c r="E127" s="156"/>
      <c r="F127" s="157"/>
      <c r="G127" s="166">
        <v>1989</v>
      </c>
      <c r="H127" s="267">
        <v>98</v>
      </c>
      <c r="I127" s="160"/>
      <c r="J127" s="322"/>
      <c r="K127" s="164">
        <v>1</v>
      </c>
      <c r="L127" s="91"/>
      <c r="M127" s="92"/>
    </row>
    <row r="128" spans="1:13" s="45" customFormat="1" ht="8.5500000000000007" customHeight="1" x14ac:dyDescent="0.2">
      <c r="A128" s="98"/>
      <c r="B128" s="158"/>
      <c r="C128" s="158"/>
      <c r="D128" s="158"/>
      <c r="E128" s="158"/>
      <c r="F128" s="159"/>
      <c r="G128" s="166"/>
      <c r="H128" s="316"/>
      <c r="I128" s="161"/>
      <c r="J128" s="323"/>
      <c r="K128" s="165"/>
      <c r="L128" s="91"/>
      <c r="M128" s="92"/>
    </row>
    <row r="129" spans="1:13" s="45" customFormat="1" ht="8.5500000000000007" customHeight="1" x14ac:dyDescent="0.2">
      <c r="A129" s="98"/>
      <c r="B129" s="156" t="s">
        <v>762</v>
      </c>
      <c r="C129" s="156"/>
      <c r="D129" s="156"/>
      <c r="E129" s="156"/>
      <c r="F129" s="157"/>
      <c r="G129" s="166">
        <v>1990</v>
      </c>
      <c r="H129" s="267">
        <v>92</v>
      </c>
      <c r="I129" s="160">
        <v>95</v>
      </c>
      <c r="J129" s="322">
        <v>18.5</v>
      </c>
      <c r="K129" s="164">
        <v>1</v>
      </c>
      <c r="L129" s="91"/>
      <c r="M129" s="92"/>
    </row>
    <row r="130" spans="1:13" s="45" customFormat="1" ht="8.5500000000000007" customHeight="1" x14ac:dyDescent="0.2">
      <c r="A130" s="98"/>
      <c r="B130" s="158"/>
      <c r="C130" s="158"/>
      <c r="D130" s="158"/>
      <c r="E130" s="158"/>
      <c r="F130" s="159"/>
      <c r="G130" s="166"/>
      <c r="H130" s="316"/>
      <c r="I130" s="161"/>
      <c r="J130" s="323"/>
      <c r="K130" s="165"/>
      <c r="L130" s="91"/>
      <c r="M130" s="92"/>
    </row>
    <row r="131" spans="1:13" s="45" customFormat="1" ht="8.5500000000000007" customHeight="1" x14ac:dyDescent="0.2">
      <c r="A131" s="98"/>
      <c r="B131" s="156" t="s">
        <v>762</v>
      </c>
      <c r="C131" s="156"/>
      <c r="D131" s="156"/>
      <c r="E131" s="156"/>
      <c r="F131" s="157"/>
      <c r="G131" s="166">
        <v>1992</v>
      </c>
      <c r="H131" s="267" t="s">
        <v>556</v>
      </c>
      <c r="I131" s="160"/>
      <c r="J131" s="322">
        <v>17</v>
      </c>
      <c r="K131" s="164">
        <v>1</v>
      </c>
      <c r="L131" s="91"/>
      <c r="M131" s="92"/>
    </row>
    <row r="132" spans="1:13" s="45" customFormat="1" ht="8.5500000000000007" customHeight="1" x14ac:dyDescent="0.2">
      <c r="A132" s="98"/>
      <c r="B132" s="158"/>
      <c r="C132" s="158"/>
      <c r="D132" s="158"/>
      <c r="E132" s="158"/>
      <c r="F132" s="159"/>
      <c r="G132" s="166"/>
      <c r="H132" s="316"/>
      <c r="I132" s="161"/>
      <c r="J132" s="323"/>
      <c r="K132" s="165"/>
      <c r="L132" s="91"/>
      <c r="M132" s="92"/>
    </row>
    <row r="133" spans="1:13" s="45" customFormat="1" ht="8.5500000000000007" customHeight="1" x14ac:dyDescent="0.2">
      <c r="A133" s="98"/>
      <c r="B133" s="156" t="s">
        <v>762</v>
      </c>
      <c r="C133" s="156"/>
      <c r="D133" s="156"/>
      <c r="E133" s="156"/>
      <c r="F133" s="157"/>
      <c r="G133" s="166">
        <v>1995</v>
      </c>
      <c r="H133" s="267">
        <v>93</v>
      </c>
      <c r="I133" s="160">
        <v>97</v>
      </c>
      <c r="J133" s="322">
        <v>17.5</v>
      </c>
      <c r="K133" s="164">
        <v>1</v>
      </c>
      <c r="L133" s="91"/>
      <c r="M133" s="92"/>
    </row>
    <row r="134" spans="1:13" s="45" customFormat="1" ht="8.5500000000000007" customHeight="1" x14ac:dyDescent="0.2">
      <c r="A134" s="98"/>
      <c r="B134" s="158"/>
      <c r="C134" s="158"/>
      <c r="D134" s="158"/>
      <c r="E134" s="158"/>
      <c r="F134" s="159"/>
      <c r="G134" s="166"/>
      <c r="H134" s="316"/>
      <c r="I134" s="161"/>
      <c r="J134" s="323"/>
      <c r="K134" s="165"/>
      <c r="L134" s="91"/>
      <c r="M134" s="92"/>
    </row>
    <row r="135" spans="1:13" s="45" customFormat="1" ht="8.5500000000000007" customHeight="1" x14ac:dyDescent="0.2">
      <c r="A135" s="98"/>
      <c r="B135" s="156" t="s">
        <v>762</v>
      </c>
      <c r="C135" s="156"/>
      <c r="D135" s="156"/>
      <c r="E135" s="156"/>
      <c r="F135" s="157"/>
      <c r="G135" s="166">
        <v>1999</v>
      </c>
      <c r="H135" s="267" t="s">
        <v>688</v>
      </c>
      <c r="I135" s="160"/>
      <c r="J135" s="322"/>
      <c r="K135" s="164">
        <v>1</v>
      </c>
      <c r="L135" s="91"/>
      <c r="M135" s="92"/>
    </row>
    <row r="136" spans="1:13" s="45" customFormat="1" ht="8.5500000000000007" customHeight="1" x14ac:dyDescent="0.2">
      <c r="A136" s="98"/>
      <c r="B136" s="158"/>
      <c r="C136" s="158"/>
      <c r="D136" s="158"/>
      <c r="E136" s="158"/>
      <c r="F136" s="159"/>
      <c r="G136" s="166"/>
      <c r="H136" s="316"/>
      <c r="I136" s="161"/>
      <c r="J136" s="323"/>
      <c r="K136" s="165"/>
      <c r="L136" s="91"/>
      <c r="M136" s="92"/>
    </row>
    <row r="137" spans="1:13" s="45" customFormat="1" ht="8.5500000000000007" customHeight="1" x14ac:dyDescent="0.2">
      <c r="A137" s="98"/>
      <c r="B137" s="156" t="s">
        <v>736</v>
      </c>
      <c r="C137" s="156"/>
      <c r="D137" s="156"/>
      <c r="E137" s="156"/>
      <c r="F137" s="157"/>
      <c r="G137" s="166">
        <v>1990</v>
      </c>
      <c r="H137" s="267">
        <v>92</v>
      </c>
      <c r="I137" s="160">
        <v>95</v>
      </c>
      <c r="J137" s="322">
        <v>19.5</v>
      </c>
      <c r="K137" s="164">
        <v>1</v>
      </c>
      <c r="L137" s="91"/>
      <c r="M137" s="92"/>
    </row>
    <row r="138" spans="1:13" s="45" customFormat="1" ht="8.5500000000000007" customHeight="1" x14ac:dyDescent="0.2">
      <c r="A138" s="98"/>
      <c r="B138" s="158"/>
      <c r="C138" s="158"/>
      <c r="D138" s="158"/>
      <c r="E138" s="158"/>
      <c r="F138" s="159"/>
      <c r="G138" s="166"/>
      <c r="H138" s="316"/>
      <c r="I138" s="161"/>
      <c r="J138" s="323"/>
      <c r="K138" s="165"/>
      <c r="L138" s="91"/>
      <c r="M138" s="92"/>
    </row>
    <row r="139" spans="1:13" s="45" customFormat="1" ht="8.5500000000000007" customHeight="1" x14ac:dyDescent="0.2">
      <c r="A139" s="98"/>
      <c r="B139" s="156" t="s">
        <v>736</v>
      </c>
      <c r="C139" s="156"/>
      <c r="D139" s="156"/>
      <c r="E139" s="156"/>
      <c r="F139" s="157"/>
      <c r="G139" s="166">
        <v>1995</v>
      </c>
      <c r="H139" s="267">
        <v>93</v>
      </c>
      <c r="I139" s="160">
        <v>97</v>
      </c>
      <c r="J139" s="322">
        <v>19.5</v>
      </c>
      <c r="K139" s="164">
        <v>1</v>
      </c>
      <c r="L139" s="91"/>
      <c r="M139" s="92"/>
    </row>
    <row r="140" spans="1:13" s="45" customFormat="1" ht="8.5500000000000007" customHeight="1" x14ac:dyDescent="0.2">
      <c r="A140" s="98"/>
      <c r="B140" s="158"/>
      <c r="C140" s="158"/>
      <c r="D140" s="158"/>
      <c r="E140" s="158"/>
      <c r="F140" s="159"/>
      <c r="G140" s="166"/>
      <c r="H140" s="316"/>
      <c r="I140" s="161"/>
      <c r="J140" s="323"/>
      <c r="K140" s="165"/>
      <c r="L140" s="91"/>
      <c r="M140" s="92"/>
    </row>
    <row r="141" spans="1:13" s="45" customFormat="1" ht="8.5500000000000007" customHeight="1" x14ac:dyDescent="0.2">
      <c r="A141" s="98"/>
      <c r="B141" s="156" t="s">
        <v>736</v>
      </c>
      <c r="C141" s="156"/>
      <c r="D141" s="156"/>
      <c r="E141" s="156"/>
      <c r="F141" s="157"/>
      <c r="G141" s="166">
        <v>1996</v>
      </c>
      <c r="H141" s="267" t="s">
        <v>68</v>
      </c>
      <c r="I141" s="160">
        <v>96</v>
      </c>
      <c r="J141" s="322">
        <v>16</v>
      </c>
      <c r="K141" s="164">
        <v>1</v>
      </c>
      <c r="L141" s="91"/>
      <c r="M141" s="92"/>
    </row>
    <row r="142" spans="1:13" s="45" customFormat="1" ht="8.5500000000000007" customHeight="1" x14ac:dyDescent="0.2">
      <c r="A142" s="98"/>
      <c r="B142" s="158"/>
      <c r="C142" s="158"/>
      <c r="D142" s="158"/>
      <c r="E142" s="158"/>
      <c r="F142" s="159"/>
      <c r="G142" s="166"/>
      <c r="H142" s="268"/>
      <c r="I142" s="161"/>
      <c r="J142" s="323"/>
      <c r="K142" s="165"/>
      <c r="L142" s="91"/>
      <c r="M142" s="92"/>
    </row>
    <row r="143" spans="1:13" s="45" customFormat="1" ht="8.5500000000000007" customHeight="1" x14ac:dyDescent="0.2">
      <c r="A143" s="98"/>
      <c r="B143" s="156" t="s">
        <v>736</v>
      </c>
      <c r="C143" s="156"/>
      <c r="D143" s="156"/>
      <c r="E143" s="156"/>
      <c r="F143" s="157"/>
      <c r="G143" s="166">
        <v>1997</v>
      </c>
      <c r="H143" s="267" t="s">
        <v>74</v>
      </c>
      <c r="I143" s="160">
        <v>93</v>
      </c>
      <c r="J143" s="322">
        <v>17</v>
      </c>
      <c r="K143" s="164">
        <v>1</v>
      </c>
      <c r="L143" s="91"/>
      <c r="M143" s="92"/>
    </row>
    <row r="144" spans="1:13" s="45" customFormat="1" ht="8.5500000000000007" customHeight="1" x14ac:dyDescent="0.2">
      <c r="A144" s="98"/>
      <c r="B144" s="158"/>
      <c r="C144" s="158"/>
      <c r="D144" s="158"/>
      <c r="E144" s="158"/>
      <c r="F144" s="159"/>
      <c r="G144" s="166"/>
      <c r="H144" s="316"/>
      <c r="I144" s="161"/>
      <c r="J144" s="323"/>
      <c r="K144" s="165"/>
      <c r="L144" s="91"/>
      <c r="M144" s="92"/>
    </row>
    <row r="145" spans="1:13" s="45" customFormat="1" ht="8.5500000000000007" customHeight="1" x14ac:dyDescent="0.2">
      <c r="A145" s="98"/>
      <c r="B145" s="156" t="s">
        <v>736</v>
      </c>
      <c r="C145" s="156"/>
      <c r="D145" s="156"/>
      <c r="E145" s="156"/>
      <c r="F145" s="157"/>
      <c r="G145" s="166">
        <v>2002</v>
      </c>
      <c r="H145" s="267" t="s">
        <v>2</v>
      </c>
      <c r="I145" s="160"/>
      <c r="J145" s="322">
        <v>18.5</v>
      </c>
      <c r="K145" s="164">
        <v>1</v>
      </c>
      <c r="L145" s="91"/>
      <c r="M145" s="92"/>
    </row>
    <row r="146" spans="1:13" s="45" customFormat="1" ht="8.5500000000000007" customHeight="1" x14ac:dyDescent="0.2">
      <c r="A146" s="98"/>
      <c r="B146" s="158"/>
      <c r="C146" s="158"/>
      <c r="D146" s="158"/>
      <c r="E146" s="158"/>
      <c r="F146" s="159"/>
      <c r="G146" s="166"/>
      <c r="H146" s="316"/>
      <c r="I146" s="161"/>
      <c r="J146" s="323"/>
      <c r="K146" s="165"/>
      <c r="L146" s="91"/>
      <c r="M146" s="92"/>
    </row>
    <row r="147" spans="1:13" s="45" customFormat="1" ht="8.5500000000000007" customHeight="1" x14ac:dyDescent="0.2">
      <c r="A147" s="98"/>
      <c r="B147" s="156" t="s">
        <v>761</v>
      </c>
      <c r="C147" s="156"/>
      <c r="D147" s="156"/>
      <c r="E147" s="156"/>
      <c r="F147" s="157"/>
      <c r="G147" s="166">
        <v>2002</v>
      </c>
      <c r="H147" s="267">
        <v>95</v>
      </c>
      <c r="I147" s="160"/>
      <c r="J147" s="322">
        <v>18.5</v>
      </c>
      <c r="K147" s="164">
        <v>1</v>
      </c>
      <c r="L147" s="91"/>
      <c r="M147" s="92"/>
    </row>
    <row r="148" spans="1:13" s="45" customFormat="1" ht="8.5500000000000007" customHeight="1" x14ac:dyDescent="0.2">
      <c r="A148" s="98"/>
      <c r="B148" s="158"/>
      <c r="C148" s="158"/>
      <c r="D148" s="158"/>
      <c r="E148" s="158"/>
      <c r="F148" s="159"/>
      <c r="G148" s="166"/>
      <c r="H148" s="316"/>
      <c r="I148" s="161"/>
      <c r="J148" s="323"/>
      <c r="K148" s="165"/>
      <c r="L148" s="91"/>
      <c r="M148" s="92"/>
    </row>
    <row r="149" spans="1:13" s="45" customFormat="1" ht="8.5500000000000007" customHeight="1" x14ac:dyDescent="0.2">
      <c r="A149" s="98"/>
      <c r="B149" s="156" t="s">
        <v>1154</v>
      </c>
      <c r="C149" s="156"/>
      <c r="D149" s="156"/>
      <c r="E149" s="156"/>
      <c r="F149" s="156"/>
      <c r="G149" s="166">
        <v>2018</v>
      </c>
      <c r="H149" s="267"/>
      <c r="I149" s="160"/>
      <c r="J149" s="322"/>
      <c r="K149" s="164">
        <v>2</v>
      </c>
      <c r="L149" s="91"/>
      <c r="M149" s="92"/>
    </row>
    <row r="150" spans="1:13" s="45" customFormat="1" ht="8.5500000000000007" customHeight="1" x14ac:dyDescent="0.2">
      <c r="A150" s="98"/>
      <c r="B150" s="158"/>
      <c r="C150" s="158"/>
      <c r="D150" s="158"/>
      <c r="E150" s="158"/>
      <c r="F150" s="158"/>
      <c r="G150" s="166"/>
      <c r="H150" s="316"/>
      <c r="I150" s="161"/>
      <c r="J150" s="323"/>
      <c r="K150" s="165"/>
      <c r="L150" s="91"/>
      <c r="M150" s="92"/>
    </row>
    <row r="151" spans="1:13" s="45" customFormat="1" ht="8.5500000000000007" customHeight="1" x14ac:dyDescent="0.2">
      <c r="A151" s="98"/>
      <c r="B151" s="156" t="s">
        <v>967</v>
      </c>
      <c r="C151" s="156"/>
      <c r="D151" s="156"/>
      <c r="E151" s="156"/>
      <c r="F151" s="156"/>
      <c r="G151" s="166">
        <v>1990</v>
      </c>
      <c r="H151" s="267"/>
      <c r="I151" s="160"/>
      <c r="J151" s="322"/>
      <c r="K151" s="164">
        <v>1</v>
      </c>
      <c r="L151" s="91"/>
      <c r="M151" s="92"/>
    </row>
    <row r="152" spans="1:13" s="45" customFormat="1" ht="8.5500000000000007" customHeight="1" x14ac:dyDescent="0.2">
      <c r="A152" s="98"/>
      <c r="B152" s="158"/>
      <c r="C152" s="158"/>
      <c r="D152" s="158"/>
      <c r="E152" s="158"/>
      <c r="F152" s="158"/>
      <c r="G152" s="166"/>
      <c r="H152" s="316"/>
      <c r="I152" s="161"/>
      <c r="J152" s="323"/>
      <c r="K152" s="165"/>
      <c r="L152" s="91"/>
      <c r="M152" s="92"/>
    </row>
    <row r="153" spans="1:13" s="45" customFormat="1" ht="8.5500000000000007" customHeight="1" x14ac:dyDescent="0.2">
      <c r="A153" s="98"/>
      <c r="B153" s="156" t="s">
        <v>1159</v>
      </c>
      <c r="C153" s="156"/>
      <c r="D153" s="156"/>
      <c r="E153" s="156"/>
      <c r="F153" s="156"/>
      <c r="G153" s="166">
        <v>2014</v>
      </c>
      <c r="H153" s="267"/>
      <c r="I153" s="160"/>
      <c r="J153" s="322"/>
      <c r="K153" s="164">
        <v>1</v>
      </c>
      <c r="L153" s="91"/>
      <c r="M153" s="92"/>
    </row>
    <row r="154" spans="1:13" s="45" customFormat="1" ht="8.5500000000000007" customHeight="1" x14ac:dyDescent="0.2">
      <c r="A154" s="98"/>
      <c r="B154" s="158"/>
      <c r="C154" s="158"/>
      <c r="D154" s="158"/>
      <c r="E154" s="158"/>
      <c r="F154" s="158"/>
      <c r="G154" s="166"/>
      <c r="H154" s="316"/>
      <c r="I154" s="161"/>
      <c r="J154" s="323"/>
      <c r="K154" s="165"/>
      <c r="L154" s="91"/>
      <c r="M154" s="92"/>
    </row>
    <row r="155" spans="1:13" s="45" customFormat="1" ht="8.5500000000000007" customHeight="1" x14ac:dyDescent="0.2">
      <c r="A155" s="98"/>
      <c r="B155" s="156" t="s">
        <v>912</v>
      </c>
      <c r="C155" s="156"/>
      <c r="D155" s="156"/>
      <c r="E155" s="156"/>
      <c r="F155" s="156"/>
      <c r="G155" s="166">
        <v>1965</v>
      </c>
      <c r="H155" s="267"/>
      <c r="I155" s="160"/>
      <c r="J155" s="279"/>
      <c r="K155" s="164">
        <v>1</v>
      </c>
      <c r="L155" s="91"/>
      <c r="M155" s="92"/>
    </row>
    <row r="156" spans="1:13" s="45" customFormat="1" ht="8.5500000000000007" customHeight="1" x14ac:dyDescent="0.2">
      <c r="A156" s="98"/>
      <c r="B156" s="158"/>
      <c r="C156" s="158"/>
      <c r="D156" s="158"/>
      <c r="E156" s="158"/>
      <c r="F156" s="158"/>
      <c r="G156" s="166"/>
      <c r="H156" s="316"/>
      <c r="I156" s="161"/>
      <c r="J156" s="317"/>
      <c r="K156" s="165"/>
      <c r="L156" s="91"/>
      <c r="M156" s="92"/>
    </row>
    <row r="157" spans="1:13" s="45" customFormat="1" ht="8.5500000000000007" customHeight="1" x14ac:dyDescent="0.2">
      <c r="A157" s="98"/>
      <c r="B157" s="156" t="s">
        <v>912</v>
      </c>
      <c r="C157" s="156"/>
      <c r="D157" s="156"/>
      <c r="E157" s="156"/>
      <c r="F157" s="156"/>
      <c r="G157" s="166">
        <v>1998</v>
      </c>
      <c r="H157" s="267"/>
      <c r="I157" s="160"/>
      <c r="J157" s="279"/>
      <c r="K157" s="164">
        <v>1</v>
      </c>
      <c r="L157" s="91"/>
      <c r="M157" s="92"/>
    </row>
    <row r="158" spans="1:13" s="45" customFormat="1" ht="8.5500000000000007" customHeight="1" x14ac:dyDescent="0.2">
      <c r="A158" s="98"/>
      <c r="B158" s="158"/>
      <c r="C158" s="158"/>
      <c r="D158" s="158"/>
      <c r="E158" s="158"/>
      <c r="F158" s="158"/>
      <c r="G158" s="166"/>
      <c r="H158" s="316"/>
      <c r="I158" s="161"/>
      <c r="J158" s="317"/>
      <c r="K158" s="165"/>
      <c r="L158" s="91"/>
      <c r="M158" s="92"/>
    </row>
    <row r="159" spans="1:13" s="45" customFormat="1" ht="8.5500000000000007" customHeight="1" x14ac:dyDescent="0.2">
      <c r="A159" s="98"/>
      <c r="B159" s="156" t="s">
        <v>912</v>
      </c>
      <c r="C159" s="156"/>
      <c r="D159" s="156"/>
      <c r="E159" s="156"/>
      <c r="F159" s="156"/>
      <c r="G159" s="166">
        <v>2009</v>
      </c>
      <c r="H159" s="267">
        <v>94</v>
      </c>
      <c r="I159" s="160"/>
      <c r="J159" s="279"/>
      <c r="K159" s="164">
        <v>1</v>
      </c>
      <c r="L159" s="91"/>
      <c r="M159" s="92"/>
    </row>
    <row r="160" spans="1:13" s="45" customFormat="1" ht="8.5500000000000007" customHeight="1" x14ac:dyDescent="0.2">
      <c r="A160" s="98"/>
      <c r="B160" s="158"/>
      <c r="C160" s="158"/>
      <c r="D160" s="158"/>
      <c r="E160" s="158"/>
      <c r="F160" s="158"/>
      <c r="G160" s="166"/>
      <c r="H160" s="316"/>
      <c r="I160" s="161"/>
      <c r="J160" s="317"/>
      <c r="K160" s="165"/>
      <c r="L160" s="91"/>
      <c r="M160" s="92"/>
    </row>
    <row r="161" spans="1:13" s="45" customFormat="1" ht="8.5500000000000007" customHeight="1" x14ac:dyDescent="0.2">
      <c r="A161" s="98"/>
      <c r="B161" s="156" t="s">
        <v>1515</v>
      </c>
      <c r="C161" s="156"/>
      <c r="D161" s="156"/>
      <c r="E161" s="156"/>
      <c r="F161" s="156"/>
      <c r="G161" s="166">
        <v>1997</v>
      </c>
      <c r="H161" s="267"/>
      <c r="I161" s="160"/>
      <c r="J161" s="279"/>
      <c r="K161" s="164">
        <v>1</v>
      </c>
      <c r="L161" s="91"/>
      <c r="M161" s="92"/>
    </row>
    <row r="162" spans="1:13" s="45" customFormat="1" ht="8.5500000000000007" customHeight="1" x14ac:dyDescent="0.2">
      <c r="A162" s="98"/>
      <c r="B162" s="158"/>
      <c r="C162" s="158"/>
      <c r="D162" s="158"/>
      <c r="E162" s="158"/>
      <c r="F162" s="158"/>
      <c r="G162" s="166"/>
      <c r="H162" s="316"/>
      <c r="I162" s="161"/>
      <c r="J162" s="317"/>
      <c r="K162" s="165"/>
      <c r="L162" s="91"/>
      <c r="M162" s="92"/>
    </row>
    <row r="163" spans="1:13" s="45" customFormat="1" ht="8.5500000000000007" customHeight="1" x14ac:dyDescent="0.2">
      <c r="A163" s="98"/>
      <c r="B163" s="156" t="s">
        <v>1359</v>
      </c>
      <c r="C163" s="156"/>
      <c r="D163" s="156"/>
      <c r="E163" s="156"/>
      <c r="F163" s="156"/>
      <c r="G163" s="166">
        <v>1999</v>
      </c>
      <c r="H163" s="267"/>
      <c r="I163" s="160"/>
      <c r="J163" s="279"/>
      <c r="K163" s="164">
        <v>1</v>
      </c>
      <c r="L163" s="91"/>
      <c r="M163" s="92"/>
    </row>
    <row r="164" spans="1:13" s="45" customFormat="1" ht="8.5500000000000007" customHeight="1" x14ac:dyDescent="0.2">
      <c r="A164" s="98"/>
      <c r="B164" s="158"/>
      <c r="C164" s="158"/>
      <c r="D164" s="158"/>
      <c r="E164" s="158"/>
      <c r="F164" s="158"/>
      <c r="G164" s="166"/>
      <c r="H164" s="316"/>
      <c r="I164" s="161"/>
      <c r="J164" s="317"/>
      <c r="K164" s="165"/>
      <c r="L164" s="91"/>
      <c r="M164" s="92"/>
    </row>
    <row r="165" spans="1:13" s="45" customFormat="1" ht="8.5500000000000007" customHeight="1" x14ac:dyDescent="0.2">
      <c r="A165" s="98"/>
      <c r="B165" s="156" t="s">
        <v>1359</v>
      </c>
      <c r="C165" s="156"/>
      <c r="D165" s="156"/>
      <c r="E165" s="156"/>
      <c r="F165" s="156"/>
      <c r="G165" s="166">
        <v>2011</v>
      </c>
      <c r="H165" s="267"/>
      <c r="I165" s="160"/>
      <c r="J165" s="279"/>
      <c r="K165" s="164">
        <v>1</v>
      </c>
      <c r="L165" s="91"/>
      <c r="M165" s="92"/>
    </row>
    <row r="166" spans="1:13" s="45" customFormat="1" ht="8.5500000000000007" customHeight="1" x14ac:dyDescent="0.2">
      <c r="A166" s="98"/>
      <c r="B166" s="158"/>
      <c r="C166" s="158"/>
      <c r="D166" s="158"/>
      <c r="E166" s="158"/>
      <c r="F166" s="158"/>
      <c r="G166" s="166"/>
      <c r="H166" s="316"/>
      <c r="I166" s="161"/>
      <c r="J166" s="317"/>
      <c r="K166" s="165"/>
      <c r="L166" s="91"/>
      <c r="M166" s="92"/>
    </row>
    <row r="167" spans="1:13" s="45" customFormat="1" ht="8.5500000000000007" customHeight="1" x14ac:dyDescent="0.2">
      <c r="A167" s="98"/>
      <c r="B167" s="156" t="s">
        <v>544</v>
      </c>
      <c r="C167" s="156"/>
      <c r="D167" s="156"/>
      <c r="E167" s="156"/>
      <c r="F167" s="156"/>
      <c r="G167" s="166">
        <v>1999</v>
      </c>
      <c r="H167" s="267"/>
      <c r="I167" s="160"/>
      <c r="J167" s="279"/>
      <c r="K167" s="164">
        <v>1</v>
      </c>
      <c r="L167" s="91"/>
      <c r="M167" s="92"/>
    </row>
    <row r="168" spans="1:13" s="45" customFormat="1" ht="8.5500000000000007" customHeight="1" x14ac:dyDescent="0.2">
      <c r="A168" s="98"/>
      <c r="B168" s="158"/>
      <c r="C168" s="158"/>
      <c r="D168" s="158"/>
      <c r="E168" s="158"/>
      <c r="F168" s="158"/>
      <c r="G168" s="166"/>
      <c r="H168" s="316"/>
      <c r="I168" s="161"/>
      <c r="J168" s="317"/>
      <c r="K168" s="165"/>
      <c r="L168" s="91"/>
      <c r="M168" s="92"/>
    </row>
    <row r="169" spans="1:13" s="45" customFormat="1" ht="8.5500000000000007" customHeight="1" x14ac:dyDescent="0.2">
      <c r="A169" s="98"/>
      <c r="B169" s="156" t="s">
        <v>1085</v>
      </c>
      <c r="C169" s="156"/>
      <c r="D169" s="156"/>
      <c r="E169" s="156"/>
      <c r="F169" s="156"/>
      <c r="G169" s="166">
        <v>1992</v>
      </c>
      <c r="H169" s="267"/>
      <c r="I169" s="160"/>
      <c r="J169" s="279"/>
      <c r="K169" s="164">
        <v>1</v>
      </c>
      <c r="L169" s="91"/>
      <c r="M169" s="92"/>
    </row>
    <row r="170" spans="1:13" s="45" customFormat="1" ht="8.5500000000000007" customHeight="1" x14ac:dyDescent="0.2">
      <c r="A170" s="98"/>
      <c r="B170" s="158"/>
      <c r="C170" s="158"/>
      <c r="D170" s="158"/>
      <c r="E170" s="158"/>
      <c r="F170" s="158"/>
      <c r="G170" s="166"/>
      <c r="H170" s="316"/>
      <c r="I170" s="161"/>
      <c r="J170" s="317"/>
      <c r="K170" s="165"/>
      <c r="L170" s="91"/>
      <c r="M170" s="92"/>
    </row>
    <row r="171" spans="1:13" s="45" customFormat="1" ht="8.5500000000000007" customHeight="1" x14ac:dyDescent="0.2">
      <c r="A171" s="98"/>
      <c r="B171" s="156" t="s">
        <v>775</v>
      </c>
      <c r="C171" s="156"/>
      <c r="D171" s="156"/>
      <c r="E171" s="156"/>
      <c r="F171" s="157"/>
      <c r="G171" s="166">
        <v>1995</v>
      </c>
      <c r="H171" s="267"/>
      <c r="I171" s="160"/>
      <c r="J171" s="249"/>
      <c r="K171" s="164">
        <v>1</v>
      </c>
      <c r="L171" s="91"/>
      <c r="M171" s="92"/>
    </row>
    <row r="172" spans="1:13" s="45" customFormat="1" ht="8.5500000000000007" customHeight="1" x14ac:dyDescent="0.2">
      <c r="A172" s="98"/>
      <c r="B172" s="158"/>
      <c r="C172" s="158"/>
      <c r="D172" s="158"/>
      <c r="E172" s="158"/>
      <c r="F172" s="159"/>
      <c r="G172" s="166"/>
      <c r="H172" s="316"/>
      <c r="I172" s="161"/>
      <c r="J172" s="250"/>
      <c r="K172" s="165"/>
      <c r="L172" s="91"/>
      <c r="M172" s="92"/>
    </row>
    <row r="173" spans="1:13" s="45" customFormat="1" ht="8.5500000000000007" customHeight="1" x14ac:dyDescent="0.2">
      <c r="A173" s="98"/>
      <c r="B173" s="156" t="s">
        <v>775</v>
      </c>
      <c r="C173" s="156"/>
      <c r="D173" s="156"/>
      <c r="E173" s="156"/>
      <c r="F173" s="157"/>
      <c r="G173" s="166">
        <v>1996</v>
      </c>
      <c r="H173" s="267"/>
      <c r="I173" s="160"/>
      <c r="J173" s="249">
        <v>16</v>
      </c>
      <c r="K173" s="164">
        <v>1</v>
      </c>
      <c r="L173" s="91"/>
      <c r="M173" s="92"/>
    </row>
    <row r="174" spans="1:13" s="45" customFormat="1" ht="8.5500000000000007" customHeight="1" x14ac:dyDescent="0.2">
      <c r="A174" s="98"/>
      <c r="B174" s="158"/>
      <c r="C174" s="158"/>
      <c r="D174" s="158"/>
      <c r="E174" s="158"/>
      <c r="F174" s="159"/>
      <c r="G174" s="166"/>
      <c r="H174" s="316"/>
      <c r="I174" s="161"/>
      <c r="J174" s="250"/>
      <c r="K174" s="165"/>
      <c r="L174" s="91"/>
      <c r="M174" s="92"/>
    </row>
    <row r="175" spans="1:13" s="45" customFormat="1" ht="8.5500000000000007" customHeight="1" x14ac:dyDescent="0.2">
      <c r="A175" s="98"/>
      <c r="B175" s="156" t="s">
        <v>558</v>
      </c>
      <c r="C175" s="156"/>
      <c r="D175" s="156"/>
      <c r="E175" s="156"/>
      <c r="F175" s="157"/>
      <c r="G175" s="166">
        <v>1995</v>
      </c>
      <c r="H175" s="267">
        <v>96</v>
      </c>
      <c r="I175" s="160">
        <v>95</v>
      </c>
      <c r="J175" s="257"/>
      <c r="K175" s="164">
        <v>1</v>
      </c>
      <c r="L175" s="91"/>
      <c r="M175" s="92"/>
    </row>
    <row r="176" spans="1:13" s="45" customFormat="1" ht="8.5500000000000007" customHeight="1" x14ac:dyDescent="0.2">
      <c r="A176" s="98"/>
      <c r="B176" s="158"/>
      <c r="C176" s="158"/>
      <c r="D176" s="158"/>
      <c r="E176" s="158"/>
      <c r="F176" s="159"/>
      <c r="G176" s="166"/>
      <c r="H176" s="316"/>
      <c r="I176" s="161"/>
      <c r="J176" s="250"/>
      <c r="K176" s="165"/>
      <c r="L176" s="91"/>
      <c r="M176" s="92"/>
    </row>
    <row r="177" spans="1:13" s="45" customFormat="1" ht="8.5500000000000007" customHeight="1" x14ac:dyDescent="0.2">
      <c r="A177" s="98"/>
      <c r="B177" s="156" t="s">
        <v>734</v>
      </c>
      <c r="C177" s="156"/>
      <c r="D177" s="156"/>
      <c r="E177" s="156"/>
      <c r="F177" s="157"/>
      <c r="G177" s="166">
        <v>1990</v>
      </c>
      <c r="H177" s="267">
        <v>91</v>
      </c>
      <c r="I177" s="160"/>
      <c r="J177" s="257"/>
      <c r="K177" s="164">
        <v>1</v>
      </c>
      <c r="L177" s="91"/>
      <c r="M177" s="92"/>
    </row>
    <row r="178" spans="1:13" s="45" customFormat="1" ht="8.5500000000000007" customHeight="1" x14ac:dyDescent="0.2">
      <c r="A178" s="98"/>
      <c r="B178" s="158"/>
      <c r="C178" s="158"/>
      <c r="D178" s="158"/>
      <c r="E178" s="158"/>
      <c r="F178" s="159"/>
      <c r="G178" s="166"/>
      <c r="H178" s="316"/>
      <c r="I178" s="161"/>
      <c r="J178" s="250"/>
      <c r="K178" s="165"/>
      <c r="L178" s="91"/>
      <c r="M178" s="92"/>
    </row>
    <row r="179" spans="1:13" s="45" customFormat="1" ht="8.5500000000000007" customHeight="1" x14ac:dyDescent="0.2">
      <c r="A179" s="98"/>
      <c r="B179" s="170" t="s">
        <v>244</v>
      </c>
      <c r="C179" s="170"/>
      <c r="D179" s="170"/>
      <c r="E179" s="170"/>
      <c r="F179" s="170"/>
      <c r="G179" s="77"/>
      <c r="H179" s="77"/>
      <c r="I179" s="62"/>
      <c r="J179" s="115"/>
      <c r="K179" s="164"/>
      <c r="L179" s="91"/>
      <c r="M179" s="92"/>
    </row>
    <row r="180" spans="1:13" s="45" customFormat="1" ht="8.5500000000000007" customHeight="1" x14ac:dyDescent="0.2">
      <c r="A180" s="98"/>
      <c r="B180" s="171"/>
      <c r="C180" s="171"/>
      <c r="D180" s="171"/>
      <c r="E180" s="171"/>
      <c r="F180" s="171"/>
      <c r="G180" s="78"/>
      <c r="H180" s="78"/>
      <c r="I180" s="63"/>
      <c r="J180" s="116"/>
      <c r="K180" s="165"/>
      <c r="L180" s="91"/>
      <c r="M180" s="92"/>
    </row>
    <row r="181" spans="1:13" s="45" customFormat="1" ht="8.5500000000000007" customHeight="1" x14ac:dyDescent="0.2">
      <c r="A181" s="98"/>
      <c r="B181" s="156" t="s">
        <v>734</v>
      </c>
      <c r="C181" s="156"/>
      <c r="D181" s="156"/>
      <c r="E181" s="156"/>
      <c r="F181" s="157"/>
      <c r="G181" s="166">
        <v>1995</v>
      </c>
      <c r="H181" s="267">
        <v>93</v>
      </c>
      <c r="I181" s="160"/>
      <c r="J181" s="257"/>
      <c r="K181" s="164">
        <v>2</v>
      </c>
      <c r="L181" s="91"/>
      <c r="M181" s="92"/>
    </row>
    <row r="182" spans="1:13" s="45" customFormat="1" ht="8.5500000000000007" customHeight="1" x14ac:dyDescent="0.2">
      <c r="A182" s="98"/>
      <c r="B182" s="158"/>
      <c r="C182" s="158"/>
      <c r="D182" s="158"/>
      <c r="E182" s="158"/>
      <c r="F182" s="159"/>
      <c r="G182" s="166"/>
      <c r="H182" s="316"/>
      <c r="I182" s="161"/>
      <c r="J182" s="250"/>
      <c r="K182" s="165"/>
      <c r="L182" s="91"/>
      <c r="M182" s="92"/>
    </row>
    <row r="183" spans="1:13" s="45" customFormat="1" ht="8.5500000000000007" customHeight="1" x14ac:dyDescent="0.2">
      <c r="A183" s="98"/>
      <c r="B183" s="156" t="s">
        <v>734</v>
      </c>
      <c r="C183" s="156"/>
      <c r="D183" s="156"/>
      <c r="E183" s="156"/>
      <c r="F183" s="157"/>
      <c r="G183" s="166">
        <v>2000</v>
      </c>
      <c r="H183" s="267">
        <v>94</v>
      </c>
      <c r="I183" s="160"/>
      <c r="J183" s="247"/>
      <c r="K183" s="164">
        <v>1</v>
      </c>
      <c r="L183" s="91"/>
      <c r="M183" s="92"/>
    </row>
    <row r="184" spans="1:13" s="45" customFormat="1" ht="8.5500000000000007" customHeight="1" x14ac:dyDescent="0.2">
      <c r="A184" s="98"/>
      <c r="B184" s="158"/>
      <c r="C184" s="158"/>
      <c r="D184" s="158"/>
      <c r="E184" s="158"/>
      <c r="F184" s="159"/>
      <c r="G184" s="166"/>
      <c r="H184" s="316"/>
      <c r="I184" s="161"/>
      <c r="J184" s="248"/>
      <c r="K184" s="165"/>
      <c r="L184" s="91"/>
      <c r="M184" s="92"/>
    </row>
    <row r="185" spans="1:13" s="45" customFormat="1" ht="8.5500000000000007" customHeight="1" x14ac:dyDescent="0.2">
      <c r="A185" s="98"/>
      <c r="B185" s="156" t="s">
        <v>1345</v>
      </c>
      <c r="C185" s="156"/>
      <c r="D185" s="156"/>
      <c r="E185" s="156"/>
      <c r="F185" s="157"/>
      <c r="G185" s="166">
        <v>2019</v>
      </c>
      <c r="H185" s="267">
        <v>89</v>
      </c>
      <c r="I185" s="160"/>
      <c r="J185" s="247"/>
      <c r="K185" s="164">
        <v>2</v>
      </c>
      <c r="L185" s="91"/>
      <c r="M185" s="92"/>
    </row>
    <row r="186" spans="1:13" s="45" customFormat="1" ht="8.5500000000000007" customHeight="1" x14ac:dyDescent="0.2">
      <c r="A186" s="98"/>
      <c r="B186" s="158"/>
      <c r="C186" s="158"/>
      <c r="D186" s="158"/>
      <c r="E186" s="158"/>
      <c r="F186" s="159"/>
      <c r="G186" s="166"/>
      <c r="H186" s="316"/>
      <c r="I186" s="161"/>
      <c r="J186" s="248"/>
      <c r="K186" s="165"/>
      <c r="L186" s="91"/>
      <c r="M186" s="92"/>
    </row>
    <row r="187" spans="1:13" s="45" customFormat="1" ht="8.5500000000000007" customHeight="1" x14ac:dyDescent="0.2">
      <c r="A187" s="98"/>
      <c r="B187" s="156" t="s">
        <v>1328</v>
      </c>
      <c r="C187" s="156"/>
      <c r="D187" s="156"/>
      <c r="E187" s="156"/>
      <c r="F187" s="157"/>
      <c r="G187" s="166">
        <v>1994</v>
      </c>
      <c r="H187" s="267">
        <v>90</v>
      </c>
      <c r="I187" s="160"/>
      <c r="J187" s="247"/>
      <c r="K187" s="164">
        <v>1</v>
      </c>
      <c r="L187" s="91"/>
      <c r="M187" s="92"/>
    </row>
    <row r="188" spans="1:13" s="45" customFormat="1" ht="8.5500000000000007" customHeight="1" x14ac:dyDescent="0.2">
      <c r="A188" s="98"/>
      <c r="B188" s="158"/>
      <c r="C188" s="158"/>
      <c r="D188" s="158"/>
      <c r="E188" s="158"/>
      <c r="F188" s="159"/>
      <c r="G188" s="166"/>
      <c r="H188" s="316"/>
      <c r="I188" s="161"/>
      <c r="J188" s="248"/>
      <c r="K188" s="165"/>
      <c r="L188" s="91"/>
      <c r="M188" s="92"/>
    </row>
    <row r="189" spans="1:13" s="45" customFormat="1" ht="8.5500000000000007" customHeight="1" x14ac:dyDescent="0.2">
      <c r="A189" s="98"/>
      <c r="B189" s="156" t="s">
        <v>1090</v>
      </c>
      <c r="C189" s="156"/>
      <c r="D189" s="156"/>
      <c r="E189" s="156"/>
      <c r="F189" s="157"/>
      <c r="G189" s="166">
        <v>1996</v>
      </c>
      <c r="H189" s="267">
        <v>96</v>
      </c>
      <c r="I189" s="160"/>
      <c r="J189" s="247"/>
      <c r="K189" s="164">
        <v>2</v>
      </c>
      <c r="L189" s="91"/>
      <c r="M189" s="92"/>
    </row>
    <row r="190" spans="1:13" s="45" customFormat="1" ht="8.5500000000000007" customHeight="1" x14ac:dyDescent="0.2">
      <c r="A190" s="98"/>
      <c r="B190" s="158"/>
      <c r="C190" s="158"/>
      <c r="D190" s="158"/>
      <c r="E190" s="158"/>
      <c r="F190" s="159"/>
      <c r="G190" s="166"/>
      <c r="H190" s="316"/>
      <c r="I190" s="161"/>
      <c r="J190" s="248"/>
      <c r="K190" s="165"/>
      <c r="L190" s="91"/>
      <c r="M190" s="92"/>
    </row>
    <row r="191" spans="1:13" s="45" customFormat="1" ht="8.5500000000000007" customHeight="1" x14ac:dyDescent="0.2">
      <c r="A191" s="98"/>
      <c r="B191" s="172" t="s">
        <v>764</v>
      </c>
      <c r="C191" s="172"/>
      <c r="D191" s="172"/>
      <c r="E191" s="172"/>
      <c r="F191" s="173"/>
      <c r="G191" s="166">
        <v>2000</v>
      </c>
      <c r="H191" s="267" t="s">
        <v>662</v>
      </c>
      <c r="I191" s="160"/>
      <c r="J191" s="247"/>
      <c r="K191" s="164">
        <v>1</v>
      </c>
      <c r="L191" s="91"/>
      <c r="M191" s="92"/>
    </row>
    <row r="192" spans="1:13" s="45" customFormat="1" ht="8.5500000000000007" customHeight="1" x14ac:dyDescent="0.2">
      <c r="A192" s="98"/>
      <c r="B192" s="174"/>
      <c r="C192" s="174"/>
      <c r="D192" s="174"/>
      <c r="E192" s="174"/>
      <c r="F192" s="175"/>
      <c r="G192" s="166"/>
      <c r="H192" s="316"/>
      <c r="I192" s="161"/>
      <c r="J192" s="248"/>
      <c r="K192" s="165"/>
      <c r="L192" s="91"/>
      <c r="M192" s="92"/>
    </row>
    <row r="193" spans="1:13" s="45" customFormat="1" ht="8.5500000000000007" customHeight="1" x14ac:dyDescent="0.2">
      <c r="A193" s="98"/>
      <c r="B193" s="172" t="s">
        <v>764</v>
      </c>
      <c r="C193" s="172"/>
      <c r="D193" s="172"/>
      <c r="E193" s="172"/>
      <c r="F193" s="173"/>
      <c r="G193" s="166">
        <v>2001</v>
      </c>
      <c r="H193" s="267">
        <v>94</v>
      </c>
      <c r="I193" s="160"/>
      <c r="J193" s="247"/>
      <c r="K193" s="164">
        <v>1</v>
      </c>
      <c r="L193" s="91"/>
      <c r="M193" s="92"/>
    </row>
    <row r="194" spans="1:13" s="45" customFormat="1" ht="8.5500000000000007" customHeight="1" x14ac:dyDescent="0.2">
      <c r="A194" s="98"/>
      <c r="B194" s="174"/>
      <c r="C194" s="174"/>
      <c r="D194" s="174"/>
      <c r="E194" s="174"/>
      <c r="F194" s="175"/>
      <c r="G194" s="166"/>
      <c r="H194" s="316"/>
      <c r="I194" s="161"/>
      <c r="J194" s="248"/>
      <c r="K194" s="165"/>
      <c r="L194" s="91"/>
      <c r="M194" s="92"/>
    </row>
    <row r="195" spans="1:13" s="45" customFormat="1" ht="8.5500000000000007" customHeight="1" x14ac:dyDescent="0.2">
      <c r="A195" s="98"/>
      <c r="B195" s="156" t="s">
        <v>763</v>
      </c>
      <c r="C195" s="156"/>
      <c r="D195" s="156"/>
      <c r="E195" s="156"/>
      <c r="F195" s="157"/>
      <c r="G195" s="166">
        <v>1995</v>
      </c>
      <c r="H195" s="267">
        <v>93</v>
      </c>
      <c r="I195" s="160"/>
      <c r="J195" s="247"/>
      <c r="K195" s="164">
        <v>1</v>
      </c>
      <c r="L195" s="91"/>
      <c r="M195" s="92"/>
    </row>
    <row r="196" spans="1:13" s="45" customFormat="1" ht="8.5500000000000007" customHeight="1" x14ac:dyDescent="0.2">
      <c r="A196" s="98"/>
      <c r="B196" s="158"/>
      <c r="C196" s="158"/>
      <c r="D196" s="158"/>
      <c r="E196" s="158"/>
      <c r="F196" s="159"/>
      <c r="G196" s="166"/>
      <c r="H196" s="316"/>
      <c r="I196" s="161"/>
      <c r="J196" s="248"/>
      <c r="K196" s="165"/>
      <c r="L196" s="91"/>
      <c r="M196" s="92"/>
    </row>
    <row r="197" spans="1:13" s="45" customFormat="1" ht="8.5500000000000007" customHeight="1" x14ac:dyDescent="0.2">
      <c r="A197" s="98"/>
      <c r="B197" s="156" t="s">
        <v>763</v>
      </c>
      <c r="C197" s="156"/>
      <c r="D197" s="156"/>
      <c r="E197" s="156"/>
      <c r="F197" s="157"/>
      <c r="G197" s="166">
        <v>1996</v>
      </c>
      <c r="H197" s="267">
        <v>92</v>
      </c>
      <c r="I197" s="160"/>
      <c r="J197" s="247"/>
      <c r="K197" s="164">
        <v>2</v>
      </c>
      <c r="L197" s="91"/>
      <c r="M197" s="92"/>
    </row>
    <row r="198" spans="1:13" s="45" customFormat="1" ht="8.5500000000000007" customHeight="1" x14ac:dyDescent="0.2">
      <c r="A198" s="98"/>
      <c r="B198" s="158"/>
      <c r="C198" s="158"/>
      <c r="D198" s="158"/>
      <c r="E198" s="158"/>
      <c r="F198" s="159"/>
      <c r="G198" s="166"/>
      <c r="H198" s="316"/>
      <c r="I198" s="161"/>
      <c r="J198" s="248"/>
      <c r="K198" s="165"/>
      <c r="L198" s="91"/>
      <c r="M198" s="92"/>
    </row>
    <row r="199" spans="1:13" s="45" customFormat="1" ht="8.5500000000000007" customHeight="1" x14ac:dyDescent="0.2">
      <c r="A199" s="98"/>
      <c r="B199" s="156" t="s">
        <v>763</v>
      </c>
      <c r="C199" s="156"/>
      <c r="D199" s="156"/>
      <c r="E199" s="156"/>
      <c r="F199" s="157"/>
      <c r="G199" s="166">
        <v>2000</v>
      </c>
      <c r="H199" s="267" t="s">
        <v>867</v>
      </c>
      <c r="I199" s="160"/>
      <c r="J199" s="247">
        <v>18.5</v>
      </c>
      <c r="K199" s="164">
        <v>1</v>
      </c>
      <c r="L199" s="91"/>
      <c r="M199" s="92"/>
    </row>
    <row r="200" spans="1:13" s="45" customFormat="1" ht="8.5500000000000007" customHeight="1" x14ac:dyDescent="0.2">
      <c r="A200" s="98"/>
      <c r="B200" s="158"/>
      <c r="C200" s="158"/>
      <c r="D200" s="158"/>
      <c r="E200" s="158"/>
      <c r="F200" s="159"/>
      <c r="G200" s="166"/>
      <c r="H200" s="316"/>
      <c r="I200" s="161"/>
      <c r="J200" s="248"/>
      <c r="K200" s="165"/>
      <c r="L200" s="91"/>
      <c r="M200" s="92"/>
    </row>
    <row r="201" spans="1:13" s="45" customFormat="1" ht="8.5500000000000007" customHeight="1" x14ac:dyDescent="0.2">
      <c r="A201" s="98"/>
      <c r="B201" s="156" t="s">
        <v>763</v>
      </c>
      <c r="C201" s="156"/>
      <c r="D201" s="156"/>
      <c r="E201" s="156"/>
      <c r="F201" s="157"/>
      <c r="G201" s="166">
        <v>2002</v>
      </c>
      <c r="H201" s="267" t="s">
        <v>556</v>
      </c>
      <c r="I201" s="160"/>
      <c r="J201" s="247"/>
      <c r="K201" s="164">
        <v>1</v>
      </c>
      <c r="L201" s="91"/>
      <c r="M201" s="92"/>
    </row>
    <row r="202" spans="1:13" s="45" customFormat="1" ht="8.5500000000000007" customHeight="1" x14ac:dyDescent="0.2">
      <c r="A202" s="98"/>
      <c r="B202" s="158"/>
      <c r="C202" s="158"/>
      <c r="D202" s="158"/>
      <c r="E202" s="158"/>
      <c r="F202" s="159"/>
      <c r="G202" s="166"/>
      <c r="H202" s="316"/>
      <c r="I202" s="161"/>
      <c r="J202" s="248"/>
      <c r="K202" s="165"/>
      <c r="L202" s="91"/>
      <c r="M202" s="92"/>
    </row>
    <row r="203" spans="1:13" s="45" customFormat="1" ht="8.5500000000000007" customHeight="1" x14ac:dyDescent="0.2">
      <c r="A203" s="98"/>
      <c r="B203" s="156" t="s">
        <v>763</v>
      </c>
      <c r="C203" s="156"/>
      <c r="D203" s="156"/>
      <c r="E203" s="156"/>
      <c r="F203" s="157"/>
      <c r="G203" s="166">
        <v>2013</v>
      </c>
      <c r="H203" s="267" t="s">
        <v>74</v>
      </c>
      <c r="I203" s="160"/>
      <c r="J203" s="247"/>
      <c r="K203" s="164">
        <v>1</v>
      </c>
      <c r="L203" s="91"/>
      <c r="M203" s="92"/>
    </row>
    <row r="204" spans="1:13" s="45" customFormat="1" ht="8.5500000000000007" customHeight="1" x14ac:dyDescent="0.2">
      <c r="A204" s="98"/>
      <c r="B204" s="158"/>
      <c r="C204" s="158"/>
      <c r="D204" s="158"/>
      <c r="E204" s="158"/>
      <c r="F204" s="159"/>
      <c r="G204" s="166"/>
      <c r="H204" s="316"/>
      <c r="I204" s="161"/>
      <c r="J204" s="248"/>
      <c r="K204" s="165"/>
      <c r="L204" s="91"/>
      <c r="M204" s="92"/>
    </row>
    <row r="205" spans="1:13" s="45" customFormat="1" ht="8.5500000000000007" customHeight="1" x14ac:dyDescent="0.2">
      <c r="A205" s="98"/>
      <c r="B205" s="156" t="s">
        <v>901</v>
      </c>
      <c r="C205" s="156"/>
      <c r="D205" s="156"/>
      <c r="E205" s="156"/>
      <c r="F205" s="157"/>
      <c r="G205" s="166">
        <v>1995</v>
      </c>
      <c r="H205" s="267">
        <v>94</v>
      </c>
      <c r="I205" s="160"/>
      <c r="J205" s="247">
        <v>18.5</v>
      </c>
      <c r="K205" s="164">
        <v>2</v>
      </c>
      <c r="L205" s="91"/>
      <c r="M205" s="92"/>
    </row>
    <row r="206" spans="1:13" s="45" customFormat="1" ht="8.5500000000000007" customHeight="1" x14ac:dyDescent="0.2">
      <c r="A206" s="98"/>
      <c r="B206" s="158"/>
      <c r="C206" s="158"/>
      <c r="D206" s="158"/>
      <c r="E206" s="158"/>
      <c r="F206" s="159"/>
      <c r="G206" s="166"/>
      <c r="H206" s="316"/>
      <c r="I206" s="161"/>
      <c r="J206" s="248"/>
      <c r="K206" s="165"/>
      <c r="L206" s="91"/>
      <c r="M206" s="92"/>
    </row>
    <row r="207" spans="1:13" s="45" customFormat="1" ht="8.5500000000000007" customHeight="1" x14ac:dyDescent="0.2">
      <c r="A207" s="98"/>
      <c r="B207" s="156" t="s">
        <v>901</v>
      </c>
      <c r="C207" s="156"/>
      <c r="D207" s="156"/>
      <c r="E207" s="156"/>
      <c r="F207" s="157"/>
      <c r="G207" s="166">
        <v>1996</v>
      </c>
      <c r="H207" s="267">
        <v>95</v>
      </c>
      <c r="I207" s="160"/>
      <c r="J207" s="247"/>
      <c r="K207" s="164">
        <v>3</v>
      </c>
      <c r="L207" s="91"/>
      <c r="M207" s="92"/>
    </row>
    <row r="208" spans="1:13" s="45" customFormat="1" ht="8.5500000000000007" customHeight="1" x14ac:dyDescent="0.2">
      <c r="A208" s="98"/>
      <c r="B208" s="158"/>
      <c r="C208" s="158"/>
      <c r="D208" s="158"/>
      <c r="E208" s="158"/>
      <c r="F208" s="159"/>
      <c r="G208" s="166"/>
      <c r="H208" s="316"/>
      <c r="I208" s="161"/>
      <c r="J208" s="248"/>
      <c r="K208" s="165"/>
      <c r="L208" s="91"/>
      <c r="M208" s="92"/>
    </row>
    <row r="209" spans="1:13" s="45" customFormat="1" ht="8.5500000000000007" customHeight="1" x14ac:dyDescent="0.2">
      <c r="A209" s="98"/>
      <c r="B209" s="156" t="s">
        <v>1443</v>
      </c>
      <c r="C209" s="156"/>
      <c r="D209" s="156"/>
      <c r="E209" s="156"/>
      <c r="F209" s="157"/>
      <c r="G209" s="166">
        <v>1998</v>
      </c>
      <c r="H209" s="267"/>
      <c r="I209" s="160"/>
      <c r="J209" s="247"/>
      <c r="K209" s="164">
        <v>1</v>
      </c>
      <c r="L209" s="91"/>
      <c r="M209" s="92"/>
    </row>
    <row r="210" spans="1:13" s="45" customFormat="1" ht="8.5500000000000007" customHeight="1" x14ac:dyDescent="0.2">
      <c r="A210" s="98"/>
      <c r="B210" s="158"/>
      <c r="C210" s="158"/>
      <c r="D210" s="158"/>
      <c r="E210" s="158"/>
      <c r="F210" s="159"/>
      <c r="G210" s="166"/>
      <c r="H210" s="316"/>
      <c r="I210" s="161"/>
      <c r="J210" s="248"/>
      <c r="K210" s="165"/>
      <c r="L210" s="91"/>
      <c r="M210" s="92"/>
    </row>
    <row r="211" spans="1:13" s="45" customFormat="1" ht="8.5500000000000007" customHeight="1" x14ac:dyDescent="0.2">
      <c r="A211" s="98"/>
      <c r="B211" s="156" t="s">
        <v>1524</v>
      </c>
      <c r="C211" s="156"/>
      <c r="D211" s="156"/>
      <c r="E211" s="156"/>
      <c r="F211" s="157"/>
      <c r="G211" s="166">
        <v>2005</v>
      </c>
      <c r="H211" s="267"/>
      <c r="I211" s="160"/>
      <c r="J211" s="247"/>
      <c r="K211" s="164">
        <v>1</v>
      </c>
      <c r="L211" s="91"/>
      <c r="M211" s="92"/>
    </row>
    <row r="212" spans="1:13" s="45" customFormat="1" ht="8.5500000000000007" customHeight="1" x14ac:dyDescent="0.2">
      <c r="A212" s="98"/>
      <c r="B212" s="158"/>
      <c r="C212" s="158"/>
      <c r="D212" s="158"/>
      <c r="E212" s="158"/>
      <c r="F212" s="159"/>
      <c r="G212" s="166"/>
      <c r="H212" s="316"/>
      <c r="I212" s="161"/>
      <c r="J212" s="248"/>
      <c r="K212" s="165"/>
      <c r="L212" s="91"/>
      <c r="M212" s="92"/>
    </row>
    <row r="213" spans="1:13" s="45" customFormat="1" ht="8.5500000000000007" customHeight="1" x14ac:dyDescent="0.2">
      <c r="A213" s="98"/>
      <c r="B213" s="172" t="s">
        <v>1442</v>
      </c>
      <c r="C213" s="172"/>
      <c r="D213" s="172"/>
      <c r="E213" s="172"/>
      <c r="F213" s="173"/>
      <c r="G213" s="196">
        <v>2005</v>
      </c>
      <c r="H213" s="312"/>
      <c r="I213" s="203"/>
      <c r="J213" s="318"/>
      <c r="K213" s="228">
        <v>1</v>
      </c>
      <c r="L213" s="91"/>
      <c r="M213" s="92"/>
    </row>
    <row r="214" spans="1:13" s="45" customFormat="1" ht="8.5500000000000007" customHeight="1" x14ac:dyDescent="0.2">
      <c r="A214" s="98"/>
      <c r="B214" s="174"/>
      <c r="C214" s="174"/>
      <c r="D214" s="174"/>
      <c r="E214" s="174"/>
      <c r="F214" s="175"/>
      <c r="G214" s="196"/>
      <c r="H214" s="313"/>
      <c r="I214" s="204"/>
      <c r="J214" s="319"/>
      <c r="K214" s="229"/>
      <c r="L214" s="91"/>
      <c r="M214" s="92"/>
    </row>
    <row r="215" spans="1:13" s="45" customFormat="1" ht="8.5500000000000007" customHeight="1" x14ac:dyDescent="0.2">
      <c r="A215" s="98"/>
      <c r="B215" s="156" t="s">
        <v>1042</v>
      </c>
      <c r="C215" s="156"/>
      <c r="D215" s="156"/>
      <c r="E215" s="156"/>
      <c r="F215" s="157"/>
      <c r="G215" s="166">
        <v>1983</v>
      </c>
      <c r="H215" s="267"/>
      <c r="I215" s="160"/>
      <c r="J215" s="247"/>
      <c r="K215" s="164">
        <v>1</v>
      </c>
      <c r="L215" s="91"/>
      <c r="M215" s="92"/>
    </row>
    <row r="216" spans="1:13" s="45" customFormat="1" ht="8.5500000000000007" customHeight="1" x14ac:dyDescent="0.2">
      <c r="A216" s="98"/>
      <c r="B216" s="158"/>
      <c r="C216" s="158"/>
      <c r="D216" s="158"/>
      <c r="E216" s="158"/>
      <c r="F216" s="159"/>
      <c r="G216" s="166"/>
      <c r="H216" s="316"/>
      <c r="I216" s="161"/>
      <c r="J216" s="248"/>
      <c r="K216" s="165"/>
      <c r="L216" s="91"/>
      <c r="M216" s="92"/>
    </row>
    <row r="217" spans="1:13" s="45" customFormat="1" ht="8.5500000000000007" customHeight="1" x14ac:dyDescent="0.2">
      <c r="A217" s="98"/>
      <c r="B217" s="156" t="s">
        <v>1042</v>
      </c>
      <c r="C217" s="156"/>
      <c r="D217" s="156"/>
      <c r="E217" s="156"/>
      <c r="F217" s="157"/>
      <c r="G217" s="166">
        <v>1990</v>
      </c>
      <c r="H217" s="267">
        <v>88</v>
      </c>
      <c r="I217" s="160"/>
      <c r="J217" s="247">
        <v>13</v>
      </c>
      <c r="K217" s="164">
        <v>2</v>
      </c>
      <c r="L217" s="91"/>
      <c r="M217" s="92"/>
    </row>
    <row r="218" spans="1:13" s="45" customFormat="1" ht="8.5500000000000007" customHeight="1" x14ac:dyDescent="0.2">
      <c r="A218" s="98"/>
      <c r="B218" s="158"/>
      <c r="C218" s="158"/>
      <c r="D218" s="158"/>
      <c r="E218" s="158"/>
      <c r="F218" s="159"/>
      <c r="G218" s="166"/>
      <c r="H218" s="316"/>
      <c r="I218" s="161"/>
      <c r="J218" s="248"/>
      <c r="K218" s="165"/>
      <c r="L218" s="91"/>
      <c r="M218" s="92"/>
    </row>
    <row r="219" spans="1:13" s="45" customFormat="1" ht="8.5500000000000007" customHeight="1" x14ac:dyDescent="0.2">
      <c r="A219" s="98"/>
      <c r="B219" s="156" t="s">
        <v>1042</v>
      </c>
      <c r="C219" s="156"/>
      <c r="D219" s="156"/>
      <c r="E219" s="156"/>
      <c r="F219" s="157"/>
      <c r="G219" s="166">
        <v>2005</v>
      </c>
      <c r="H219" s="267"/>
      <c r="I219" s="160"/>
      <c r="J219" s="249"/>
      <c r="K219" s="164">
        <v>1</v>
      </c>
      <c r="L219" s="91"/>
      <c r="M219" s="92"/>
    </row>
    <row r="220" spans="1:13" s="45" customFormat="1" ht="8.5500000000000007" customHeight="1" x14ac:dyDescent="0.2">
      <c r="A220" s="98"/>
      <c r="B220" s="158"/>
      <c r="C220" s="158"/>
      <c r="D220" s="158"/>
      <c r="E220" s="158"/>
      <c r="F220" s="159"/>
      <c r="G220" s="166"/>
      <c r="H220" s="316"/>
      <c r="I220" s="161"/>
      <c r="J220" s="250"/>
      <c r="K220" s="165"/>
      <c r="L220" s="91"/>
      <c r="M220" s="92"/>
    </row>
    <row r="221" spans="1:13" s="45" customFormat="1" ht="8.5500000000000007" customHeight="1" x14ac:dyDescent="0.2">
      <c r="A221" s="98"/>
      <c r="B221" s="156" t="s">
        <v>1043</v>
      </c>
      <c r="C221" s="156"/>
      <c r="D221" s="156"/>
      <c r="E221" s="156"/>
      <c r="F221" s="157"/>
      <c r="G221" s="166">
        <v>1989</v>
      </c>
      <c r="H221" s="267">
        <v>96</v>
      </c>
      <c r="I221" s="160"/>
      <c r="J221" s="249"/>
      <c r="K221" s="164">
        <v>1</v>
      </c>
      <c r="L221" s="91"/>
      <c r="M221" s="92"/>
    </row>
    <row r="222" spans="1:13" s="45" customFormat="1" ht="8.5500000000000007" customHeight="1" x14ac:dyDescent="0.2">
      <c r="A222" s="98"/>
      <c r="B222" s="158"/>
      <c r="C222" s="158"/>
      <c r="D222" s="158"/>
      <c r="E222" s="158"/>
      <c r="F222" s="159"/>
      <c r="G222" s="166"/>
      <c r="H222" s="316"/>
      <c r="I222" s="161"/>
      <c r="J222" s="250"/>
      <c r="K222" s="165"/>
      <c r="L222" s="91"/>
      <c r="M222" s="92"/>
    </row>
    <row r="223" spans="1:13" s="45" customFormat="1" ht="8.5500000000000007" customHeight="1" x14ac:dyDescent="0.2">
      <c r="A223" s="98"/>
      <c r="B223" s="156" t="s">
        <v>1043</v>
      </c>
      <c r="C223" s="156"/>
      <c r="D223" s="156"/>
      <c r="E223" s="156"/>
      <c r="F223" s="157"/>
      <c r="G223" s="166">
        <v>1996</v>
      </c>
      <c r="H223" s="267"/>
      <c r="I223" s="160"/>
      <c r="J223" s="249"/>
      <c r="K223" s="164">
        <v>2</v>
      </c>
      <c r="L223" s="91"/>
      <c r="M223" s="92"/>
    </row>
    <row r="224" spans="1:13" s="45" customFormat="1" ht="8.5500000000000007" customHeight="1" x14ac:dyDescent="0.2">
      <c r="A224" s="98"/>
      <c r="B224" s="158"/>
      <c r="C224" s="158"/>
      <c r="D224" s="158"/>
      <c r="E224" s="158"/>
      <c r="F224" s="159"/>
      <c r="G224" s="166"/>
      <c r="H224" s="316"/>
      <c r="I224" s="161"/>
      <c r="J224" s="250"/>
      <c r="K224" s="165"/>
      <c r="L224" s="91"/>
      <c r="M224" s="92"/>
    </row>
    <row r="225" spans="1:13" s="45" customFormat="1" ht="8.5500000000000007" customHeight="1" x14ac:dyDescent="0.2">
      <c r="A225" s="98"/>
      <c r="B225" s="156" t="s">
        <v>664</v>
      </c>
      <c r="C225" s="156"/>
      <c r="D225" s="156"/>
      <c r="E225" s="156"/>
      <c r="F225" s="157"/>
      <c r="G225" s="189">
        <v>1995</v>
      </c>
      <c r="H225" s="267">
        <v>98</v>
      </c>
      <c r="I225" s="305">
        <v>98</v>
      </c>
      <c r="J225" s="249"/>
      <c r="K225" s="164">
        <v>1</v>
      </c>
      <c r="L225" s="91"/>
      <c r="M225" s="92"/>
    </row>
    <row r="226" spans="1:13" s="45" customFormat="1" ht="8.5500000000000007" customHeight="1" x14ac:dyDescent="0.2">
      <c r="A226" s="98"/>
      <c r="B226" s="158"/>
      <c r="C226" s="158"/>
      <c r="D226" s="158"/>
      <c r="E226" s="158"/>
      <c r="F226" s="159"/>
      <c r="G226" s="190"/>
      <c r="H226" s="268"/>
      <c r="I226" s="306"/>
      <c r="J226" s="250"/>
      <c r="K226" s="165"/>
      <c r="L226" s="91"/>
      <c r="M226" s="92"/>
    </row>
    <row r="227" spans="1:13" s="45" customFormat="1" ht="8.5500000000000007" customHeight="1" x14ac:dyDescent="0.2">
      <c r="A227" s="98"/>
      <c r="B227" s="156" t="s">
        <v>664</v>
      </c>
      <c r="C227" s="156"/>
      <c r="D227" s="156"/>
      <c r="E227" s="156"/>
      <c r="F227" s="157"/>
      <c r="G227" s="189">
        <v>1996</v>
      </c>
      <c r="H227" s="267"/>
      <c r="I227" s="305"/>
      <c r="J227" s="249"/>
      <c r="K227" s="164">
        <v>1</v>
      </c>
      <c r="L227" s="91"/>
      <c r="M227" s="92"/>
    </row>
    <row r="228" spans="1:13" s="45" customFormat="1" ht="8.5500000000000007" customHeight="1" x14ac:dyDescent="0.2">
      <c r="A228" s="98"/>
      <c r="B228" s="158"/>
      <c r="C228" s="158"/>
      <c r="D228" s="158"/>
      <c r="E228" s="158"/>
      <c r="F228" s="159"/>
      <c r="G228" s="190"/>
      <c r="H228" s="268"/>
      <c r="I228" s="306"/>
      <c r="J228" s="250"/>
      <c r="K228" s="165"/>
      <c r="L228" s="91"/>
      <c r="M228" s="92"/>
    </row>
    <row r="229" spans="1:13" s="45" customFormat="1" ht="8.5500000000000007" customHeight="1" x14ac:dyDescent="0.2">
      <c r="A229" s="98"/>
      <c r="B229" s="156" t="s">
        <v>735</v>
      </c>
      <c r="C229" s="156"/>
      <c r="D229" s="156"/>
      <c r="E229" s="156"/>
      <c r="F229" s="157"/>
      <c r="G229" s="166">
        <v>1989</v>
      </c>
      <c r="H229" s="267">
        <v>95</v>
      </c>
      <c r="I229" s="160"/>
      <c r="J229" s="249">
        <v>17</v>
      </c>
      <c r="K229" s="164">
        <v>1</v>
      </c>
      <c r="L229" s="91"/>
      <c r="M229" s="92"/>
    </row>
    <row r="230" spans="1:13" s="45" customFormat="1" ht="8.5500000000000007" customHeight="1" x14ac:dyDescent="0.2">
      <c r="A230" s="98"/>
      <c r="B230" s="158"/>
      <c r="C230" s="158"/>
      <c r="D230" s="158"/>
      <c r="E230" s="158"/>
      <c r="F230" s="159"/>
      <c r="G230" s="166"/>
      <c r="H230" s="316"/>
      <c r="I230" s="161"/>
      <c r="J230" s="250"/>
      <c r="K230" s="165"/>
      <c r="L230" s="91"/>
      <c r="M230" s="92"/>
    </row>
    <row r="231" spans="1:13" s="45" customFormat="1" ht="8.5500000000000007" customHeight="1" x14ac:dyDescent="0.2">
      <c r="A231" s="98"/>
      <c r="B231" s="156" t="s">
        <v>735</v>
      </c>
      <c r="C231" s="156"/>
      <c r="D231" s="156"/>
      <c r="E231" s="156"/>
      <c r="F231" s="157"/>
      <c r="G231" s="166">
        <v>1990</v>
      </c>
      <c r="H231" s="267">
        <v>95</v>
      </c>
      <c r="I231" s="160">
        <v>98</v>
      </c>
      <c r="J231" s="249">
        <v>17.5</v>
      </c>
      <c r="K231" s="164">
        <v>2</v>
      </c>
      <c r="L231" s="91"/>
      <c r="M231" s="92"/>
    </row>
    <row r="232" spans="1:13" s="45" customFormat="1" ht="8.5500000000000007" customHeight="1" x14ac:dyDescent="0.2">
      <c r="A232" s="98"/>
      <c r="B232" s="158"/>
      <c r="C232" s="158"/>
      <c r="D232" s="158"/>
      <c r="E232" s="158"/>
      <c r="F232" s="159"/>
      <c r="G232" s="166"/>
      <c r="H232" s="316"/>
      <c r="I232" s="161"/>
      <c r="J232" s="250"/>
      <c r="K232" s="165"/>
      <c r="L232" s="91"/>
      <c r="M232" s="92"/>
    </row>
    <row r="233" spans="1:13" s="45" customFormat="1" ht="8.5500000000000007" customHeight="1" x14ac:dyDescent="0.2">
      <c r="A233" s="98"/>
      <c r="B233" s="156" t="s">
        <v>735</v>
      </c>
      <c r="C233" s="156"/>
      <c r="D233" s="156"/>
      <c r="E233" s="156"/>
      <c r="F233" s="157"/>
      <c r="G233" s="166">
        <v>1996</v>
      </c>
      <c r="H233" s="267"/>
      <c r="I233" s="160"/>
      <c r="J233" s="249">
        <v>16.5</v>
      </c>
      <c r="K233" s="164">
        <v>1</v>
      </c>
      <c r="L233" s="91"/>
      <c r="M233" s="92"/>
    </row>
    <row r="234" spans="1:13" s="45" customFormat="1" ht="8.5500000000000007" customHeight="1" x14ac:dyDescent="0.2">
      <c r="A234" s="98"/>
      <c r="B234" s="158"/>
      <c r="C234" s="158"/>
      <c r="D234" s="158"/>
      <c r="E234" s="158"/>
      <c r="F234" s="159"/>
      <c r="G234" s="166"/>
      <c r="H234" s="316"/>
      <c r="I234" s="161"/>
      <c r="J234" s="250"/>
      <c r="K234" s="165"/>
      <c r="L234" s="91"/>
      <c r="M234" s="92"/>
    </row>
    <row r="235" spans="1:13" s="45" customFormat="1" ht="8.5500000000000007" customHeight="1" x14ac:dyDescent="0.2">
      <c r="A235" s="98"/>
      <c r="B235" s="170" t="s">
        <v>244</v>
      </c>
      <c r="C235" s="170"/>
      <c r="D235" s="170"/>
      <c r="E235" s="170"/>
      <c r="F235" s="170"/>
      <c r="G235" s="77"/>
      <c r="H235" s="77"/>
      <c r="I235" s="62"/>
      <c r="J235" s="115"/>
      <c r="K235" s="164"/>
      <c r="L235" s="91"/>
      <c r="M235" s="92"/>
    </row>
    <row r="236" spans="1:13" s="45" customFormat="1" ht="8.5500000000000007" customHeight="1" x14ac:dyDescent="0.2">
      <c r="A236" s="98"/>
      <c r="B236" s="171"/>
      <c r="C236" s="171"/>
      <c r="D236" s="171"/>
      <c r="E236" s="171"/>
      <c r="F236" s="171"/>
      <c r="G236" s="78"/>
      <c r="H236" s="78"/>
      <c r="I236" s="63"/>
      <c r="J236" s="116"/>
      <c r="K236" s="165"/>
      <c r="L236" s="91"/>
      <c r="M236" s="92"/>
    </row>
    <row r="237" spans="1:13" s="45" customFormat="1" ht="8.5500000000000007" customHeight="1" x14ac:dyDescent="0.2">
      <c r="A237" s="98"/>
      <c r="B237" s="156" t="s">
        <v>850</v>
      </c>
      <c r="C237" s="156"/>
      <c r="D237" s="156"/>
      <c r="E237" s="156"/>
      <c r="F237" s="157"/>
      <c r="G237" s="166">
        <v>2001</v>
      </c>
      <c r="H237" s="267"/>
      <c r="I237" s="160"/>
      <c r="J237" s="249"/>
      <c r="K237" s="164">
        <v>1</v>
      </c>
      <c r="L237" s="91"/>
      <c r="M237" s="92"/>
    </row>
    <row r="238" spans="1:13" s="45" customFormat="1" ht="8.5500000000000007" customHeight="1" x14ac:dyDescent="0.2">
      <c r="A238" s="98"/>
      <c r="B238" s="158"/>
      <c r="C238" s="158"/>
      <c r="D238" s="158"/>
      <c r="E238" s="158"/>
      <c r="F238" s="159"/>
      <c r="G238" s="166"/>
      <c r="H238" s="316"/>
      <c r="I238" s="161"/>
      <c r="J238" s="250"/>
      <c r="K238" s="165"/>
      <c r="L238" s="91"/>
      <c r="M238" s="92"/>
    </row>
    <row r="239" spans="1:13" s="45" customFormat="1" ht="8.5500000000000007" customHeight="1" x14ac:dyDescent="0.2">
      <c r="A239" s="98"/>
      <c r="B239" s="156" t="s">
        <v>1985</v>
      </c>
      <c r="C239" s="156"/>
      <c r="D239" s="156"/>
      <c r="E239" s="156"/>
      <c r="F239" s="157"/>
      <c r="G239" s="166">
        <v>1999</v>
      </c>
      <c r="H239" s="267"/>
      <c r="I239" s="160"/>
      <c r="J239" s="249"/>
      <c r="K239" s="164">
        <v>2</v>
      </c>
      <c r="L239" s="91"/>
      <c r="M239" s="92"/>
    </row>
    <row r="240" spans="1:13" s="45" customFormat="1" ht="8.5500000000000007" customHeight="1" x14ac:dyDescent="0.2">
      <c r="A240" s="98"/>
      <c r="B240" s="158"/>
      <c r="C240" s="158"/>
      <c r="D240" s="158"/>
      <c r="E240" s="158"/>
      <c r="F240" s="159"/>
      <c r="G240" s="166"/>
      <c r="H240" s="316"/>
      <c r="I240" s="161"/>
      <c r="J240" s="250"/>
      <c r="K240" s="165"/>
      <c r="L240" s="91"/>
      <c r="M240" s="92"/>
    </row>
    <row r="241" spans="1:13" s="45" customFormat="1" ht="8.5500000000000007" customHeight="1" x14ac:dyDescent="0.2">
      <c r="A241" s="98"/>
      <c r="B241" s="156" t="s">
        <v>875</v>
      </c>
      <c r="C241" s="156"/>
      <c r="D241" s="156"/>
      <c r="E241" s="156"/>
      <c r="F241" s="157"/>
      <c r="G241" s="166">
        <v>2011</v>
      </c>
      <c r="H241" s="267" t="s">
        <v>68</v>
      </c>
      <c r="I241" s="160"/>
      <c r="J241" s="249"/>
      <c r="K241" s="164">
        <v>1</v>
      </c>
      <c r="L241" s="91"/>
      <c r="M241" s="92"/>
    </row>
    <row r="242" spans="1:13" s="45" customFormat="1" ht="8.5500000000000007" customHeight="1" x14ac:dyDescent="0.2">
      <c r="A242" s="98"/>
      <c r="B242" s="158"/>
      <c r="C242" s="158"/>
      <c r="D242" s="158"/>
      <c r="E242" s="158"/>
      <c r="F242" s="159"/>
      <c r="G242" s="166"/>
      <c r="H242" s="316"/>
      <c r="I242" s="161"/>
      <c r="J242" s="250"/>
      <c r="K242" s="165"/>
      <c r="L242" s="91"/>
      <c r="M242" s="92"/>
    </row>
    <row r="243" spans="1:13" s="45" customFormat="1" ht="8.5500000000000007" customHeight="1" x14ac:dyDescent="0.2">
      <c r="A243" s="98"/>
      <c r="B243" s="156" t="s">
        <v>1838</v>
      </c>
      <c r="C243" s="156"/>
      <c r="D243" s="156"/>
      <c r="E243" s="156"/>
      <c r="F243" s="157"/>
      <c r="G243" s="166">
        <v>2000</v>
      </c>
      <c r="H243" s="267"/>
      <c r="I243" s="160"/>
      <c r="J243" s="249"/>
      <c r="K243" s="164">
        <v>1</v>
      </c>
      <c r="L243" s="91"/>
      <c r="M243" s="92"/>
    </row>
    <row r="244" spans="1:13" s="45" customFormat="1" ht="8.5500000000000007" customHeight="1" x14ac:dyDescent="0.2">
      <c r="A244" s="98"/>
      <c r="B244" s="158"/>
      <c r="C244" s="158"/>
      <c r="D244" s="158"/>
      <c r="E244" s="158"/>
      <c r="F244" s="159"/>
      <c r="G244" s="166"/>
      <c r="H244" s="316"/>
      <c r="I244" s="161"/>
      <c r="J244" s="250"/>
      <c r="K244" s="165"/>
      <c r="L244" s="91"/>
      <c r="M244" s="92"/>
    </row>
    <row r="245" spans="1:13" s="45" customFormat="1" ht="8.5500000000000007" customHeight="1" x14ac:dyDescent="0.2">
      <c r="A245" s="98"/>
      <c r="B245" s="156" t="s">
        <v>759</v>
      </c>
      <c r="C245" s="156"/>
      <c r="D245" s="156"/>
      <c r="E245" s="156"/>
      <c r="F245" s="157"/>
      <c r="G245" s="166">
        <v>2002</v>
      </c>
      <c r="H245" s="267">
        <v>96</v>
      </c>
      <c r="I245" s="160"/>
      <c r="J245" s="249">
        <v>17</v>
      </c>
      <c r="K245" s="164">
        <v>1</v>
      </c>
      <c r="L245" s="91"/>
      <c r="M245" s="92"/>
    </row>
    <row r="246" spans="1:13" s="45" customFormat="1" ht="8.5500000000000007" customHeight="1" x14ac:dyDescent="0.2">
      <c r="A246" s="98"/>
      <c r="B246" s="158"/>
      <c r="C246" s="158"/>
      <c r="D246" s="158"/>
      <c r="E246" s="158"/>
      <c r="F246" s="159"/>
      <c r="G246" s="166"/>
      <c r="H246" s="316"/>
      <c r="I246" s="161"/>
      <c r="J246" s="250"/>
      <c r="K246" s="165"/>
      <c r="L246" s="91"/>
      <c r="M246" s="92"/>
    </row>
    <row r="247" spans="1:13" s="45" customFormat="1" ht="8.5500000000000007" customHeight="1" x14ac:dyDescent="0.2">
      <c r="A247" s="98"/>
      <c r="B247" s="156" t="s">
        <v>1055</v>
      </c>
      <c r="C247" s="156"/>
      <c r="D247" s="156"/>
      <c r="E247" s="156"/>
      <c r="F247" s="157"/>
      <c r="G247" s="166">
        <v>2009</v>
      </c>
      <c r="H247" s="267"/>
      <c r="I247" s="160"/>
      <c r="J247" s="249"/>
      <c r="K247" s="164">
        <v>1</v>
      </c>
      <c r="L247" s="91"/>
      <c r="M247" s="92"/>
    </row>
    <row r="248" spans="1:13" s="45" customFormat="1" ht="8.5500000000000007" customHeight="1" x14ac:dyDescent="0.2">
      <c r="A248" s="98"/>
      <c r="B248" s="158"/>
      <c r="C248" s="158"/>
      <c r="D248" s="158"/>
      <c r="E248" s="158"/>
      <c r="F248" s="159"/>
      <c r="G248" s="166"/>
      <c r="H248" s="316"/>
      <c r="I248" s="161"/>
      <c r="J248" s="250"/>
      <c r="K248" s="165"/>
      <c r="L248" s="91"/>
      <c r="M248" s="92"/>
    </row>
    <row r="249" spans="1:13" s="45" customFormat="1" ht="8.5500000000000007" customHeight="1" x14ac:dyDescent="0.2">
      <c r="A249" s="98"/>
      <c r="B249" s="156" t="s">
        <v>758</v>
      </c>
      <c r="C249" s="156"/>
      <c r="D249" s="156"/>
      <c r="E249" s="156"/>
      <c r="F249" s="157"/>
      <c r="G249" s="166">
        <v>1995</v>
      </c>
      <c r="H249" s="267">
        <v>98</v>
      </c>
      <c r="I249" s="160">
        <v>99</v>
      </c>
      <c r="J249" s="249"/>
      <c r="K249" s="164">
        <v>1</v>
      </c>
      <c r="L249" s="91"/>
      <c r="M249" s="92"/>
    </row>
    <row r="250" spans="1:13" s="45" customFormat="1" ht="8.5500000000000007" customHeight="1" x14ac:dyDescent="0.2">
      <c r="A250" s="98"/>
      <c r="B250" s="158"/>
      <c r="C250" s="158"/>
      <c r="D250" s="158"/>
      <c r="E250" s="158"/>
      <c r="F250" s="159"/>
      <c r="G250" s="166"/>
      <c r="H250" s="316"/>
      <c r="I250" s="161"/>
      <c r="J250" s="250"/>
      <c r="K250" s="165"/>
      <c r="L250" s="91"/>
      <c r="M250" s="92"/>
    </row>
    <row r="251" spans="1:13" s="45" customFormat="1" ht="8.5500000000000007" customHeight="1" x14ac:dyDescent="0.2">
      <c r="A251" s="98"/>
      <c r="B251" s="156" t="s">
        <v>758</v>
      </c>
      <c r="C251" s="156"/>
      <c r="D251" s="156"/>
      <c r="E251" s="156"/>
      <c r="F251" s="157"/>
      <c r="G251" s="166">
        <v>1996</v>
      </c>
      <c r="H251" s="267" t="s">
        <v>42</v>
      </c>
      <c r="I251" s="160">
        <v>93</v>
      </c>
      <c r="J251" s="249"/>
      <c r="K251" s="164">
        <v>1</v>
      </c>
      <c r="L251" s="91"/>
      <c r="M251" s="92"/>
    </row>
    <row r="252" spans="1:13" s="45" customFormat="1" ht="8.5500000000000007" customHeight="1" x14ac:dyDescent="0.2">
      <c r="A252" s="98"/>
      <c r="B252" s="158"/>
      <c r="C252" s="158"/>
      <c r="D252" s="158"/>
      <c r="E252" s="158"/>
      <c r="F252" s="159"/>
      <c r="G252" s="166"/>
      <c r="H252" s="316"/>
      <c r="I252" s="161"/>
      <c r="J252" s="250"/>
      <c r="K252" s="165"/>
      <c r="L252" s="91"/>
      <c r="M252" s="92"/>
    </row>
    <row r="253" spans="1:13" s="45" customFormat="1" ht="8.5500000000000007" customHeight="1" x14ac:dyDescent="0.2">
      <c r="A253" s="98"/>
      <c r="B253" s="156" t="s">
        <v>874</v>
      </c>
      <c r="C253" s="156"/>
      <c r="D253" s="156"/>
      <c r="E253" s="156"/>
      <c r="F253" s="157"/>
      <c r="G253" s="166">
        <v>1995</v>
      </c>
      <c r="H253" s="267">
        <v>94</v>
      </c>
      <c r="I253" s="160"/>
      <c r="J253" s="249"/>
      <c r="K253" s="164">
        <v>2</v>
      </c>
      <c r="L253" s="91"/>
      <c r="M253" s="92"/>
    </row>
    <row r="254" spans="1:13" s="45" customFormat="1" ht="8.5500000000000007" customHeight="1" x14ac:dyDescent="0.2">
      <c r="A254" s="98"/>
      <c r="B254" s="158"/>
      <c r="C254" s="158"/>
      <c r="D254" s="158"/>
      <c r="E254" s="158"/>
      <c r="F254" s="159"/>
      <c r="G254" s="166"/>
      <c r="H254" s="316"/>
      <c r="I254" s="161"/>
      <c r="J254" s="250"/>
      <c r="K254" s="165"/>
      <c r="L254" s="91"/>
      <c r="M254" s="92"/>
    </row>
    <row r="255" spans="1:13" s="45" customFormat="1" ht="8.5500000000000007" customHeight="1" x14ac:dyDescent="0.2">
      <c r="A255" s="98"/>
      <c r="B255" s="156" t="s">
        <v>29</v>
      </c>
      <c r="C255" s="156"/>
      <c r="D255" s="156"/>
      <c r="E255" s="156"/>
      <c r="F255" s="157"/>
      <c r="G255" s="166">
        <v>1996</v>
      </c>
      <c r="H255" s="267" t="s">
        <v>304</v>
      </c>
      <c r="I255" s="160"/>
      <c r="J255" s="249">
        <v>19</v>
      </c>
      <c r="K255" s="164">
        <v>1</v>
      </c>
      <c r="L255" s="91"/>
      <c r="M255" s="92"/>
    </row>
    <row r="256" spans="1:13" s="45" customFormat="1" ht="8.5500000000000007" customHeight="1" x14ac:dyDescent="0.2">
      <c r="A256" s="98"/>
      <c r="B256" s="158"/>
      <c r="C256" s="158"/>
      <c r="D256" s="158"/>
      <c r="E256" s="158"/>
      <c r="F256" s="159"/>
      <c r="G256" s="166"/>
      <c r="H256" s="268"/>
      <c r="I256" s="161"/>
      <c r="J256" s="250"/>
      <c r="K256" s="165"/>
      <c r="L256" s="91"/>
      <c r="M256" s="92"/>
    </row>
    <row r="257" spans="1:13" s="45" customFormat="1" ht="8.5500000000000007" customHeight="1" x14ac:dyDescent="0.2">
      <c r="A257" s="98"/>
      <c r="B257" s="156" t="s">
        <v>29</v>
      </c>
      <c r="C257" s="156"/>
      <c r="D257" s="156"/>
      <c r="E257" s="156"/>
      <c r="F257" s="157"/>
      <c r="G257" s="166">
        <v>2003</v>
      </c>
      <c r="H257" s="267">
        <v>92</v>
      </c>
      <c r="I257" s="160">
        <v>92</v>
      </c>
      <c r="J257" s="249"/>
      <c r="K257" s="164">
        <v>1</v>
      </c>
      <c r="L257" s="91"/>
      <c r="M257" s="92"/>
    </row>
    <row r="258" spans="1:13" s="45" customFormat="1" ht="8.5500000000000007" customHeight="1" x14ac:dyDescent="0.2">
      <c r="A258" s="98"/>
      <c r="B258" s="158"/>
      <c r="C258" s="158"/>
      <c r="D258" s="158"/>
      <c r="E258" s="158"/>
      <c r="F258" s="159"/>
      <c r="G258" s="166"/>
      <c r="H258" s="316"/>
      <c r="I258" s="161"/>
      <c r="J258" s="250"/>
      <c r="K258" s="165"/>
      <c r="L258" s="91"/>
      <c r="M258" s="92"/>
    </row>
    <row r="259" spans="1:13" s="45" customFormat="1" ht="8.5500000000000007" customHeight="1" x14ac:dyDescent="0.2">
      <c r="A259" s="98"/>
      <c r="B259" s="156" t="s">
        <v>29</v>
      </c>
      <c r="C259" s="156"/>
      <c r="D259" s="156"/>
      <c r="E259" s="156"/>
      <c r="F259" s="157"/>
      <c r="G259" s="166">
        <v>2009</v>
      </c>
      <c r="H259" s="267">
        <v>96</v>
      </c>
      <c r="I259" s="160"/>
      <c r="J259" s="249">
        <v>13.5</v>
      </c>
      <c r="K259" s="164">
        <v>1</v>
      </c>
      <c r="L259" s="91"/>
      <c r="M259" s="92"/>
    </row>
    <row r="260" spans="1:13" s="45" customFormat="1" ht="8.5500000000000007" customHeight="1" x14ac:dyDescent="0.2">
      <c r="A260" s="98"/>
      <c r="B260" s="158"/>
      <c r="C260" s="158"/>
      <c r="D260" s="158"/>
      <c r="E260" s="158"/>
      <c r="F260" s="159"/>
      <c r="G260" s="166"/>
      <c r="H260" s="316"/>
      <c r="I260" s="161"/>
      <c r="J260" s="250"/>
      <c r="K260" s="165"/>
      <c r="L260" s="91"/>
      <c r="M260" s="92"/>
    </row>
    <row r="261" spans="1:13" s="45" customFormat="1" ht="8.5500000000000007" customHeight="1" x14ac:dyDescent="0.2">
      <c r="A261" s="98"/>
      <c r="B261" s="156" t="s">
        <v>1986</v>
      </c>
      <c r="C261" s="156"/>
      <c r="D261" s="156"/>
      <c r="E261" s="156"/>
      <c r="F261" s="157"/>
      <c r="G261" s="166">
        <v>2009</v>
      </c>
      <c r="H261" s="267"/>
      <c r="I261" s="160"/>
      <c r="J261" s="249"/>
      <c r="K261" s="164">
        <v>1</v>
      </c>
      <c r="L261" s="91"/>
      <c r="M261" s="92"/>
    </row>
    <row r="262" spans="1:13" s="45" customFormat="1" ht="8.5500000000000007" customHeight="1" x14ac:dyDescent="0.2">
      <c r="A262" s="98"/>
      <c r="B262" s="158"/>
      <c r="C262" s="158"/>
      <c r="D262" s="158"/>
      <c r="E262" s="158"/>
      <c r="F262" s="159"/>
      <c r="G262" s="166"/>
      <c r="H262" s="316"/>
      <c r="I262" s="161"/>
      <c r="J262" s="250"/>
      <c r="K262" s="165"/>
      <c r="L262" s="91"/>
      <c r="M262" s="92"/>
    </row>
    <row r="263" spans="1:13" s="45" customFormat="1" ht="8.5500000000000007" customHeight="1" x14ac:dyDescent="0.2">
      <c r="A263" s="98"/>
      <c r="B263" s="156" t="s">
        <v>665</v>
      </c>
      <c r="C263" s="156"/>
      <c r="D263" s="156"/>
      <c r="E263" s="156"/>
      <c r="F263" s="157"/>
      <c r="G263" s="166">
        <v>1996</v>
      </c>
      <c r="H263" s="267" t="s">
        <v>44</v>
      </c>
      <c r="I263" s="160"/>
      <c r="J263" s="279"/>
      <c r="K263" s="164">
        <v>2</v>
      </c>
      <c r="L263" s="91"/>
      <c r="M263" s="92"/>
    </row>
    <row r="264" spans="1:13" s="45" customFormat="1" ht="8.5500000000000007" customHeight="1" x14ac:dyDescent="0.2">
      <c r="A264" s="98"/>
      <c r="B264" s="158"/>
      <c r="C264" s="158"/>
      <c r="D264" s="158"/>
      <c r="E264" s="158"/>
      <c r="F264" s="159"/>
      <c r="G264" s="166"/>
      <c r="H264" s="268"/>
      <c r="I264" s="161"/>
      <c r="J264" s="317"/>
      <c r="K264" s="165"/>
      <c r="L264" s="91"/>
      <c r="M264" s="92"/>
    </row>
    <row r="265" spans="1:13" s="45" customFormat="1" ht="8.5500000000000007" customHeight="1" x14ac:dyDescent="0.2">
      <c r="A265" s="98"/>
      <c r="B265" s="156" t="s">
        <v>1705</v>
      </c>
      <c r="C265" s="156"/>
      <c r="D265" s="156"/>
      <c r="E265" s="156"/>
      <c r="F265" s="157"/>
      <c r="G265" s="166">
        <v>1990</v>
      </c>
      <c r="H265" s="267"/>
      <c r="I265" s="160"/>
      <c r="J265" s="279"/>
      <c r="K265" s="164">
        <v>1</v>
      </c>
      <c r="L265" s="91"/>
      <c r="M265" s="92"/>
    </row>
    <row r="266" spans="1:13" s="45" customFormat="1" ht="8.5500000000000007" customHeight="1" x14ac:dyDescent="0.2">
      <c r="A266" s="98"/>
      <c r="B266" s="158"/>
      <c r="C266" s="158"/>
      <c r="D266" s="158"/>
      <c r="E266" s="158"/>
      <c r="F266" s="159"/>
      <c r="G266" s="166"/>
      <c r="H266" s="268"/>
      <c r="I266" s="161"/>
      <c r="J266" s="317"/>
      <c r="K266" s="165"/>
      <c r="L266" s="91"/>
      <c r="M266" s="92"/>
    </row>
    <row r="267" spans="1:13" s="45" customFormat="1" ht="8.5500000000000007" customHeight="1" x14ac:dyDescent="0.2">
      <c r="A267" s="98"/>
      <c r="B267" s="156" t="s">
        <v>1705</v>
      </c>
      <c r="C267" s="156"/>
      <c r="D267" s="156"/>
      <c r="E267" s="156"/>
      <c r="F267" s="157"/>
      <c r="G267" s="166">
        <v>2005</v>
      </c>
      <c r="H267" s="267"/>
      <c r="I267" s="160"/>
      <c r="J267" s="279"/>
      <c r="K267" s="164">
        <v>1</v>
      </c>
      <c r="L267" s="91"/>
      <c r="M267" s="92"/>
    </row>
    <row r="268" spans="1:13" s="45" customFormat="1" ht="8.5500000000000007" customHeight="1" x14ac:dyDescent="0.2">
      <c r="A268" s="98"/>
      <c r="B268" s="158"/>
      <c r="C268" s="158"/>
      <c r="D268" s="158"/>
      <c r="E268" s="158"/>
      <c r="F268" s="159"/>
      <c r="G268" s="166"/>
      <c r="H268" s="268"/>
      <c r="I268" s="161"/>
      <c r="J268" s="317"/>
      <c r="K268" s="165"/>
      <c r="L268" s="91"/>
      <c r="M268" s="92"/>
    </row>
    <row r="269" spans="1:13" s="45" customFormat="1" ht="8.5500000000000007" customHeight="1" x14ac:dyDescent="0.2">
      <c r="A269" s="98"/>
      <c r="B269" s="156" t="s">
        <v>1543</v>
      </c>
      <c r="C269" s="156"/>
      <c r="D269" s="156"/>
      <c r="E269" s="156"/>
      <c r="F269" s="157"/>
      <c r="G269" s="166">
        <v>1986</v>
      </c>
      <c r="H269" s="267"/>
      <c r="I269" s="160">
        <v>97</v>
      </c>
      <c r="J269" s="279"/>
      <c r="K269" s="164">
        <v>1</v>
      </c>
      <c r="L269" s="91"/>
      <c r="M269" s="92"/>
    </row>
    <row r="270" spans="1:13" s="45" customFormat="1" ht="8.5500000000000007" customHeight="1" x14ac:dyDescent="0.2">
      <c r="A270" s="98"/>
      <c r="B270" s="158"/>
      <c r="C270" s="158"/>
      <c r="D270" s="158"/>
      <c r="E270" s="158"/>
      <c r="F270" s="159"/>
      <c r="G270" s="166"/>
      <c r="H270" s="316"/>
      <c r="I270" s="161"/>
      <c r="J270" s="317"/>
      <c r="K270" s="165"/>
      <c r="L270" s="91"/>
      <c r="M270" s="92"/>
    </row>
    <row r="271" spans="1:13" s="45" customFormat="1" ht="8.5500000000000007" customHeight="1" x14ac:dyDescent="0.2">
      <c r="A271" s="98"/>
      <c r="B271" s="156" t="s">
        <v>1543</v>
      </c>
      <c r="C271" s="156"/>
      <c r="D271" s="156"/>
      <c r="E271" s="156"/>
      <c r="F271" s="157"/>
      <c r="G271" s="166">
        <v>1988</v>
      </c>
      <c r="H271" s="267"/>
      <c r="I271" s="160">
        <v>95</v>
      </c>
      <c r="J271" s="279">
        <v>20</v>
      </c>
      <c r="K271" s="164">
        <v>1</v>
      </c>
      <c r="L271" s="91"/>
      <c r="M271" s="92"/>
    </row>
    <row r="272" spans="1:13" s="45" customFormat="1" ht="8.5500000000000007" customHeight="1" x14ac:dyDescent="0.2">
      <c r="A272" s="98"/>
      <c r="B272" s="158"/>
      <c r="C272" s="158"/>
      <c r="D272" s="158"/>
      <c r="E272" s="158"/>
      <c r="F272" s="159"/>
      <c r="G272" s="166"/>
      <c r="H272" s="316"/>
      <c r="I272" s="161"/>
      <c r="J272" s="317"/>
      <c r="K272" s="165"/>
      <c r="L272" s="91"/>
      <c r="M272" s="92"/>
    </row>
    <row r="273" spans="1:13" s="45" customFormat="1" ht="8.5500000000000007" customHeight="1" x14ac:dyDescent="0.2">
      <c r="A273" s="98"/>
      <c r="B273" s="156" t="s">
        <v>1543</v>
      </c>
      <c r="C273" s="156"/>
      <c r="D273" s="156"/>
      <c r="E273" s="156"/>
      <c r="F273" s="157"/>
      <c r="G273" s="166">
        <v>1989</v>
      </c>
      <c r="H273" s="267">
        <v>93</v>
      </c>
      <c r="I273" s="160">
        <v>98</v>
      </c>
      <c r="J273" s="279"/>
      <c r="K273" s="164">
        <v>2</v>
      </c>
      <c r="L273" s="91"/>
      <c r="M273" s="92"/>
    </row>
    <row r="274" spans="1:13" s="45" customFormat="1" ht="8.5500000000000007" customHeight="1" x14ac:dyDescent="0.2">
      <c r="A274" s="98"/>
      <c r="B274" s="158"/>
      <c r="C274" s="158"/>
      <c r="D274" s="158"/>
      <c r="E274" s="158"/>
      <c r="F274" s="159"/>
      <c r="G274" s="166"/>
      <c r="H274" s="316"/>
      <c r="I274" s="161"/>
      <c r="J274" s="317"/>
      <c r="K274" s="165"/>
      <c r="L274" s="91"/>
      <c r="M274" s="92"/>
    </row>
    <row r="275" spans="1:13" s="45" customFormat="1" ht="8.5500000000000007" customHeight="1" x14ac:dyDescent="0.2">
      <c r="A275" s="98"/>
      <c r="B275" s="156" t="s">
        <v>1543</v>
      </c>
      <c r="C275" s="156"/>
      <c r="D275" s="156"/>
      <c r="E275" s="156"/>
      <c r="F275" s="157"/>
      <c r="G275" s="166">
        <v>1995</v>
      </c>
      <c r="H275" s="267">
        <v>95</v>
      </c>
      <c r="I275" s="160">
        <v>93</v>
      </c>
      <c r="J275" s="279">
        <v>20</v>
      </c>
      <c r="K275" s="164">
        <v>1</v>
      </c>
      <c r="L275" s="91"/>
      <c r="M275" s="92"/>
    </row>
    <row r="276" spans="1:13" s="45" customFormat="1" ht="8.5500000000000007" customHeight="1" x14ac:dyDescent="0.2">
      <c r="A276" s="98"/>
      <c r="B276" s="158"/>
      <c r="C276" s="158"/>
      <c r="D276" s="158"/>
      <c r="E276" s="158"/>
      <c r="F276" s="159"/>
      <c r="G276" s="166"/>
      <c r="H276" s="316"/>
      <c r="I276" s="161"/>
      <c r="J276" s="317"/>
      <c r="K276" s="165"/>
      <c r="L276" s="91"/>
      <c r="M276" s="92"/>
    </row>
    <row r="277" spans="1:13" s="45" customFormat="1" ht="8.5500000000000007" customHeight="1" x14ac:dyDescent="0.2">
      <c r="A277" s="98"/>
      <c r="B277" s="156" t="s">
        <v>1543</v>
      </c>
      <c r="C277" s="156"/>
      <c r="D277" s="156"/>
      <c r="E277" s="156"/>
      <c r="F277" s="157"/>
      <c r="G277" s="166">
        <v>2002</v>
      </c>
      <c r="H277" s="267" t="s">
        <v>867</v>
      </c>
      <c r="I277" s="160">
        <v>97</v>
      </c>
      <c r="J277" s="279">
        <v>19.5</v>
      </c>
      <c r="K277" s="164">
        <v>2</v>
      </c>
      <c r="L277" s="91"/>
      <c r="M277" s="92"/>
    </row>
    <row r="278" spans="1:13" s="45" customFormat="1" ht="8.5500000000000007" customHeight="1" x14ac:dyDescent="0.2">
      <c r="A278" s="98"/>
      <c r="B278" s="158"/>
      <c r="C278" s="158"/>
      <c r="D278" s="158"/>
      <c r="E278" s="158"/>
      <c r="F278" s="159"/>
      <c r="G278" s="166"/>
      <c r="H278" s="316"/>
      <c r="I278" s="161"/>
      <c r="J278" s="317"/>
      <c r="K278" s="165"/>
      <c r="L278" s="91"/>
      <c r="M278" s="92"/>
    </row>
    <row r="279" spans="1:13" s="45" customFormat="1" ht="8.5500000000000007" customHeight="1" x14ac:dyDescent="0.2">
      <c r="A279" s="98"/>
      <c r="B279" s="156" t="s">
        <v>1543</v>
      </c>
      <c r="C279" s="156"/>
      <c r="D279" s="156"/>
      <c r="E279" s="156"/>
      <c r="F279" s="157"/>
      <c r="G279" s="166">
        <v>2008</v>
      </c>
      <c r="H279" s="267"/>
      <c r="I279" s="160"/>
      <c r="J279" s="249"/>
      <c r="K279" s="164">
        <v>1</v>
      </c>
      <c r="L279" s="91"/>
      <c r="M279" s="92"/>
    </row>
    <row r="280" spans="1:13" s="45" customFormat="1" ht="8.5500000000000007" customHeight="1" x14ac:dyDescent="0.2">
      <c r="A280" s="98"/>
      <c r="B280" s="158"/>
      <c r="C280" s="158"/>
      <c r="D280" s="158"/>
      <c r="E280" s="158"/>
      <c r="F280" s="159"/>
      <c r="G280" s="166"/>
      <c r="H280" s="316"/>
      <c r="I280" s="161"/>
      <c r="J280" s="250"/>
      <c r="K280" s="165"/>
      <c r="L280" s="91"/>
      <c r="M280" s="92"/>
    </row>
    <row r="281" spans="1:13" s="45" customFormat="1" ht="8.5500000000000007" customHeight="1" x14ac:dyDescent="0.2">
      <c r="A281" s="98"/>
      <c r="B281" s="156" t="s">
        <v>873</v>
      </c>
      <c r="C281" s="156"/>
      <c r="D281" s="156"/>
      <c r="E281" s="156"/>
      <c r="F281" s="157"/>
      <c r="G281" s="166">
        <v>1996</v>
      </c>
      <c r="H281" s="267">
        <v>94</v>
      </c>
      <c r="I281" s="160"/>
      <c r="J281" s="249"/>
      <c r="K281" s="164">
        <v>2</v>
      </c>
      <c r="L281" s="91"/>
      <c r="M281" s="92"/>
    </row>
    <row r="282" spans="1:13" s="45" customFormat="1" ht="8.5500000000000007" customHeight="1" x14ac:dyDescent="0.2">
      <c r="A282" s="98"/>
      <c r="B282" s="158"/>
      <c r="C282" s="158"/>
      <c r="D282" s="158"/>
      <c r="E282" s="158"/>
      <c r="F282" s="159"/>
      <c r="G282" s="166"/>
      <c r="H282" s="316"/>
      <c r="I282" s="161"/>
      <c r="J282" s="250"/>
      <c r="K282" s="165"/>
      <c r="L282" s="91"/>
      <c r="M282" s="92"/>
    </row>
    <row r="283" spans="1:13" s="45" customFormat="1" ht="8.5500000000000007" customHeight="1" x14ac:dyDescent="0.2">
      <c r="A283" s="98"/>
      <c r="B283" s="156" t="s">
        <v>1810</v>
      </c>
      <c r="C283" s="156"/>
      <c r="D283" s="156"/>
      <c r="E283" s="156"/>
      <c r="F283" s="157"/>
      <c r="G283" s="251">
        <v>2008</v>
      </c>
      <c r="H283" s="167"/>
      <c r="I283" s="160"/>
      <c r="J283" s="249"/>
      <c r="K283" s="234">
        <v>1</v>
      </c>
      <c r="L283" s="91"/>
      <c r="M283" s="92"/>
    </row>
    <row r="284" spans="1:13" s="45" customFormat="1" ht="8.5500000000000007" customHeight="1" x14ac:dyDescent="0.2">
      <c r="A284" s="98"/>
      <c r="B284" s="158"/>
      <c r="C284" s="158"/>
      <c r="D284" s="158"/>
      <c r="E284" s="158"/>
      <c r="F284" s="159"/>
      <c r="G284" s="252"/>
      <c r="H284" s="168"/>
      <c r="I284" s="161"/>
      <c r="J284" s="250"/>
      <c r="K284" s="235"/>
      <c r="L284" s="91"/>
      <c r="M284" s="92"/>
    </row>
    <row r="285" spans="1:13" s="45" customFormat="1" ht="8.5500000000000007" customHeight="1" x14ac:dyDescent="0.2">
      <c r="A285" s="98"/>
      <c r="B285" s="156" t="s">
        <v>960</v>
      </c>
      <c r="C285" s="156"/>
      <c r="D285" s="156"/>
      <c r="E285" s="156"/>
      <c r="F285" s="157"/>
      <c r="G285" s="166">
        <v>2009</v>
      </c>
      <c r="H285" s="267">
        <v>94</v>
      </c>
      <c r="I285" s="160"/>
      <c r="J285" s="249"/>
      <c r="K285" s="164">
        <v>1</v>
      </c>
      <c r="L285" s="91"/>
      <c r="M285" s="92"/>
    </row>
    <row r="286" spans="1:13" s="45" customFormat="1" ht="8.5500000000000007" customHeight="1" x14ac:dyDescent="0.2">
      <c r="A286" s="98"/>
      <c r="B286" s="158"/>
      <c r="C286" s="158"/>
      <c r="D286" s="158"/>
      <c r="E286" s="158"/>
      <c r="F286" s="159"/>
      <c r="G286" s="166"/>
      <c r="H286" s="316"/>
      <c r="I286" s="161"/>
      <c r="J286" s="250"/>
      <c r="K286" s="165"/>
      <c r="L286" s="91"/>
      <c r="M286" s="92"/>
    </row>
    <row r="287" spans="1:13" s="45" customFormat="1" ht="8.5500000000000007" customHeight="1" x14ac:dyDescent="0.2">
      <c r="A287" s="98"/>
      <c r="B287" s="156" t="s">
        <v>960</v>
      </c>
      <c r="C287" s="156"/>
      <c r="D287" s="156"/>
      <c r="E287" s="156"/>
      <c r="F287" s="157"/>
      <c r="G287" s="166">
        <v>2010</v>
      </c>
      <c r="H287" s="267">
        <v>95</v>
      </c>
      <c r="I287" s="160"/>
      <c r="J287" s="249"/>
      <c r="K287" s="164">
        <v>2</v>
      </c>
      <c r="L287" s="91"/>
      <c r="M287" s="92"/>
    </row>
    <row r="288" spans="1:13" s="45" customFormat="1" ht="8.5500000000000007" customHeight="1" x14ac:dyDescent="0.2">
      <c r="A288" s="98"/>
      <c r="B288" s="158"/>
      <c r="C288" s="158"/>
      <c r="D288" s="158"/>
      <c r="E288" s="158"/>
      <c r="F288" s="159"/>
      <c r="G288" s="166"/>
      <c r="H288" s="316"/>
      <c r="I288" s="161"/>
      <c r="J288" s="250"/>
      <c r="K288" s="165"/>
      <c r="L288" s="91"/>
      <c r="M288" s="92"/>
    </row>
    <row r="289" spans="1:13" s="45" customFormat="1" ht="8.5500000000000007" customHeight="1" x14ac:dyDescent="0.2">
      <c r="A289" s="98"/>
      <c r="B289" s="156" t="s">
        <v>1436</v>
      </c>
      <c r="C289" s="156"/>
      <c r="D289" s="156"/>
      <c r="E289" s="156"/>
      <c r="F289" s="157"/>
      <c r="G289" s="166">
        <v>1996</v>
      </c>
      <c r="H289" s="267">
        <v>91</v>
      </c>
      <c r="I289" s="160"/>
      <c r="J289" s="249"/>
      <c r="K289" s="164">
        <v>1</v>
      </c>
      <c r="L289" s="91"/>
      <c r="M289" s="92"/>
    </row>
    <row r="290" spans="1:13" s="45" customFormat="1" ht="8.5500000000000007" customHeight="1" x14ac:dyDescent="0.2">
      <c r="A290" s="98"/>
      <c r="B290" s="158"/>
      <c r="C290" s="158"/>
      <c r="D290" s="158"/>
      <c r="E290" s="158"/>
      <c r="F290" s="159"/>
      <c r="G290" s="166"/>
      <c r="H290" s="316"/>
      <c r="I290" s="161"/>
      <c r="J290" s="250"/>
      <c r="K290" s="165"/>
      <c r="L290" s="91"/>
      <c r="M290" s="92"/>
    </row>
    <row r="291" spans="1:13" s="45" customFormat="1" ht="8.5500000000000007" customHeight="1" x14ac:dyDescent="0.2">
      <c r="A291" s="98"/>
      <c r="B291" s="170" t="s">
        <v>244</v>
      </c>
      <c r="C291" s="170"/>
      <c r="D291" s="170"/>
      <c r="E291" s="170"/>
      <c r="F291" s="170"/>
      <c r="G291" s="77"/>
      <c r="H291" s="77"/>
      <c r="I291" s="62"/>
      <c r="J291" s="115"/>
      <c r="K291" s="164"/>
      <c r="L291" s="91"/>
      <c r="M291" s="92"/>
    </row>
    <row r="292" spans="1:13" s="45" customFormat="1" ht="8.5500000000000007" customHeight="1" x14ac:dyDescent="0.2">
      <c r="A292" s="98"/>
      <c r="B292" s="171"/>
      <c r="C292" s="171"/>
      <c r="D292" s="171"/>
      <c r="E292" s="171"/>
      <c r="F292" s="171"/>
      <c r="G292" s="78"/>
      <c r="H292" s="78"/>
      <c r="I292" s="63"/>
      <c r="J292" s="116"/>
      <c r="K292" s="165"/>
      <c r="L292" s="91"/>
      <c r="M292" s="92"/>
    </row>
    <row r="293" spans="1:13" s="45" customFormat="1" ht="8.5500000000000007" customHeight="1" x14ac:dyDescent="0.2">
      <c r="A293" s="98"/>
      <c r="B293" s="156" t="s">
        <v>1437</v>
      </c>
      <c r="C293" s="156"/>
      <c r="D293" s="156"/>
      <c r="E293" s="156"/>
      <c r="F293" s="157"/>
      <c r="G293" s="166">
        <v>2002</v>
      </c>
      <c r="H293" s="267" t="s">
        <v>61</v>
      </c>
      <c r="I293" s="160"/>
      <c r="J293" s="249"/>
      <c r="K293" s="164">
        <v>1</v>
      </c>
      <c r="L293" s="91"/>
      <c r="M293" s="92"/>
    </row>
    <row r="294" spans="1:13" s="45" customFormat="1" ht="8.5500000000000007" customHeight="1" x14ac:dyDescent="0.2">
      <c r="A294" s="98"/>
      <c r="B294" s="158"/>
      <c r="C294" s="158"/>
      <c r="D294" s="158"/>
      <c r="E294" s="158"/>
      <c r="F294" s="159"/>
      <c r="G294" s="166"/>
      <c r="H294" s="316"/>
      <c r="I294" s="161"/>
      <c r="J294" s="250"/>
      <c r="K294" s="165"/>
      <c r="L294" s="91"/>
      <c r="M294" s="92"/>
    </row>
    <row r="295" spans="1:13" s="45" customFormat="1" ht="8.5500000000000007" customHeight="1" x14ac:dyDescent="0.2">
      <c r="A295" s="98"/>
      <c r="B295" s="156" t="s">
        <v>872</v>
      </c>
      <c r="C295" s="156"/>
      <c r="D295" s="156"/>
      <c r="E295" s="156"/>
      <c r="F295" s="157"/>
      <c r="G295" s="166">
        <v>2005</v>
      </c>
      <c r="H295" s="167"/>
      <c r="I295" s="160"/>
      <c r="J295" s="249"/>
      <c r="K295" s="164">
        <v>1</v>
      </c>
      <c r="L295" s="91"/>
      <c r="M295" s="92"/>
    </row>
    <row r="296" spans="1:13" s="45" customFormat="1" ht="8.5500000000000007" customHeight="1" x14ac:dyDescent="0.2">
      <c r="A296" s="98"/>
      <c r="B296" s="158"/>
      <c r="C296" s="158"/>
      <c r="D296" s="158"/>
      <c r="E296" s="158"/>
      <c r="F296" s="159"/>
      <c r="G296" s="166"/>
      <c r="H296" s="168"/>
      <c r="I296" s="161"/>
      <c r="J296" s="250"/>
      <c r="K296" s="165"/>
      <c r="L296" s="91"/>
      <c r="M296" s="92"/>
    </row>
    <row r="297" spans="1:13" s="45" customFormat="1" ht="8.5500000000000007" customHeight="1" x14ac:dyDescent="0.2">
      <c r="A297" s="98"/>
      <c r="B297" s="156" t="s">
        <v>546</v>
      </c>
      <c r="C297" s="156"/>
      <c r="D297" s="156"/>
      <c r="E297" s="156"/>
      <c r="F297" s="157"/>
      <c r="G297" s="166">
        <v>2006</v>
      </c>
      <c r="H297" s="167"/>
      <c r="I297" s="160"/>
      <c r="J297" s="249"/>
      <c r="K297" s="164">
        <v>1</v>
      </c>
      <c r="L297" s="91"/>
      <c r="M297" s="92"/>
    </row>
    <row r="298" spans="1:13" s="45" customFormat="1" ht="8.5500000000000007" customHeight="1" x14ac:dyDescent="0.2">
      <c r="A298" s="98"/>
      <c r="B298" s="158"/>
      <c r="C298" s="158"/>
      <c r="D298" s="158"/>
      <c r="E298" s="158"/>
      <c r="F298" s="159"/>
      <c r="G298" s="166"/>
      <c r="H298" s="168"/>
      <c r="I298" s="161"/>
      <c r="J298" s="250"/>
      <c r="K298" s="165"/>
      <c r="L298" s="91"/>
      <c r="M298" s="92"/>
    </row>
    <row r="299" spans="1:13" s="45" customFormat="1" ht="8.5500000000000007" customHeight="1" x14ac:dyDescent="0.2">
      <c r="A299" s="98"/>
      <c r="B299" s="156" t="s">
        <v>545</v>
      </c>
      <c r="C299" s="156"/>
      <c r="D299" s="156"/>
      <c r="E299" s="156"/>
      <c r="F299" s="157"/>
      <c r="G299" s="166">
        <v>2001</v>
      </c>
      <c r="H299" s="267"/>
      <c r="I299" s="160">
        <v>94</v>
      </c>
      <c r="J299" s="249"/>
      <c r="K299" s="164">
        <v>1</v>
      </c>
      <c r="L299" s="91"/>
      <c r="M299" s="92"/>
    </row>
    <row r="300" spans="1:13" s="45" customFormat="1" ht="8.5500000000000007" customHeight="1" x14ac:dyDescent="0.2">
      <c r="A300" s="98"/>
      <c r="B300" s="158"/>
      <c r="C300" s="158"/>
      <c r="D300" s="158"/>
      <c r="E300" s="158"/>
      <c r="F300" s="159"/>
      <c r="G300" s="166"/>
      <c r="H300" s="316"/>
      <c r="I300" s="161"/>
      <c r="J300" s="250"/>
      <c r="K300" s="165"/>
      <c r="L300" s="91"/>
      <c r="M300" s="92"/>
    </row>
    <row r="301" spans="1:13" s="45" customFormat="1" ht="8.5500000000000007" customHeight="1" x14ac:dyDescent="0.2">
      <c r="A301" s="98"/>
      <c r="B301" s="156" t="s">
        <v>545</v>
      </c>
      <c r="C301" s="156"/>
      <c r="D301" s="156"/>
      <c r="E301" s="156"/>
      <c r="F301" s="157"/>
      <c r="G301" s="166">
        <v>2003</v>
      </c>
      <c r="H301" s="267"/>
      <c r="I301" s="160"/>
      <c r="J301" s="249"/>
      <c r="K301" s="164">
        <v>1</v>
      </c>
      <c r="L301" s="91"/>
      <c r="M301" s="92"/>
    </row>
    <row r="302" spans="1:13" s="45" customFormat="1" ht="8.5500000000000007" customHeight="1" x14ac:dyDescent="0.2">
      <c r="A302" s="98"/>
      <c r="B302" s="158"/>
      <c r="C302" s="158"/>
      <c r="D302" s="158"/>
      <c r="E302" s="158"/>
      <c r="F302" s="159"/>
      <c r="G302" s="166"/>
      <c r="H302" s="316"/>
      <c r="I302" s="161"/>
      <c r="J302" s="250"/>
      <c r="K302" s="165"/>
      <c r="L302" s="91"/>
      <c r="M302" s="92"/>
    </row>
    <row r="303" spans="1:13" s="45" customFormat="1" ht="8.5500000000000007" customHeight="1" x14ac:dyDescent="0.2">
      <c r="A303" s="98"/>
      <c r="B303" s="156" t="s">
        <v>545</v>
      </c>
      <c r="C303" s="156"/>
      <c r="D303" s="156"/>
      <c r="E303" s="156"/>
      <c r="F303" s="157"/>
      <c r="G303" s="166">
        <v>2004</v>
      </c>
      <c r="H303" s="267"/>
      <c r="I303" s="160"/>
      <c r="J303" s="249"/>
      <c r="K303" s="164">
        <v>2</v>
      </c>
      <c r="L303" s="91"/>
      <c r="M303" s="92"/>
    </row>
    <row r="304" spans="1:13" s="45" customFormat="1" ht="8.5500000000000007" customHeight="1" x14ac:dyDescent="0.2">
      <c r="A304" s="98"/>
      <c r="B304" s="158"/>
      <c r="C304" s="158"/>
      <c r="D304" s="158"/>
      <c r="E304" s="158"/>
      <c r="F304" s="159"/>
      <c r="G304" s="166"/>
      <c r="H304" s="316"/>
      <c r="I304" s="161"/>
      <c r="J304" s="250"/>
      <c r="K304" s="165"/>
      <c r="L304" s="91"/>
      <c r="M304" s="92"/>
    </row>
    <row r="305" spans="1:13" s="45" customFormat="1" ht="8.5500000000000007" customHeight="1" x14ac:dyDescent="0.2">
      <c r="A305" s="98"/>
      <c r="B305" s="156" t="s">
        <v>547</v>
      </c>
      <c r="C305" s="156"/>
      <c r="D305" s="156"/>
      <c r="E305" s="156"/>
      <c r="F305" s="157"/>
      <c r="G305" s="166">
        <v>2007</v>
      </c>
      <c r="H305" s="267"/>
      <c r="I305" s="160">
        <v>92</v>
      </c>
      <c r="J305" s="249"/>
      <c r="K305" s="164">
        <v>1</v>
      </c>
      <c r="L305" s="91"/>
      <c r="M305" s="92"/>
    </row>
    <row r="306" spans="1:13" s="45" customFormat="1" ht="8.5500000000000007" customHeight="1" x14ac:dyDescent="0.2">
      <c r="A306" s="98"/>
      <c r="B306" s="158"/>
      <c r="C306" s="158"/>
      <c r="D306" s="158"/>
      <c r="E306" s="158"/>
      <c r="F306" s="159"/>
      <c r="G306" s="166"/>
      <c r="H306" s="316"/>
      <c r="I306" s="161"/>
      <c r="J306" s="250"/>
      <c r="K306" s="165"/>
      <c r="L306" s="91"/>
      <c r="M306" s="92"/>
    </row>
    <row r="307" spans="1:13" s="45" customFormat="1" ht="8.5500000000000007" customHeight="1" x14ac:dyDescent="0.2">
      <c r="A307" s="98"/>
      <c r="B307" s="156" t="s">
        <v>1542</v>
      </c>
      <c r="C307" s="156"/>
      <c r="D307" s="156"/>
      <c r="E307" s="156"/>
      <c r="F307" s="157"/>
      <c r="G307" s="166">
        <v>2008</v>
      </c>
      <c r="H307" s="267"/>
      <c r="I307" s="160">
        <v>94</v>
      </c>
      <c r="J307" s="249"/>
      <c r="K307" s="164">
        <v>2</v>
      </c>
      <c r="L307" s="91"/>
      <c r="M307" s="92"/>
    </row>
    <row r="308" spans="1:13" s="45" customFormat="1" ht="8.5500000000000007" customHeight="1" x14ac:dyDescent="0.2">
      <c r="A308" s="98"/>
      <c r="B308" s="158"/>
      <c r="C308" s="158"/>
      <c r="D308" s="158"/>
      <c r="E308" s="158"/>
      <c r="F308" s="159"/>
      <c r="G308" s="166"/>
      <c r="H308" s="316"/>
      <c r="I308" s="161"/>
      <c r="J308" s="250"/>
      <c r="K308" s="165"/>
      <c r="L308" s="91"/>
      <c r="M308" s="92"/>
    </row>
    <row r="309" spans="1:13" s="45" customFormat="1" ht="8.5500000000000007" customHeight="1" x14ac:dyDescent="0.2">
      <c r="A309" s="98"/>
      <c r="B309" s="156" t="s">
        <v>698</v>
      </c>
      <c r="C309" s="156"/>
      <c r="D309" s="156"/>
      <c r="E309" s="156"/>
      <c r="F309" s="157"/>
      <c r="G309" s="166">
        <v>2008</v>
      </c>
      <c r="H309" s="267"/>
      <c r="I309" s="56"/>
      <c r="J309" s="249"/>
      <c r="K309" s="164">
        <v>1</v>
      </c>
      <c r="L309" s="91"/>
      <c r="M309" s="92"/>
    </row>
    <row r="310" spans="1:13" s="45" customFormat="1" ht="8.5500000000000007" customHeight="1" x14ac:dyDescent="0.2">
      <c r="A310" s="98"/>
      <c r="B310" s="158"/>
      <c r="C310" s="158"/>
      <c r="D310" s="158"/>
      <c r="E310" s="158"/>
      <c r="F310" s="159"/>
      <c r="G310" s="166"/>
      <c r="H310" s="316"/>
      <c r="I310" s="57"/>
      <c r="J310" s="250"/>
      <c r="K310" s="165"/>
      <c r="L310" s="91"/>
      <c r="M310" s="92"/>
    </row>
    <row r="311" spans="1:13" s="45" customFormat="1" ht="8.5500000000000007" customHeight="1" x14ac:dyDescent="0.2">
      <c r="A311" s="98"/>
      <c r="B311" s="156" t="s">
        <v>757</v>
      </c>
      <c r="C311" s="156"/>
      <c r="D311" s="156"/>
      <c r="E311" s="156"/>
      <c r="F311" s="157"/>
      <c r="G311" s="166">
        <v>1990</v>
      </c>
      <c r="H311" s="267">
        <v>96</v>
      </c>
      <c r="I311" s="160">
        <v>92</v>
      </c>
      <c r="J311" s="249">
        <v>18.5</v>
      </c>
      <c r="K311" s="164">
        <v>1</v>
      </c>
      <c r="L311" s="91"/>
      <c r="M311" s="92"/>
    </row>
    <row r="312" spans="1:13" s="45" customFormat="1" ht="8.5500000000000007" customHeight="1" x14ac:dyDescent="0.2">
      <c r="A312" s="98"/>
      <c r="B312" s="158"/>
      <c r="C312" s="158"/>
      <c r="D312" s="158"/>
      <c r="E312" s="158"/>
      <c r="F312" s="159"/>
      <c r="G312" s="166"/>
      <c r="H312" s="316"/>
      <c r="I312" s="161"/>
      <c r="J312" s="250"/>
      <c r="K312" s="165"/>
      <c r="L312" s="91"/>
      <c r="M312" s="92"/>
    </row>
    <row r="313" spans="1:13" s="45" customFormat="1" ht="8.5500000000000007" customHeight="1" x14ac:dyDescent="0.2">
      <c r="A313" s="98"/>
      <c r="B313" s="156" t="s">
        <v>757</v>
      </c>
      <c r="C313" s="156"/>
      <c r="D313" s="156"/>
      <c r="E313" s="156"/>
      <c r="F313" s="157"/>
      <c r="G313" s="166">
        <v>1991</v>
      </c>
      <c r="H313" s="267">
        <v>92</v>
      </c>
      <c r="I313" s="160"/>
      <c r="J313" s="249">
        <v>19</v>
      </c>
      <c r="K313" s="164">
        <v>1</v>
      </c>
      <c r="L313" s="91"/>
      <c r="M313" s="92"/>
    </row>
    <row r="314" spans="1:13" s="45" customFormat="1" ht="8.5500000000000007" customHeight="1" x14ac:dyDescent="0.2">
      <c r="A314" s="98"/>
      <c r="B314" s="158"/>
      <c r="C314" s="158"/>
      <c r="D314" s="158"/>
      <c r="E314" s="158"/>
      <c r="F314" s="159"/>
      <c r="G314" s="166"/>
      <c r="H314" s="316"/>
      <c r="I314" s="161"/>
      <c r="J314" s="250"/>
      <c r="K314" s="165"/>
      <c r="L314" s="91"/>
      <c r="M314" s="92"/>
    </row>
    <row r="315" spans="1:13" s="45" customFormat="1" ht="8.5500000000000007" customHeight="1" x14ac:dyDescent="0.2">
      <c r="A315" s="98"/>
      <c r="B315" s="156" t="s">
        <v>757</v>
      </c>
      <c r="C315" s="156"/>
      <c r="D315" s="156"/>
      <c r="E315" s="156"/>
      <c r="F315" s="157"/>
      <c r="G315" s="166">
        <v>2004</v>
      </c>
      <c r="H315" s="267"/>
      <c r="I315" s="160"/>
      <c r="J315" s="249"/>
      <c r="K315" s="164">
        <v>2</v>
      </c>
      <c r="L315" s="91"/>
      <c r="M315" s="92"/>
    </row>
    <row r="316" spans="1:13" s="45" customFormat="1" ht="8.5500000000000007" customHeight="1" x14ac:dyDescent="0.2">
      <c r="A316" s="98"/>
      <c r="B316" s="158"/>
      <c r="C316" s="158"/>
      <c r="D316" s="158"/>
      <c r="E316" s="158"/>
      <c r="F316" s="159"/>
      <c r="G316" s="166"/>
      <c r="H316" s="316"/>
      <c r="I316" s="161"/>
      <c r="J316" s="250"/>
      <c r="K316" s="165"/>
      <c r="L316" s="91"/>
      <c r="M316" s="92"/>
    </row>
    <row r="317" spans="1:13" s="45" customFormat="1" ht="8.5500000000000007" customHeight="1" x14ac:dyDescent="0.2">
      <c r="A317" s="98"/>
      <c r="B317" s="156" t="s">
        <v>757</v>
      </c>
      <c r="C317" s="156"/>
      <c r="D317" s="156"/>
      <c r="E317" s="156"/>
      <c r="F317" s="157"/>
      <c r="G317" s="166">
        <v>2009</v>
      </c>
      <c r="H317" s="267">
        <v>94</v>
      </c>
      <c r="I317" s="160"/>
      <c r="J317" s="249"/>
      <c r="K317" s="164">
        <v>1</v>
      </c>
      <c r="L317" s="91"/>
      <c r="M317" s="92"/>
    </row>
    <row r="318" spans="1:13" s="45" customFormat="1" ht="8.5500000000000007" customHeight="1" x14ac:dyDescent="0.2">
      <c r="A318" s="98"/>
      <c r="B318" s="158"/>
      <c r="C318" s="158"/>
      <c r="D318" s="158"/>
      <c r="E318" s="158"/>
      <c r="F318" s="159"/>
      <c r="G318" s="166"/>
      <c r="H318" s="316"/>
      <c r="I318" s="161"/>
      <c r="J318" s="250"/>
      <c r="K318" s="165"/>
      <c r="L318" s="91"/>
      <c r="M318" s="92"/>
    </row>
    <row r="319" spans="1:13" s="45" customFormat="1" ht="8.5500000000000007" customHeight="1" x14ac:dyDescent="0.2">
      <c r="A319" s="98"/>
      <c r="B319" s="156" t="s">
        <v>757</v>
      </c>
      <c r="C319" s="156"/>
      <c r="D319" s="156"/>
      <c r="E319" s="156"/>
      <c r="F319" s="157"/>
      <c r="G319" s="166">
        <v>2010</v>
      </c>
      <c r="H319" s="267">
        <v>96</v>
      </c>
      <c r="I319" s="160"/>
      <c r="J319" s="249"/>
      <c r="K319" s="164">
        <v>2</v>
      </c>
      <c r="L319" s="91"/>
      <c r="M319" s="92"/>
    </row>
    <row r="320" spans="1:13" s="45" customFormat="1" ht="8.5500000000000007" customHeight="1" x14ac:dyDescent="0.2">
      <c r="A320" s="98"/>
      <c r="B320" s="158"/>
      <c r="C320" s="158"/>
      <c r="D320" s="158"/>
      <c r="E320" s="158"/>
      <c r="F320" s="159"/>
      <c r="G320" s="166"/>
      <c r="H320" s="316"/>
      <c r="I320" s="161"/>
      <c r="J320" s="250"/>
      <c r="K320" s="165"/>
      <c r="L320" s="91"/>
      <c r="M320" s="92"/>
    </row>
    <row r="321" spans="1:13" s="45" customFormat="1" ht="8.5500000000000007" customHeight="1" x14ac:dyDescent="0.2">
      <c r="A321" s="98"/>
      <c r="B321" s="156" t="s">
        <v>904</v>
      </c>
      <c r="C321" s="156"/>
      <c r="D321" s="156"/>
      <c r="E321" s="156"/>
      <c r="F321" s="157"/>
      <c r="G321" s="166">
        <v>2004</v>
      </c>
      <c r="H321" s="167"/>
      <c r="I321" s="56"/>
      <c r="J321" s="249"/>
      <c r="K321" s="164">
        <v>1</v>
      </c>
      <c r="L321" s="91"/>
      <c r="M321" s="92"/>
    </row>
    <row r="322" spans="1:13" s="45" customFormat="1" ht="8.5500000000000007" customHeight="1" x14ac:dyDescent="0.2">
      <c r="A322" s="98"/>
      <c r="B322" s="158"/>
      <c r="C322" s="158"/>
      <c r="D322" s="158"/>
      <c r="E322" s="158"/>
      <c r="F322" s="159"/>
      <c r="G322" s="166"/>
      <c r="H322" s="168"/>
      <c r="I322" s="57"/>
      <c r="J322" s="250"/>
      <c r="K322" s="165"/>
      <c r="L322" s="91"/>
      <c r="M322" s="92"/>
    </row>
    <row r="323" spans="1:13" s="45" customFormat="1" ht="8.5500000000000007" customHeight="1" x14ac:dyDescent="0.2">
      <c r="A323" s="98"/>
      <c r="B323" s="156" t="s">
        <v>903</v>
      </c>
      <c r="C323" s="156"/>
      <c r="D323" s="156"/>
      <c r="E323" s="156"/>
      <c r="F323" s="157"/>
      <c r="G323" s="166">
        <v>2005</v>
      </c>
      <c r="H323" s="167"/>
      <c r="I323" s="56"/>
      <c r="J323" s="249"/>
      <c r="K323" s="164">
        <v>1</v>
      </c>
      <c r="L323" s="91"/>
      <c r="M323" s="92"/>
    </row>
    <row r="324" spans="1:13" s="45" customFormat="1" ht="8.5500000000000007" customHeight="1" x14ac:dyDescent="0.2">
      <c r="A324" s="98"/>
      <c r="B324" s="158"/>
      <c r="C324" s="158"/>
      <c r="D324" s="158"/>
      <c r="E324" s="158"/>
      <c r="F324" s="159"/>
      <c r="G324" s="166"/>
      <c r="H324" s="168"/>
      <c r="I324" s="57"/>
      <c r="J324" s="250"/>
      <c r="K324" s="165"/>
      <c r="L324" s="91"/>
      <c r="M324" s="92"/>
    </row>
    <row r="325" spans="1:13" s="45" customFormat="1" ht="8.5500000000000007" customHeight="1" x14ac:dyDescent="0.2">
      <c r="A325" s="98"/>
      <c r="B325" s="156" t="s">
        <v>776</v>
      </c>
      <c r="C325" s="156"/>
      <c r="D325" s="156"/>
      <c r="E325" s="156"/>
      <c r="F325" s="157"/>
      <c r="G325" s="166">
        <v>1997</v>
      </c>
      <c r="H325" s="267" t="s">
        <v>68</v>
      </c>
      <c r="I325" s="56"/>
      <c r="J325" s="249"/>
      <c r="K325" s="164">
        <v>1</v>
      </c>
      <c r="L325" s="91"/>
      <c r="M325" s="92"/>
    </row>
    <row r="326" spans="1:13" s="45" customFormat="1" ht="8.5500000000000007" customHeight="1" x14ac:dyDescent="0.2">
      <c r="A326" s="98"/>
      <c r="B326" s="158"/>
      <c r="C326" s="158"/>
      <c r="D326" s="158"/>
      <c r="E326" s="158"/>
      <c r="F326" s="159"/>
      <c r="G326" s="166"/>
      <c r="H326" s="316"/>
      <c r="I326" s="57"/>
      <c r="J326" s="250"/>
      <c r="K326" s="165"/>
      <c r="L326" s="91"/>
      <c r="M326" s="92"/>
    </row>
    <row r="327" spans="1:13" s="45" customFormat="1" ht="8.5500000000000007" customHeight="1" x14ac:dyDescent="0.2">
      <c r="A327" s="98"/>
      <c r="B327" s="156" t="s">
        <v>1479</v>
      </c>
      <c r="C327" s="156"/>
      <c r="D327" s="156"/>
      <c r="E327" s="156"/>
      <c r="F327" s="157"/>
      <c r="G327" s="166">
        <v>2013</v>
      </c>
      <c r="H327" s="267" t="s">
        <v>556</v>
      </c>
      <c r="I327" s="56"/>
      <c r="J327" s="249"/>
      <c r="K327" s="164">
        <v>1</v>
      </c>
      <c r="L327" s="91"/>
      <c r="M327" s="92"/>
    </row>
    <row r="328" spans="1:13" s="45" customFormat="1" ht="8.5500000000000007" customHeight="1" x14ac:dyDescent="0.2">
      <c r="A328" s="98"/>
      <c r="B328" s="158"/>
      <c r="C328" s="158"/>
      <c r="D328" s="158"/>
      <c r="E328" s="158"/>
      <c r="F328" s="159"/>
      <c r="G328" s="166"/>
      <c r="H328" s="316"/>
      <c r="I328" s="57"/>
      <c r="J328" s="250"/>
      <c r="K328" s="165"/>
      <c r="L328" s="91"/>
      <c r="M328" s="92"/>
    </row>
    <row r="329" spans="1:13" s="45" customFormat="1" ht="8.5500000000000007" customHeight="1" x14ac:dyDescent="0.2">
      <c r="A329" s="98"/>
      <c r="B329" s="156" t="s">
        <v>1830</v>
      </c>
      <c r="C329" s="156"/>
      <c r="D329" s="156"/>
      <c r="E329" s="156"/>
      <c r="F329" s="157"/>
      <c r="G329" s="166">
        <v>2007</v>
      </c>
      <c r="H329" s="267">
        <v>96</v>
      </c>
      <c r="I329" s="56"/>
      <c r="J329" s="249"/>
      <c r="K329" s="164">
        <v>1</v>
      </c>
      <c r="L329" s="91"/>
      <c r="M329" s="92"/>
    </row>
    <row r="330" spans="1:13" s="45" customFormat="1" ht="8.5500000000000007" customHeight="1" x14ac:dyDescent="0.2">
      <c r="A330" s="98"/>
      <c r="B330" s="158"/>
      <c r="C330" s="158"/>
      <c r="D330" s="158"/>
      <c r="E330" s="158"/>
      <c r="F330" s="159"/>
      <c r="G330" s="166"/>
      <c r="H330" s="316"/>
      <c r="I330" s="57"/>
      <c r="J330" s="250"/>
      <c r="K330" s="165"/>
      <c r="L330" s="91"/>
      <c r="M330" s="92"/>
    </row>
    <row r="331" spans="1:13" s="45" customFormat="1" ht="8.5500000000000007" customHeight="1" x14ac:dyDescent="0.2">
      <c r="A331" s="98"/>
      <c r="B331" s="156" t="s">
        <v>1837</v>
      </c>
      <c r="C331" s="156"/>
      <c r="D331" s="156"/>
      <c r="E331" s="156"/>
      <c r="F331" s="157"/>
      <c r="G331" s="166">
        <v>2009</v>
      </c>
      <c r="H331" s="267"/>
      <c r="I331" s="56"/>
      <c r="J331" s="249"/>
      <c r="K331" s="164">
        <v>4</v>
      </c>
      <c r="L331" s="91"/>
      <c r="M331" s="92"/>
    </row>
    <row r="332" spans="1:13" s="45" customFormat="1" ht="8.5500000000000007" customHeight="1" x14ac:dyDescent="0.2">
      <c r="A332" s="98"/>
      <c r="B332" s="158"/>
      <c r="C332" s="158"/>
      <c r="D332" s="158"/>
      <c r="E332" s="158"/>
      <c r="F332" s="159"/>
      <c r="G332" s="166"/>
      <c r="H332" s="316"/>
      <c r="I332" s="57"/>
      <c r="J332" s="250"/>
      <c r="K332" s="165"/>
      <c r="L332" s="91"/>
      <c r="M332" s="92"/>
    </row>
    <row r="333" spans="1:13" s="45" customFormat="1" ht="8.5500000000000007" customHeight="1" x14ac:dyDescent="0.2">
      <c r="A333" s="98"/>
      <c r="B333" s="156" t="s">
        <v>879</v>
      </c>
      <c r="C333" s="156"/>
      <c r="D333" s="156"/>
      <c r="E333" s="156"/>
      <c r="F333" s="157"/>
      <c r="G333" s="166">
        <v>1992</v>
      </c>
      <c r="H333" s="267"/>
      <c r="I333" s="56"/>
      <c r="J333" s="249"/>
      <c r="K333" s="164">
        <v>1</v>
      </c>
      <c r="L333" s="91"/>
      <c r="M333" s="92"/>
    </row>
    <row r="334" spans="1:13" s="45" customFormat="1" ht="8.5500000000000007" customHeight="1" x14ac:dyDescent="0.2">
      <c r="A334" s="98"/>
      <c r="B334" s="158"/>
      <c r="C334" s="158"/>
      <c r="D334" s="158"/>
      <c r="E334" s="158"/>
      <c r="F334" s="159"/>
      <c r="G334" s="166"/>
      <c r="H334" s="316"/>
      <c r="I334" s="57"/>
      <c r="J334" s="250"/>
      <c r="K334" s="165"/>
      <c r="L334" s="91"/>
      <c r="M334" s="92"/>
    </row>
    <row r="335" spans="1:13" s="45" customFormat="1" ht="8.5500000000000007" customHeight="1" x14ac:dyDescent="0.2">
      <c r="A335" s="98"/>
      <c r="B335" s="156" t="s">
        <v>881</v>
      </c>
      <c r="C335" s="156"/>
      <c r="D335" s="156"/>
      <c r="E335" s="156"/>
      <c r="F335" s="157"/>
      <c r="G335" s="166">
        <v>1997</v>
      </c>
      <c r="H335" s="267"/>
      <c r="I335" s="56"/>
      <c r="J335" s="249"/>
      <c r="K335" s="164">
        <v>1</v>
      </c>
      <c r="L335" s="91"/>
      <c r="M335" s="92"/>
    </row>
    <row r="336" spans="1:13" s="45" customFormat="1" ht="8.5500000000000007" customHeight="1" x14ac:dyDescent="0.2">
      <c r="A336" s="98"/>
      <c r="B336" s="158"/>
      <c r="C336" s="158"/>
      <c r="D336" s="158"/>
      <c r="E336" s="158"/>
      <c r="F336" s="159"/>
      <c r="G336" s="166"/>
      <c r="H336" s="316"/>
      <c r="I336" s="57"/>
      <c r="J336" s="250"/>
      <c r="K336" s="165"/>
      <c r="L336" s="91"/>
      <c r="M336" s="92"/>
    </row>
    <row r="337" spans="1:13" s="45" customFormat="1" ht="8.5500000000000007" customHeight="1" x14ac:dyDescent="0.2">
      <c r="A337" s="98"/>
      <c r="B337" s="156" t="s">
        <v>880</v>
      </c>
      <c r="C337" s="156"/>
      <c r="D337" s="156"/>
      <c r="E337" s="156"/>
      <c r="F337" s="157"/>
      <c r="G337" s="166">
        <v>2002</v>
      </c>
      <c r="H337" s="267" t="s">
        <v>662</v>
      </c>
      <c r="I337" s="56"/>
      <c r="J337" s="249">
        <v>16</v>
      </c>
      <c r="K337" s="164">
        <v>1</v>
      </c>
      <c r="L337" s="91"/>
      <c r="M337" s="92"/>
    </row>
    <row r="338" spans="1:13" s="45" customFormat="1" ht="8.5500000000000007" customHeight="1" x14ac:dyDescent="0.2">
      <c r="A338" s="98"/>
      <c r="B338" s="158"/>
      <c r="C338" s="158"/>
      <c r="D338" s="158"/>
      <c r="E338" s="158"/>
      <c r="F338" s="159"/>
      <c r="G338" s="166"/>
      <c r="H338" s="316"/>
      <c r="I338" s="57"/>
      <c r="J338" s="250"/>
      <c r="K338" s="165"/>
      <c r="L338" s="91"/>
      <c r="M338" s="92"/>
    </row>
    <row r="339" spans="1:13" s="45" customFormat="1" ht="8.5500000000000007" customHeight="1" x14ac:dyDescent="0.2">
      <c r="A339" s="98"/>
      <c r="B339" s="156" t="s">
        <v>1034</v>
      </c>
      <c r="C339" s="156"/>
      <c r="D339" s="156"/>
      <c r="E339" s="156"/>
      <c r="F339" s="157"/>
      <c r="G339" s="166">
        <v>2013</v>
      </c>
      <c r="H339" s="267"/>
      <c r="I339" s="56"/>
      <c r="J339" s="249"/>
      <c r="K339" s="164">
        <v>1</v>
      </c>
      <c r="L339" s="91"/>
      <c r="M339" s="92"/>
    </row>
    <row r="340" spans="1:13" s="45" customFormat="1" ht="8.5500000000000007" customHeight="1" x14ac:dyDescent="0.2">
      <c r="A340" s="98"/>
      <c r="B340" s="158"/>
      <c r="C340" s="158"/>
      <c r="D340" s="158"/>
      <c r="E340" s="158"/>
      <c r="F340" s="159"/>
      <c r="G340" s="166"/>
      <c r="H340" s="316"/>
      <c r="I340" s="57"/>
      <c r="J340" s="250"/>
      <c r="K340" s="165"/>
      <c r="L340" s="91"/>
      <c r="M340" s="92"/>
    </row>
    <row r="341" spans="1:13" s="45" customFormat="1" ht="8.5500000000000007" customHeight="1" x14ac:dyDescent="0.2">
      <c r="A341" s="98"/>
      <c r="B341" s="156" t="s">
        <v>1066</v>
      </c>
      <c r="C341" s="156"/>
      <c r="D341" s="156"/>
      <c r="E341" s="156"/>
      <c r="F341" s="157"/>
      <c r="G341" s="166">
        <v>2007</v>
      </c>
      <c r="H341" s="267">
        <v>91</v>
      </c>
      <c r="I341" s="56"/>
      <c r="J341" s="249"/>
      <c r="K341" s="164">
        <v>1</v>
      </c>
      <c r="L341" s="91"/>
      <c r="M341" s="92"/>
    </row>
    <row r="342" spans="1:13" s="45" customFormat="1" ht="8.5500000000000007" customHeight="1" x14ac:dyDescent="0.2">
      <c r="A342" s="98"/>
      <c r="B342" s="158"/>
      <c r="C342" s="158"/>
      <c r="D342" s="158"/>
      <c r="E342" s="158"/>
      <c r="F342" s="159"/>
      <c r="G342" s="166"/>
      <c r="H342" s="316"/>
      <c r="I342" s="57"/>
      <c r="J342" s="250"/>
      <c r="K342" s="165"/>
      <c r="L342" s="91"/>
      <c r="M342" s="92"/>
    </row>
    <row r="343" spans="1:13" s="45" customFormat="1" ht="8.5500000000000007" customHeight="1" x14ac:dyDescent="0.2">
      <c r="A343" s="98"/>
      <c r="B343" s="156" t="s">
        <v>961</v>
      </c>
      <c r="C343" s="156"/>
      <c r="D343" s="156"/>
      <c r="E343" s="156"/>
      <c r="F343" s="157"/>
      <c r="G343" s="166">
        <v>2009</v>
      </c>
      <c r="H343" s="267"/>
      <c r="I343" s="56"/>
      <c r="J343" s="249"/>
      <c r="K343" s="164">
        <v>1</v>
      </c>
      <c r="L343" s="91"/>
      <c r="M343" s="92"/>
    </row>
    <row r="344" spans="1:13" s="45" customFormat="1" ht="8.5500000000000007" customHeight="1" x14ac:dyDescent="0.2">
      <c r="A344" s="98"/>
      <c r="B344" s="158"/>
      <c r="C344" s="158"/>
      <c r="D344" s="158"/>
      <c r="E344" s="158"/>
      <c r="F344" s="159"/>
      <c r="G344" s="166"/>
      <c r="H344" s="316"/>
      <c r="I344" s="57"/>
      <c r="J344" s="250"/>
      <c r="K344" s="165"/>
      <c r="L344" s="91"/>
      <c r="M344" s="92"/>
    </row>
    <row r="345" spans="1:13" s="45" customFormat="1" ht="8.5500000000000007" customHeight="1" x14ac:dyDescent="0.2">
      <c r="A345" s="98"/>
      <c r="B345" s="156" t="s">
        <v>1447</v>
      </c>
      <c r="C345" s="156"/>
      <c r="D345" s="156"/>
      <c r="E345" s="156"/>
      <c r="F345" s="157"/>
      <c r="G345" s="166">
        <v>1993</v>
      </c>
      <c r="H345" s="267"/>
      <c r="I345" s="56"/>
      <c r="J345" s="249"/>
      <c r="K345" s="164">
        <v>1</v>
      </c>
      <c r="L345" s="91"/>
      <c r="M345" s="92"/>
    </row>
    <row r="346" spans="1:13" s="45" customFormat="1" ht="8.5500000000000007" customHeight="1" x14ac:dyDescent="0.2">
      <c r="A346" s="98"/>
      <c r="B346" s="158"/>
      <c r="C346" s="158"/>
      <c r="D346" s="158"/>
      <c r="E346" s="158"/>
      <c r="F346" s="159"/>
      <c r="G346" s="166"/>
      <c r="H346" s="316"/>
      <c r="I346" s="57"/>
      <c r="J346" s="250"/>
      <c r="K346" s="165"/>
      <c r="L346" s="91"/>
      <c r="M346" s="92"/>
    </row>
    <row r="347" spans="1:13" s="45" customFormat="1" ht="8.5500000000000007" customHeight="1" x14ac:dyDescent="0.2">
      <c r="A347" s="98"/>
      <c r="B347" s="170" t="s">
        <v>244</v>
      </c>
      <c r="C347" s="170"/>
      <c r="D347" s="170"/>
      <c r="E347" s="170"/>
      <c r="F347" s="170"/>
      <c r="G347" s="77"/>
      <c r="H347" s="77"/>
      <c r="I347" s="62"/>
      <c r="J347" s="115"/>
      <c r="K347" s="164"/>
      <c r="L347" s="91"/>
      <c r="M347" s="92"/>
    </row>
    <row r="348" spans="1:13" s="45" customFormat="1" ht="8.5500000000000007" customHeight="1" x14ac:dyDescent="0.2">
      <c r="A348" s="98"/>
      <c r="B348" s="171"/>
      <c r="C348" s="171"/>
      <c r="D348" s="171"/>
      <c r="E348" s="171"/>
      <c r="F348" s="171"/>
      <c r="G348" s="78"/>
      <c r="H348" s="78"/>
      <c r="I348" s="63"/>
      <c r="J348" s="116"/>
      <c r="K348" s="165"/>
      <c r="L348" s="91"/>
      <c r="M348" s="92"/>
    </row>
    <row r="349" spans="1:13" s="45" customFormat="1" ht="8.5500000000000007" customHeight="1" x14ac:dyDescent="0.2">
      <c r="A349" s="98"/>
      <c r="B349" s="156" t="s">
        <v>1317</v>
      </c>
      <c r="C349" s="156"/>
      <c r="D349" s="156"/>
      <c r="E349" s="156"/>
      <c r="F349" s="157"/>
      <c r="G349" s="166">
        <v>1996</v>
      </c>
      <c r="H349" s="267" t="s">
        <v>841</v>
      </c>
      <c r="I349" s="56"/>
      <c r="J349" s="249"/>
      <c r="K349" s="164">
        <v>2</v>
      </c>
      <c r="L349" s="91"/>
      <c r="M349" s="92"/>
    </row>
    <row r="350" spans="1:13" s="45" customFormat="1" ht="8.5500000000000007" customHeight="1" x14ac:dyDescent="0.2">
      <c r="A350" s="98"/>
      <c r="B350" s="158"/>
      <c r="C350" s="158"/>
      <c r="D350" s="158"/>
      <c r="E350" s="158"/>
      <c r="F350" s="159"/>
      <c r="G350" s="166"/>
      <c r="H350" s="316"/>
      <c r="I350" s="57"/>
      <c r="J350" s="250"/>
      <c r="K350" s="165"/>
      <c r="L350" s="91"/>
      <c r="M350" s="92"/>
    </row>
    <row r="351" spans="1:13" s="45" customFormat="1" ht="8.5500000000000007" customHeight="1" x14ac:dyDescent="0.2">
      <c r="A351" s="98"/>
      <c r="B351" s="156" t="s">
        <v>1438</v>
      </c>
      <c r="C351" s="156"/>
      <c r="D351" s="156"/>
      <c r="E351" s="156"/>
      <c r="F351" s="157"/>
      <c r="G351" s="166">
        <v>1996</v>
      </c>
      <c r="H351" s="267"/>
      <c r="I351" s="56"/>
      <c r="J351" s="249"/>
      <c r="K351" s="164">
        <v>1</v>
      </c>
      <c r="L351" s="91"/>
      <c r="M351" s="92"/>
    </row>
    <row r="352" spans="1:13" s="45" customFormat="1" ht="8.5500000000000007" customHeight="1" x14ac:dyDescent="0.2">
      <c r="A352" s="98"/>
      <c r="B352" s="158"/>
      <c r="C352" s="158"/>
      <c r="D352" s="158"/>
      <c r="E352" s="158"/>
      <c r="F352" s="159"/>
      <c r="G352" s="166"/>
      <c r="H352" s="316"/>
      <c r="I352" s="57"/>
      <c r="J352" s="250"/>
      <c r="K352" s="165"/>
      <c r="L352" s="91"/>
      <c r="M352" s="92"/>
    </row>
    <row r="353" spans="1:13" s="45" customFormat="1" ht="8.5500000000000007" customHeight="1" x14ac:dyDescent="0.2">
      <c r="A353" s="98"/>
      <c r="B353" s="156" t="s">
        <v>1439</v>
      </c>
      <c r="C353" s="156"/>
      <c r="D353" s="156"/>
      <c r="E353" s="156"/>
      <c r="F353" s="157"/>
      <c r="G353" s="166">
        <v>1996</v>
      </c>
      <c r="H353" s="267"/>
      <c r="I353" s="56"/>
      <c r="J353" s="249"/>
      <c r="K353" s="164">
        <v>1</v>
      </c>
      <c r="L353" s="91"/>
      <c r="M353" s="92"/>
    </row>
    <row r="354" spans="1:13" s="45" customFormat="1" ht="8.5500000000000007" customHeight="1" x14ac:dyDescent="0.2">
      <c r="A354" s="98"/>
      <c r="B354" s="158"/>
      <c r="C354" s="158"/>
      <c r="D354" s="158"/>
      <c r="E354" s="158"/>
      <c r="F354" s="159"/>
      <c r="G354" s="166"/>
      <c r="H354" s="316"/>
      <c r="I354" s="57"/>
      <c r="J354" s="250"/>
      <c r="K354" s="165"/>
      <c r="L354" s="91"/>
      <c r="M354" s="92"/>
    </row>
    <row r="355" spans="1:13" s="45" customFormat="1" ht="8.5500000000000007" customHeight="1" x14ac:dyDescent="0.2">
      <c r="A355" s="98"/>
      <c r="B355" s="156" t="s">
        <v>1440</v>
      </c>
      <c r="C355" s="156"/>
      <c r="D355" s="156"/>
      <c r="E355" s="156"/>
      <c r="F355" s="157"/>
      <c r="G355" s="166">
        <v>1997</v>
      </c>
      <c r="H355" s="267"/>
      <c r="I355" s="56"/>
      <c r="J355" s="249"/>
      <c r="K355" s="164">
        <v>1</v>
      </c>
      <c r="L355" s="91"/>
      <c r="M355" s="92"/>
    </row>
    <row r="356" spans="1:13" s="45" customFormat="1" ht="8.5500000000000007" customHeight="1" x14ac:dyDescent="0.2">
      <c r="A356" s="98"/>
      <c r="B356" s="158"/>
      <c r="C356" s="158"/>
      <c r="D356" s="158"/>
      <c r="E356" s="158"/>
      <c r="F356" s="159"/>
      <c r="G356" s="166"/>
      <c r="H356" s="316"/>
      <c r="I356" s="57"/>
      <c r="J356" s="250"/>
      <c r="K356" s="165"/>
      <c r="L356" s="91"/>
      <c r="M356" s="92"/>
    </row>
    <row r="357" spans="1:13" s="45" customFormat="1" ht="8.5500000000000007" customHeight="1" x14ac:dyDescent="0.2">
      <c r="A357" s="98"/>
      <c r="B357" s="156" t="s">
        <v>1441</v>
      </c>
      <c r="C357" s="156"/>
      <c r="D357" s="156"/>
      <c r="E357" s="156"/>
      <c r="F357" s="157"/>
      <c r="G357" s="166">
        <v>1998</v>
      </c>
      <c r="H357" s="267"/>
      <c r="I357" s="56"/>
      <c r="J357" s="249"/>
      <c r="K357" s="164">
        <v>2</v>
      </c>
      <c r="L357" s="91"/>
      <c r="M357" s="92"/>
    </row>
    <row r="358" spans="1:13" s="45" customFormat="1" ht="8.5500000000000007" customHeight="1" x14ac:dyDescent="0.2">
      <c r="A358" s="98"/>
      <c r="B358" s="158"/>
      <c r="C358" s="158"/>
      <c r="D358" s="158"/>
      <c r="E358" s="158"/>
      <c r="F358" s="159"/>
      <c r="G358" s="166"/>
      <c r="H358" s="316"/>
      <c r="I358" s="57"/>
      <c r="J358" s="250"/>
      <c r="K358" s="165"/>
      <c r="L358" s="91"/>
      <c r="M358" s="92"/>
    </row>
    <row r="359" spans="1:13" s="45" customFormat="1" ht="8.5500000000000007" customHeight="1" x14ac:dyDescent="0.2">
      <c r="A359" s="98"/>
      <c r="B359" s="156" t="s">
        <v>1446</v>
      </c>
      <c r="C359" s="156"/>
      <c r="D359" s="156"/>
      <c r="E359" s="156"/>
      <c r="F359" s="157"/>
      <c r="G359" s="166">
        <v>1999</v>
      </c>
      <c r="H359" s="267"/>
      <c r="I359" s="56"/>
      <c r="J359" s="249"/>
      <c r="K359" s="164">
        <v>1</v>
      </c>
      <c r="L359" s="91"/>
      <c r="M359" s="92"/>
    </row>
    <row r="360" spans="1:13" s="45" customFormat="1" ht="8.5500000000000007" customHeight="1" x14ac:dyDescent="0.2">
      <c r="A360" s="98"/>
      <c r="B360" s="158"/>
      <c r="C360" s="158"/>
      <c r="D360" s="158"/>
      <c r="E360" s="158"/>
      <c r="F360" s="159"/>
      <c r="G360" s="166"/>
      <c r="H360" s="316"/>
      <c r="I360" s="57"/>
      <c r="J360" s="250"/>
      <c r="K360" s="165"/>
      <c r="L360" s="91"/>
      <c r="M360" s="92"/>
    </row>
    <row r="361" spans="1:13" s="45" customFormat="1" ht="8.5500000000000007" customHeight="1" x14ac:dyDescent="0.2">
      <c r="A361" s="98"/>
      <c r="B361" s="156" t="s">
        <v>2004</v>
      </c>
      <c r="C361" s="156"/>
      <c r="D361" s="156"/>
      <c r="E361" s="156"/>
      <c r="F361" s="157"/>
      <c r="G361" s="166">
        <v>2001</v>
      </c>
      <c r="H361" s="136"/>
      <c r="I361" s="137"/>
      <c r="J361" s="138"/>
      <c r="K361" s="164">
        <v>3</v>
      </c>
      <c r="L361" s="91"/>
      <c r="M361" s="92"/>
    </row>
    <row r="362" spans="1:13" s="45" customFormat="1" ht="8.5500000000000007" customHeight="1" x14ac:dyDescent="0.2">
      <c r="A362" s="98"/>
      <c r="B362" s="158"/>
      <c r="C362" s="158"/>
      <c r="D362" s="158"/>
      <c r="E362" s="158"/>
      <c r="F362" s="159"/>
      <c r="G362" s="166"/>
      <c r="H362" s="136"/>
      <c r="I362" s="137"/>
      <c r="J362" s="138"/>
      <c r="K362" s="165"/>
      <c r="L362" s="91"/>
      <c r="M362" s="92"/>
    </row>
    <row r="363" spans="1:13" s="45" customFormat="1" ht="8.5500000000000007" customHeight="1" x14ac:dyDescent="0.2">
      <c r="A363" s="98"/>
      <c r="B363" s="156" t="s">
        <v>1444</v>
      </c>
      <c r="C363" s="156"/>
      <c r="D363" s="156"/>
      <c r="E363" s="156"/>
      <c r="F363" s="157"/>
      <c r="G363" s="166">
        <v>2003</v>
      </c>
      <c r="H363" s="267"/>
      <c r="I363" s="56"/>
      <c r="J363" s="249"/>
      <c r="K363" s="164">
        <v>1</v>
      </c>
      <c r="L363" s="91"/>
      <c r="M363" s="92"/>
    </row>
    <row r="364" spans="1:13" s="45" customFormat="1" ht="8.5500000000000007" customHeight="1" x14ac:dyDescent="0.2">
      <c r="A364" s="98"/>
      <c r="B364" s="158"/>
      <c r="C364" s="158"/>
      <c r="D364" s="158"/>
      <c r="E364" s="158"/>
      <c r="F364" s="159"/>
      <c r="G364" s="166"/>
      <c r="H364" s="316"/>
      <c r="I364" s="57"/>
      <c r="J364" s="250"/>
      <c r="K364" s="165"/>
      <c r="L364" s="91"/>
      <c r="M364" s="92"/>
    </row>
    <row r="365" spans="1:13" s="45" customFormat="1" ht="8.5500000000000007" customHeight="1" x14ac:dyDescent="0.2">
      <c r="A365" s="98"/>
      <c r="B365" s="156" t="s">
        <v>1035</v>
      </c>
      <c r="C365" s="156"/>
      <c r="D365" s="156"/>
      <c r="E365" s="156"/>
      <c r="F365" s="157"/>
      <c r="G365" s="166">
        <v>2014</v>
      </c>
      <c r="H365" s="267" t="s">
        <v>44</v>
      </c>
      <c r="I365" s="56"/>
      <c r="J365" s="249"/>
      <c r="K365" s="164">
        <v>1</v>
      </c>
      <c r="L365" s="91"/>
      <c r="M365" s="92"/>
    </row>
    <row r="366" spans="1:13" s="45" customFormat="1" ht="8.5500000000000007" customHeight="1" x14ac:dyDescent="0.2">
      <c r="A366" s="98"/>
      <c r="B366" s="158"/>
      <c r="C366" s="158"/>
      <c r="D366" s="158"/>
      <c r="E366" s="158"/>
      <c r="F366" s="159"/>
      <c r="G366" s="166"/>
      <c r="H366" s="316"/>
      <c r="I366" s="57"/>
      <c r="J366" s="250"/>
      <c r="K366" s="165"/>
      <c r="L366" s="91"/>
      <c r="M366" s="92"/>
    </row>
    <row r="367" spans="1:13" s="45" customFormat="1" ht="8.5500000000000007" customHeight="1" x14ac:dyDescent="0.2">
      <c r="A367" s="98"/>
      <c r="B367" s="156" t="s">
        <v>1319</v>
      </c>
      <c r="C367" s="156"/>
      <c r="D367" s="156"/>
      <c r="E367" s="156"/>
      <c r="F367" s="157"/>
      <c r="G367" s="166">
        <v>2017</v>
      </c>
      <c r="H367" s="267" t="s">
        <v>556</v>
      </c>
      <c r="I367" s="56"/>
      <c r="J367" s="249"/>
      <c r="K367" s="164">
        <v>2</v>
      </c>
      <c r="L367" s="91"/>
      <c r="M367" s="92"/>
    </row>
    <row r="368" spans="1:13" s="45" customFormat="1" ht="8.5500000000000007" customHeight="1" x14ac:dyDescent="0.2">
      <c r="A368" s="98"/>
      <c r="B368" s="158"/>
      <c r="C368" s="158"/>
      <c r="D368" s="158"/>
      <c r="E368" s="158"/>
      <c r="F368" s="159"/>
      <c r="G368" s="166"/>
      <c r="H368" s="316"/>
      <c r="I368" s="57"/>
      <c r="J368" s="250"/>
      <c r="K368" s="165"/>
      <c r="L368" s="91"/>
      <c r="M368" s="92"/>
    </row>
    <row r="369" spans="1:13" s="45" customFormat="1" ht="8.5500000000000007" customHeight="1" x14ac:dyDescent="0.2">
      <c r="A369" s="98"/>
      <c r="B369" s="156" t="s">
        <v>1964</v>
      </c>
      <c r="C369" s="156"/>
      <c r="D369" s="156"/>
      <c r="E369" s="156"/>
      <c r="F369" s="157"/>
      <c r="G369" s="166">
        <v>2020</v>
      </c>
      <c r="H369" s="267"/>
      <c r="I369" s="56"/>
      <c r="J369" s="249"/>
      <c r="K369" s="164">
        <v>1</v>
      </c>
      <c r="L369" s="91"/>
      <c r="M369" s="92"/>
    </row>
    <row r="370" spans="1:13" s="45" customFormat="1" ht="8.5500000000000007" customHeight="1" x14ac:dyDescent="0.2">
      <c r="A370" s="98"/>
      <c r="B370" s="158"/>
      <c r="C370" s="158"/>
      <c r="D370" s="158"/>
      <c r="E370" s="158"/>
      <c r="F370" s="159"/>
      <c r="G370" s="166"/>
      <c r="H370" s="316"/>
      <c r="I370" s="57"/>
      <c r="J370" s="250"/>
      <c r="K370" s="165"/>
      <c r="L370" s="91"/>
      <c r="M370" s="92"/>
    </row>
    <row r="371" spans="1:13" s="45" customFormat="1" ht="8.5500000000000007" customHeight="1" x14ac:dyDescent="0.2">
      <c r="A371" s="98"/>
      <c r="B371" s="156" t="s">
        <v>1964</v>
      </c>
      <c r="C371" s="156"/>
      <c r="D371" s="156"/>
      <c r="E371" s="156"/>
      <c r="F371" s="157"/>
      <c r="G371" s="166">
        <v>2020</v>
      </c>
      <c r="H371" s="267"/>
      <c r="I371" s="56"/>
      <c r="J371" s="249"/>
      <c r="K371" s="164">
        <v>1</v>
      </c>
      <c r="L371" s="91"/>
      <c r="M371" s="92"/>
    </row>
    <row r="372" spans="1:13" s="45" customFormat="1" ht="8.5500000000000007" customHeight="1" x14ac:dyDescent="0.2">
      <c r="A372" s="98"/>
      <c r="B372" s="158"/>
      <c r="C372" s="158"/>
      <c r="D372" s="158"/>
      <c r="E372" s="158"/>
      <c r="F372" s="159"/>
      <c r="G372" s="166"/>
      <c r="H372" s="316"/>
      <c r="I372" s="57"/>
      <c r="J372" s="250"/>
      <c r="K372" s="165"/>
      <c r="L372" s="91"/>
      <c r="M372" s="92"/>
    </row>
    <row r="373" spans="1:13" s="45" customFormat="1" ht="8.5500000000000007" customHeight="1" x14ac:dyDescent="0.2">
      <c r="A373" s="98"/>
      <c r="B373" s="170" t="s">
        <v>1539</v>
      </c>
      <c r="C373" s="170"/>
      <c r="D373" s="170"/>
      <c r="E373" s="170"/>
      <c r="F373" s="170"/>
      <c r="G373" s="77"/>
      <c r="H373" s="77"/>
      <c r="I373" s="62"/>
      <c r="J373" s="115"/>
      <c r="K373" s="164"/>
      <c r="L373" s="91"/>
      <c r="M373" s="92"/>
    </row>
    <row r="374" spans="1:13" s="45" customFormat="1" ht="8.5500000000000007" customHeight="1" x14ac:dyDescent="0.2">
      <c r="A374" s="98"/>
      <c r="B374" s="171"/>
      <c r="C374" s="171"/>
      <c r="D374" s="171"/>
      <c r="E374" s="171"/>
      <c r="F374" s="171"/>
      <c r="G374" s="78"/>
      <c r="H374" s="78"/>
      <c r="I374" s="63"/>
      <c r="J374" s="116"/>
      <c r="K374" s="165"/>
      <c r="L374" s="91"/>
      <c r="M374" s="92"/>
    </row>
    <row r="375" spans="1:13" s="45" customFormat="1" ht="8.5500000000000007" customHeight="1" x14ac:dyDescent="0.2">
      <c r="A375" s="98"/>
      <c r="B375" s="156" t="s">
        <v>750</v>
      </c>
      <c r="C375" s="156"/>
      <c r="D375" s="156"/>
      <c r="E375" s="156"/>
      <c r="F375" s="157"/>
      <c r="G375" s="166">
        <v>2011</v>
      </c>
      <c r="H375" s="167">
        <v>91</v>
      </c>
      <c r="I375" s="56"/>
      <c r="J375" s="249"/>
      <c r="K375" s="164">
        <v>1</v>
      </c>
      <c r="L375" s="91"/>
      <c r="M375" s="92"/>
    </row>
    <row r="376" spans="1:13" s="45" customFormat="1" ht="8.5500000000000007" customHeight="1" x14ac:dyDescent="0.2">
      <c r="A376" s="98"/>
      <c r="B376" s="158"/>
      <c r="C376" s="158"/>
      <c r="D376" s="158"/>
      <c r="E376" s="158"/>
      <c r="F376" s="159"/>
      <c r="G376" s="166"/>
      <c r="H376" s="168"/>
      <c r="I376" s="57"/>
      <c r="J376" s="250"/>
      <c r="K376" s="165"/>
      <c r="L376" s="91"/>
      <c r="M376" s="92"/>
    </row>
    <row r="377" spans="1:13" s="45" customFormat="1" ht="8.5500000000000007" customHeight="1" x14ac:dyDescent="0.2">
      <c r="A377" s="98"/>
      <c r="B377" s="156" t="s">
        <v>750</v>
      </c>
      <c r="C377" s="156"/>
      <c r="D377" s="156"/>
      <c r="E377" s="156"/>
      <c r="F377" s="157"/>
      <c r="G377" s="166">
        <v>2014</v>
      </c>
      <c r="H377" s="167">
        <v>93</v>
      </c>
      <c r="I377" s="56"/>
      <c r="J377" s="249"/>
      <c r="K377" s="164">
        <v>2</v>
      </c>
      <c r="L377" s="91"/>
      <c r="M377" s="92"/>
    </row>
    <row r="378" spans="1:13" s="45" customFormat="1" ht="8.5500000000000007" customHeight="1" x14ac:dyDescent="0.2">
      <c r="A378" s="98"/>
      <c r="B378" s="158"/>
      <c r="C378" s="158"/>
      <c r="D378" s="158"/>
      <c r="E378" s="158"/>
      <c r="F378" s="159"/>
      <c r="G378" s="166"/>
      <c r="H378" s="168"/>
      <c r="I378" s="57"/>
      <c r="J378" s="250"/>
      <c r="K378" s="165"/>
      <c r="L378" s="91"/>
      <c r="M378" s="92"/>
    </row>
    <row r="379" spans="1:13" s="45" customFormat="1" ht="8.5500000000000007" customHeight="1" x14ac:dyDescent="0.2">
      <c r="A379" s="98"/>
      <c r="B379" s="156" t="s">
        <v>978</v>
      </c>
      <c r="C379" s="156"/>
      <c r="D379" s="156"/>
      <c r="E379" s="156"/>
      <c r="F379" s="157"/>
      <c r="G379" s="166">
        <v>2013</v>
      </c>
      <c r="H379" s="167">
        <v>92</v>
      </c>
      <c r="I379" s="56"/>
      <c r="J379" s="249"/>
      <c r="K379" s="164">
        <v>2</v>
      </c>
      <c r="L379" s="91"/>
      <c r="M379" s="92"/>
    </row>
    <row r="380" spans="1:13" s="45" customFormat="1" ht="8.5500000000000007" customHeight="1" x14ac:dyDescent="0.2">
      <c r="A380" s="98"/>
      <c r="B380" s="158"/>
      <c r="C380" s="158"/>
      <c r="D380" s="158"/>
      <c r="E380" s="158"/>
      <c r="F380" s="159"/>
      <c r="G380" s="166"/>
      <c r="H380" s="168"/>
      <c r="I380" s="57"/>
      <c r="J380" s="250"/>
      <c r="K380" s="165"/>
      <c r="L380" s="91"/>
      <c r="M380" s="92"/>
    </row>
    <row r="381" spans="1:13" s="45" customFormat="1" ht="8.5500000000000007" customHeight="1" x14ac:dyDescent="0.2">
      <c r="A381" s="98"/>
      <c r="B381" s="156" t="s">
        <v>1044</v>
      </c>
      <c r="C381" s="156"/>
      <c r="D381" s="156"/>
      <c r="E381" s="156"/>
      <c r="F381" s="157"/>
      <c r="G381" s="166">
        <v>2013</v>
      </c>
      <c r="H381" s="167">
        <v>92</v>
      </c>
      <c r="I381" s="56"/>
      <c r="J381" s="249"/>
      <c r="K381" s="164">
        <v>1</v>
      </c>
      <c r="L381" s="91"/>
      <c r="M381" s="92"/>
    </row>
    <row r="382" spans="1:13" s="45" customFormat="1" ht="8.5500000000000007" customHeight="1" x14ac:dyDescent="0.2">
      <c r="A382" s="98"/>
      <c r="B382" s="158"/>
      <c r="C382" s="158"/>
      <c r="D382" s="158"/>
      <c r="E382" s="158"/>
      <c r="F382" s="159"/>
      <c r="G382" s="166"/>
      <c r="H382" s="168"/>
      <c r="I382" s="57"/>
      <c r="J382" s="250"/>
      <c r="K382" s="165"/>
      <c r="L382" s="91"/>
      <c r="M382" s="92"/>
    </row>
    <row r="383" spans="1:13" s="45" customFormat="1" ht="8.5500000000000007" customHeight="1" x14ac:dyDescent="0.2">
      <c r="A383" s="98"/>
      <c r="B383" s="156" t="s">
        <v>963</v>
      </c>
      <c r="C383" s="156"/>
      <c r="D383" s="156"/>
      <c r="E383" s="156"/>
      <c r="F383" s="157"/>
      <c r="G383" s="166">
        <v>2007</v>
      </c>
      <c r="H383" s="267">
        <v>95</v>
      </c>
      <c r="I383" s="56"/>
      <c r="J383" s="249"/>
      <c r="K383" s="164">
        <v>1</v>
      </c>
      <c r="L383" s="91"/>
      <c r="M383" s="92"/>
    </row>
    <row r="384" spans="1:13" s="45" customFormat="1" ht="8.5500000000000007" customHeight="1" x14ac:dyDescent="0.2">
      <c r="A384" s="98"/>
      <c r="B384" s="158"/>
      <c r="C384" s="158"/>
      <c r="D384" s="158"/>
      <c r="E384" s="158"/>
      <c r="F384" s="159"/>
      <c r="G384" s="166"/>
      <c r="H384" s="316"/>
      <c r="I384" s="57"/>
      <c r="J384" s="250"/>
      <c r="K384" s="165"/>
      <c r="L384" s="91"/>
      <c r="M384" s="92"/>
    </row>
    <row r="385" spans="1:13" s="45" customFormat="1" ht="8.5500000000000007" customHeight="1" x14ac:dyDescent="0.2">
      <c r="A385" s="98"/>
      <c r="B385" s="156" t="s">
        <v>1107</v>
      </c>
      <c r="C385" s="156"/>
      <c r="D385" s="156"/>
      <c r="E385" s="156"/>
      <c r="F385" s="157"/>
      <c r="G385" s="166">
        <v>1996</v>
      </c>
      <c r="H385" s="267">
        <v>94</v>
      </c>
      <c r="I385" s="160"/>
      <c r="J385" s="247"/>
      <c r="K385" s="164">
        <v>1</v>
      </c>
      <c r="L385" s="91"/>
      <c r="M385" s="92"/>
    </row>
    <row r="386" spans="1:13" s="45" customFormat="1" ht="8.5500000000000007" customHeight="1" x14ac:dyDescent="0.2">
      <c r="A386" s="98"/>
      <c r="B386" s="158"/>
      <c r="C386" s="158"/>
      <c r="D386" s="158"/>
      <c r="E386" s="158"/>
      <c r="F386" s="159"/>
      <c r="G386" s="166"/>
      <c r="H386" s="316"/>
      <c r="I386" s="161"/>
      <c r="J386" s="248"/>
      <c r="K386" s="165"/>
      <c r="L386" s="91"/>
      <c r="M386" s="92"/>
    </row>
    <row r="387" spans="1:13" s="45" customFormat="1" ht="8.5500000000000007" customHeight="1" x14ac:dyDescent="0.2">
      <c r="A387" s="98"/>
      <c r="B387" s="156" t="s">
        <v>1107</v>
      </c>
      <c r="C387" s="156"/>
      <c r="D387" s="156"/>
      <c r="E387" s="156"/>
      <c r="F387" s="157"/>
      <c r="G387" s="166">
        <v>2001</v>
      </c>
      <c r="H387" s="167"/>
      <c r="I387" s="160"/>
      <c r="J387" s="247"/>
      <c r="K387" s="164">
        <v>1</v>
      </c>
      <c r="L387" s="91"/>
      <c r="M387" s="92"/>
    </row>
    <row r="388" spans="1:13" s="45" customFormat="1" ht="8.5500000000000007" customHeight="1" x14ac:dyDescent="0.2">
      <c r="A388" s="98"/>
      <c r="B388" s="158"/>
      <c r="C388" s="158"/>
      <c r="D388" s="158"/>
      <c r="E388" s="158"/>
      <c r="F388" s="159"/>
      <c r="G388" s="166"/>
      <c r="H388" s="168"/>
      <c r="I388" s="161"/>
      <c r="J388" s="248"/>
      <c r="K388" s="165"/>
      <c r="L388" s="91"/>
      <c r="M388" s="92"/>
    </row>
    <row r="389" spans="1:13" s="45" customFormat="1" ht="8.5500000000000007" customHeight="1" x14ac:dyDescent="0.2">
      <c r="A389" s="98"/>
      <c r="B389" s="156" t="s">
        <v>1108</v>
      </c>
      <c r="C389" s="156"/>
      <c r="D389" s="156"/>
      <c r="E389" s="156"/>
      <c r="F389" s="157"/>
      <c r="G389" s="166">
        <v>2003</v>
      </c>
      <c r="H389" s="267">
        <v>95</v>
      </c>
      <c r="I389" s="160"/>
      <c r="J389" s="247"/>
      <c r="K389" s="164">
        <v>1</v>
      </c>
      <c r="L389" s="91"/>
      <c r="M389" s="92"/>
    </row>
    <row r="390" spans="1:13" s="45" customFormat="1" ht="8.5500000000000007" customHeight="1" x14ac:dyDescent="0.2">
      <c r="A390" s="98"/>
      <c r="B390" s="158"/>
      <c r="C390" s="158"/>
      <c r="D390" s="158"/>
      <c r="E390" s="158"/>
      <c r="F390" s="159"/>
      <c r="G390" s="166"/>
      <c r="H390" s="316"/>
      <c r="I390" s="161"/>
      <c r="J390" s="248"/>
      <c r="K390" s="165"/>
      <c r="L390" s="91"/>
      <c r="M390" s="92"/>
    </row>
    <row r="391" spans="1:13" s="45" customFormat="1" ht="8.5500000000000007" customHeight="1" x14ac:dyDescent="0.2">
      <c r="A391" s="98"/>
      <c r="B391" s="156" t="s">
        <v>1108</v>
      </c>
      <c r="C391" s="156"/>
      <c r="D391" s="156"/>
      <c r="E391" s="156"/>
      <c r="F391" s="157"/>
      <c r="G391" s="166">
        <v>2009</v>
      </c>
      <c r="H391" s="267">
        <v>95</v>
      </c>
      <c r="I391" s="160"/>
      <c r="J391" s="247"/>
      <c r="K391" s="164">
        <v>1</v>
      </c>
      <c r="L391" s="91"/>
      <c r="M391" s="92"/>
    </row>
    <row r="392" spans="1:13" s="45" customFormat="1" ht="8.5500000000000007" customHeight="1" x14ac:dyDescent="0.2">
      <c r="A392" s="98"/>
      <c r="B392" s="158"/>
      <c r="C392" s="158"/>
      <c r="D392" s="158"/>
      <c r="E392" s="158"/>
      <c r="F392" s="159"/>
      <c r="G392" s="166"/>
      <c r="H392" s="316"/>
      <c r="I392" s="161"/>
      <c r="J392" s="248"/>
      <c r="K392" s="165"/>
      <c r="L392" s="91"/>
      <c r="M392" s="92"/>
    </row>
    <row r="393" spans="1:13" s="45" customFormat="1" ht="8.5500000000000007" customHeight="1" x14ac:dyDescent="0.2">
      <c r="A393" s="98"/>
      <c r="B393" s="156" t="s">
        <v>1635</v>
      </c>
      <c r="C393" s="156"/>
      <c r="D393" s="156"/>
      <c r="E393" s="156"/>
      <c r="F393" s="157"/>
      <c r="G393" s="166">
        <v>2008</v>
      </c>
      <c r="H393" s="167">
        <v>97</v>
      </c>
      <c r="I393" s="56"/>
      <c r="J393" s="249"/>
      <c r="K393" s="164">
        <v>1</v>
      </c>
      <c r="L393" s="91"/>
      <c r="M393" s="92"/>
    </row>
    <row r="394" spans="1:13" s="45" customFormat="1" ht="8.5500000000000007" customHeight="1" x14ac:dyDescent="0.2">
      <c r="A394" s="98"/>
      <c r="B394" s="158"/>
      <c r="C394" s="158"/>
      <c r="D394" s="158"/>
      <c r="E394" s="158"/>
      <c r="F394" s="159"/>
      <c r="G394" s="166"/>
      <c r="H394" s="168"/>
      <c r="I394" s="57"/>
      <c r="J394" s="250"/>
      <c r="K394" s="165"/>
      <c r="L394" s="91"/>
      <c r="M394" s="92"/>
    </row>
    <row r="395" spans="1:13" s="45" customFormat="1" ht="8.5500000000000007" customHeight="1" x14ac:dyDescent="0.2">
      <c r="A395" s="98"/>
      <c r="B395" s="156" t="s">
        <v>1636</v>
      </c>
      <c r="C395" s="156"/>
      <c r="D395" s="156"/>
      <c r="E395" s="156"/>
      <c r="F395" s="157"/>
      <c r="G395" s="166">
        <v>1996</v>
      </c>
      <c r="H395" s="267" t="s">
        <v>68</v>
      </c>
      <c r="I395" s="56"/>
      <c r="J395" s="249"/>
      <c r="K395" s="164">
        <v>2</v>
      </c>
      <c r="L395" s="91"/>
      <c r="M395" s="92"/>
    </row>
    <row r="396" spans="1:13" s="45" customFormat="1" ht="8.5500000000000007" customHeight="1" x14ac:dyDescent="0.2">
      <c r="A396" s="98"/>
      <c r="B396" s="158"/>
      <c r="C396" s="158"/>
      <c r="D396" s="158"/>
      <c r="E396" s="158"/>
      <c r="F396" s="159"/>
      <c r="G396" s="166"/>
      <c r="H396" s="316"/>
      <c r="I396" s="57"/>
      <c r="J396" s="250"/>
      <c r="K396" s="165"/>
      <c r="L396" s="91"/>
      <c r="M396" s="92"/>
    </row>
    <row r="397" spans="1:13" s="45" customFormat="1" ht="8.5500000000000007" customHeight="1" x14ac:dyDescent="0.2">
      <c r="A397" s="98"/>
      <c r="B397" s="156" t="s">
        <v>1636</v>
      </c>
      <c r="C397" s="156"/>
      <c r="D397" s="156"/>
      <c r="E397" s="156"/>
      <c r="F397" s="157"/>
      <c r="G397" s="166">
        <v>2008</v>
      </c>
      <c r="H397" s="267" t="s">
        <v>183</v>
      </c>
      <c r="I397" s="56"/>
      <c r="J397" s="249"/>
      <c r="K397" s="164">
        <v>1</v>
      </c>
      <c r="L397" s="91"/>
      <c r="M397" s="92"/>
    </row>
    <row r="398" spans="1:13" s="45" customFormat="1" ht="8.5500000000000007" customHeight="1" x14ac:dyDescent="0.2">
      <c r="A398" s="98"/>
      <c r="B398" s="158"/>
      <c r="C398" s="158"/>
      <c r="D398" s="158"/>
      <c r="E398" s="158"/>
      <c r="F398" s="159"/>
      <c r="G398" s="166"/>
      <c r="H398" s="316"/>
      <c r="I398" s="57"/>
      <c r="J398" s="250"/>
      <c r="K398" s="165"/>
      <c r="L398" s="91"/>
      <c r="M398" s="92"/>
    </row>
    <row r="399" spans="1:13" s="45" customFormat="1" ht="8.5500000000000007" customHeight="1" x14ac:dyDescent="0.2">
      <c r="A399" s="98"/>
      <c r="B399" s="156" t="s">
        <v>1637</v>
      </c>
      <c r="C399" s="156"/>
      <c r="D399" s="156"/>
      <c r="E399" s="156"/>
      <c r="F399" s="157"/>
      <c r="G399" s="166">
        <v>2007</v>
      </c>
      <c r="H399" s="267">
        <v>95</v>
      </c>
      <c r="I399" s="56"/>
      <c r="J399" s="249"/>
      <c r="K399" s="164">
        <v>1</v>
      </c>
      <c r="L399" s="91"/>
      <c r="M399" s="92"/>
    </row>
    <row r="400" spans="1:13" s="45" customFormat="1" ht="8.5500000000000007" customHeight="1" x14ac:dyDescent="0.2">
      <c r="A400" s="98"/>
      <c r="B400" s="158"/>
      <c r="C400" s="158"/>
      <c r="D400" s="158"/>
      <c r="E400" s="158"/>
      <c r="F400" s="159"/>
      <c r="G400" s="166"/>
      <c r="H400" s="316"/>
      <c r="I400" s="57"/>
      <c r="J400" s="250"/>
      <c r="K400" s="165"/>
      <c r="L400" s="91"/>
      <c r="M400" s="92"/>
    </row>
    <row r="401" spans="1:13" s="45" customFormat="1" ht="8.5500000000000007" customHeight="1" x14ac:dyDescent="0.2">
      <c r="A401" s="98"/>
      <c r="B401" s="156" t="s">
        <v>1445</v>
      </c>
      <c r="C401" s="156"/>
      <c r="D401" s="156"/>
      <c r="E401" s="156"/>
      <c r="F401" s="157"/>
      <c r="G401" s="166">
        <v>1998</v>
      </c>
      <c r="H401" s="267"/>
      <c r="I401" s="56"/>
      <c r="J401" s="249"/>
      <c r="K401" s="164">
        <v>1</v>
      </c>
      <c r="L401" s="91"/>
      <c r="M401" s="92"/>
    </row>
    <row r="402" spans="1:13" s="45" customFormat="1" ht="8.5500000000000007" customHeight="1" x14ac:dyDescent="0.2">
      <c r="A402" s="98"/>
      <c r="B402" s="158"/>
      <c r="C402" s="158"/>
      <c r="D402" s="158"/>
      <c r="E402" s="158"/>
      <c r="F402" s="159"/>
      <c r="G402" s="166"/>
      <c r="H402" s="316"/>
      <c r="I402" s="57"/>
      <c r="J402" s="250"/>
      <c r="K402" s="165"/>
      <c r="L402" s="91"/>
      <c r="M402" s="92"/>
    </row>
    <row r="403" spans="1:13" s="45" customFormat="1" ht="8.5500000000000007" customHeight="1" x14ac:dyDescent="0.2">
      <c r="A403" s="98"/>
      <c r="B403" s="170" t="s">
        <v>1544</v>
      </c>
      <c r="C403" s="170"/>
      <c r="D403" s="170"/>
      <c r="E403" s="170"/>
      <c r="F403" s="170"/>
      <c r="G403" s="77"/>
      <c r="H403" s="77"/>
      <c r="I403" s="62"/>
      <c r="J403" s="115"/>
      <c r="K403" s="164"/>
      <c r="L403" s="91"/>
      <c r="M403" s="92"/>
    </row>
    <row r="404" spans="1:13" s="45" customFormat="1" ht="8.5500000000000007" customHeight="1" x14ac:dyDescent="0.2">
      <c r="A404" s="98"/>
      <c r="B404" s="171"/>
      <c r="C404" s="171"/>
      <c r="D404" s="171"/>
      <c r="E404" s="171"/>
      <c r="F404" s="171"/>
      <c r="G404" s="78"/>
      <c r="H404" s="78"/>
      <c r="I404" s="63"/>
      <c r="J404" s="116"/>
      <c r="K404" s="165"/>
      <c r="L404" s="91"/>
      <c r="M404" s="92"/>
    </row>
    <row r="405" spans="1:13" s="45" customFormat="1" ht="8.5500000000000007" customHeight="1" x14ac:dyDescent="0.2">
      <c r="A405" s="98"/>
      <c r="B405" s="156" t="s">
        <v>1541</v>
      </c>
      <c r="C405" s="156"/>
      <c r="D405" s="156"/>
      <c r="E405" s="156"/>
      <c r="F405" s="157"/>
      <c r="G405" s="166">
        <v>2017</v>
      </c>
      <c r="H405" s="267">
        <v>91</v>
      </c>
      <c r="I405" s="56"/>
      <c r="J405" s="249"/>
      <c r="K405" s="164">
        <v>3</v>
      </c>
      <c r="L405" s="91"/>
      <c r="M405" s="92"/>
    </row>
    <row r="406" spans="1:13" s="45" customFormat="1" ht="8.5500000000000007" customHeight="1" x14ac:dyDescent="0.2">
      <c r="A406" s="98"/>
      <c r="B406" s="158"/>
      <c r="C406" s="158"/>
      <c r="D406" s="158"/>
      <c r="E406" s="158"/>
      <c r="F406" s="159"/>
      <c r="G406" s="166"/>
      <c r="H406" s="316"/>
      <c r="I406" s="57"/>
      <c r="J406" s="250"/>
      <c r="K406" s="165"/>
      <c r="L406" s="91"/>
      <c r="M406" s="92"/>
    </row>
    <row r="407" spans="1:13" s="45" customFormat="1" ht="8.5500000000000007" customHeight="1" x14ac:dyDescent="0.2">
      <c r="A407" s="98"/>
      <c r="B407" s="156" t="s">
        <v>1540</v>
      </c>
      <c r="C407" s="156"/>
      <c r="D407" s="156"/>
      <c r="E407" s="156"/>
      <c r="F407" s="157"/>
      <c r="G407" s="166">
        <v>2010</v>
      </c>
      <c r="H407" s="267"/>
      <c r="I407" s="56"/>
      <c r="J407" s="249"/>
      <c r="K407" s="164">
        <v>1</v>
      </c>
      <c r="L407" s="91"/>
      <c r="M407" s="92"/>
    </row>
    <row r="408" spans="1:13" s="45" customFormat="1" ht="8.5500000000000007" customHeight="1" x14ac:dyDescent="0.2">
      <c r="A408" s="98"/>
      <c r="B408" s="158"/>
      <c r="C408" s="158"/>
      <c r="D408" s="158"/>
      <c r="E408" s="158"/>
      <c r="F408" s="159"/>
      <c r="G408" s="166"/>
      <c r="H408" s="316"/>
      <c r="I408" s="57"/>
      <c r="J408" s="250"/>
      <c r="K408" s="165"/>
      <c r="L408" s="91"/>
      <c r="M408" s="92"/>
    </row>
    <row r="409" spans="1:13" s="45" customFormat="1" ht="8.5500000000000007" customHeight="1" x14ac:dyDescent="0.2">
      <c r="A409" s="98"/>
      <c r="B409" s="172" t="s">
        <v>1527</v>
      </c>
      <c r="C409" s="172"/>
      <c r="D409" s="172"/>
      <c r="E409" s="172"/>
      <c r="F409" s="173"/>
      <c r="G409" s="196">
        <v>2015</v>
      </c>
      <c r="H409" s="312">
        <v>92</v>
      </c>
      <c r="I409" s="130"/>
      <c r="J409" s="314"/>
      <c r="K409" s="228">
        <v>2</v>
      </c>
      <c r="L409" s="91"/>
      <c r="M409" s="92"/>
    </row>
    <row r="410" spans="1:13" s="45" customFormat="1" ht="8.5500000000000007" customHeight="1" x14ac:dyDescent="0.2">
      <c r="A410" s="98"/>
      <c r="B410" s="174"/>
      <c r="C410" s="174"/>
      <c r="D410" s="174"/>
      <c r="E410" s="174"/>
      <c r="F410" s="175"/>
      <c r="G410" s="196"/>
      <c r="H410" s="313"/>
      <c r="I410" s="131"/>
      <c r="J410" s="315"/>
      <c r="K410" s="229"/>
      <c r="L410" s="91"/>
      <c r="M410" s="92"/>
    </row>
    <row r="411" spans="1:13" s="45" customFormat="1" ht="8.5500000000000007" customHeight="1" x14ac:dyDescent="0.2">
      <c r="A411" s="98"/>
      <c r="B411" s="172" t="s">
        <v>1849</v>
      </c>
      <c r="C411" s="172"/>
      <c r="D411" s="172"/>
      <c r="E411" s="172"/>
      <c r="F411" s="173"/>
      <c r="G411" s="196">
        <v>2020</v>
      </c>
      <c r="H411" s="312"/>
      <c r="I411" s="130"/>
      <c r="J411" s="314"/>
      <c r="K411" s="228">
        <v>1</v>
      </c>
      <c r="L411" s="91"/>
      <c r="M411" s="92"/>
    </row>
    <row r="412" spans="1:13" s="45" customFormat="1" ht="8.5500000000000007" customHeight="1" x14ac:dyDescent="0.2">
      <c r="A412" s="98"/>
      <c r="B412" s="174"/>
      <c r="C412" s="174"/>
      <c r="D412" s="174"/>
      <c r="E412" s="174"/>
      <c r="F412" s="175"/>
      <c r="G412" s="196"/>
      <c r="H412" s="313"/>
      <c r="I412" s="131"/>
      <c r="J412" s="315"/>
      <c r="K412" s="229"/>
      <c r="L412" s="91"/>
      <c r="M412" s="92"/>
    </row>
    <row r="413" spans="1:13" s="45" customFormat="1" ht="8.5500000000000007" customHeight="1" x14ac:dyDescent="0.2">
      <c r="A413" s="98"/>
      <c r="B413" s="172" t="s">
        <v>1970</v>
      </c>
      <c r="C413" s="172"/>
      <c r="D413" s="172"/>
      <c r="E413" s="172"/>
      <c r="F413" s="173"/>
      <c r="G413" s="196">
        <v>2022</v>
      </c>
      <c r="H413" s="312"/>
      <c r="I413" s="130"/>
      <c r="J413" s="314"/>
      <c r="K413" s="228">
        <v>12</v>
      </c>
      <c r="L413" s="91"/>
      <c r="M413" s="92"/>
    </row>
    <row r="414" spans="1:13" s="45" customFormat="1" ht="8.5500000000000007" customHeight="1" x14ac:dyDescent="0.2">
      <c r="A414" s="98"/>
      <c r="B414" s="174"/>
      <c r="C414" s="174"/>
      <c r="D414" s="174"/>
      <c r="E414" s="174"/>
      <c r="F414" s="175"/>
      <c r="G414" s="196"/>
      <c r="H414" s="313"/>
      <c r="I414" s="131"/>
      <c r="J414" s="315"/>
      <c r="K414" s="229"/>
      <c r="L414" s="91"/>
      <c r="M414" s="92"/>
    </row>
    <row r="415" spans="1:13" s="45" customFormat="1" ht="8.5500000000000007" customHeight="1" x14ac:dyDescent="0.2">
      <c r="A415" s="98"/>
      <c r="B415" s="172" t="s">
        <v>1756</v>
      </c>
      <c r="C415" s="172"/>
      <c r="D415" s="172"/>
      <c r="E415" s="172"/>
      <c r="F415" s="173"/>
      <c r="G415" s="196">
        <v>2020</v>
      </c>
      <c r="H415" s="312"/>
      <c r="I415" s="130"/>
      <c r="J415" s="314"/>
      <c r="K415" s="228">
        <v>3</v>
      </c>
      <c r="L415" s="91"/>
      <c r="M415" s="92"/>
    </row>
    <row r="416" spans="1:13" s="45" customFormat="1" ht="8.5500000000000007" customHeight="1" x14ac:dyDescent="0.2">
      <c r="A416" s="98"/>
      <c r="B416" s="174"/>
      <c r="C416" s="174"/>
      <c r="D416" s="174"/>
      <c r="E416" s="174"/>
      <c r="F416" s="175"/>
      <c r="G416" s="196"/>
      <c r="H416" s="313"/>
      <c r="I416" s="131"/>
      <c r="J416" s="315"/>
      <c r="K416" s="229"/>
      <c r="L416" s="91"/>
      <c r="M416" s="92"/>
    </row>
    <row r="417" spans="1:13" s="45" customFormat="1" ht="8.5500000000000007" customHeight="1" x14ac:dyDescent="0.2">
      <c r="A417" s="98"/>
      <c r="B417" s="172" t="s">
        <v>1756</v>
      </c>
      <c r="C417" s="172"/>
      <c r="D417" s="172"/>
      <c r="E417" s="172"/>
      <c r="F417" s="173"/>
      <c r="G417" s="196">
        <v>2021</v>
      </c>
      <c r="H417" s="312"/>
      <c r="I417" s="130"/>
      <c r="J417" s="314"/>
      <c r="K417" s="228">
        <v>4</v>
      </c>
      <c r="L417" s="91"/>
      <c r="M417" s="92"/>
    </row>
    <row r="418" spans="1:13" s="45" customFormat="1" ht="8.5500000000000007" customHeight="1" x14ac:dyDescent="0.2">
      <c r="A418" s="98"/>
      <c r="B418" s="174"/>
      <c r="C418" s="174"/>
      <c r="D418" s="174"/>
      <c r="E418" s="174"/>
      <c r="F418" s="175"/>
      <c r="G418" s="196"/>
      <c r="H418" s="313"/>
      <c r="I418" s="131"/>
      <c r="J418" s="315"/>
      <c r="K418" s="229"/>
      <c r="L418" s="91"/>
      <c r="M418" s="92"/>
    </row>
    <row r="419" spans="1:13" s="45" customFormat="1" ht="8.5500000000000007" customHeight="1" x14ac:dyDescent="0.2">
      <c r="A419" s="98"/>
      <c r="B419" s="172" t="s">
        <v>1976</v>
      </c>
      <c r="C419" s="172"/>
      <c r="D419" s="172"/>
      <c r="E419" s="172"/>
      <c r="F419" s="173"/>
      <c r="G419" s="196">
        <v>2022</v>
      </c>
      <c r="H419" s="312"/>
      <c r="I419" s="130"/>
      <c r="J419" s="314"/>
      <c r="K419" s="228">
        <v>6</v>
      </c>
      <c r="L419" s="91"/>
      <c r="M419" s="92"/>
    </row>
    <row r="420" spans="1:13" s="45" customFormat="1" ht="8.5500000000000007" customHeight="1" x14ac:dyDescent="0.2">
      <c r="A420" s="98"/>
      <c r="B420" s="174"/>
      <c r="C420" s="174"/>
      <c r="D420" s="174"/>
      <c r="E420" s="174"/>
      <c r="F420" s="175"/>
      <c r="G420" s="196"/>
      <c r="H420" s="313"/>
      <c r="I420" s="131"/>
      <c r="J420" s="315"/>
      <c r="K420" s="229"/>
      <c r="L420" s="91"/>
      <c r="M420" s="92"/>
    </row>
    <row r="421" spans="1:13" s="45" customFormat="1" ht="8.5500000000000007" customHeight="1" x14ac:dyDescent="0.2">
      <c r="A421" s="98"/>
      <c r="B421" s="172" t="s">
        <v>1537</v>
      </c>
      <c r="C421" s="172"/>
      <c r="D421" s="172"/>
      <c r="E421" s="172"/>
      <c r="F421" s="173"/>
      <c r="G421" s="196">
        <v>2017</v>
      </c>
      <c r="H421" s="312">
        <v>92</v>
      </c>
      <c r="I421" s="130"/>
      <c r="J421" s="314"/>
      <c r="K421" s="228">
        <v>1</v>
      </c>
      <c r="L421" s="91"/>
      <c r="M421" s="92"/>
    </row>
    <row r="422" spans="1:13" s="45" customFormat="1" ht="8.5500000000000007" customHeight="1" x14ac:dyDescent="0.2">
      <c r="A422" s="98"/>
      <c r="B422" s="174"/>
      <c r="C422" s="174"/>
      <c r="D422" s="174"/>
      <c r="E422" s="174"/>
      <c r="F422" s="175"/>
      <c r="G422" s="196"/>
      <c r="H422" s="313"/>
      <c r="I422" s="131"/>
      <c r="J422" s="315"/>
      <c r="K422" s="229"/>
      <c r="L422" s="91"/>
      <c r="M422" s="92"/>
    </row>
    <row r="423" spans="1:13" s="45" customFormat="1" ht="8.5500000000000007" customHeight="1" x14ac:dyDescent="0.2">
      <c r="A423" s="98"/>
      <c r="B423" s="172" t="s">
        <v>1537</v>
      </c>
      <c r="C423" s="172"/>
      <c r="D423" s="172"/>
      <c r="E423" s="172"/>
      <c r="F423" s="173"/>
      <c r="G423" s="196">
        <v>2018</v>
      </c>
      <c r="H423" s="312"/>
      <c r="I423" s="130"/>
      <c r="J423" s="314"/>
      <c r="K423" s="228">
        <v>3</v>
      </c>
      <c r="L423" s="91"/>
      <c r="M423" s="92"/>
    </row>
    <row r="424" spans="1:13" s="45" customFormat="1" ht="8.5500000000000007" customHeight="1" x14ac:dyDescent="0.2">
      <c r="A424" s="98"/>
      <c r="B424" s="174"/>
      <c r="C424" s="174"/>
      <c r="D424" s="174"/>
      <c r="E424" s="174"/>
      <c r="F424" s="175"/>
      <c r="G424" s="196"/>
      <c r="H424" s="313"/>
      <c r="I424" s="131"/>
      <c r="J424" s="315"/>
      <c r="K424" s="229"/>
      <c r="L424" s="91"/>
      <c r="M424" s="92"/>
    </row>
    <row r="425" spans="1:13" s="45" customFormat="1" ht="8.5500000000000007" customHeight="1" x14ac:dyDescent="0.2">
      <c r="A425" s="98"/>
      <c r="B425" s="172" t="s">
        <v>1537</v>
      </c>
      <c r="C425" s="172"/>
      <c r="D425" s="172"/>
      <c r="E425" s="172"/>
      <c r="F425" s="173"/>
      <c r="G425" s="196">
        <v>2019</v>
      </c>
      <c r="H425" s="312"/>
      <c r="I425" s="130"/>
      <c r="J425" s="314"/>
      <c r="K425" s="228">
        <v>2</v>
      </c>
      <c r="L425" s="91"/>
      <c r="M425" s="92"/>
    </row>
    <row r="426" spans="1:13" s="45" customFormat="1" ht="8.5500000000000007" customHeight="1" x14ac:dyDescent="0.2">
      <c r="A426" s="98"/>
      <c r="B426" s="174"/>
      <c r="C426" s="174"/>
      <c r="D426" s="174"/>
      <c r="E426" s="174"/>
      <c r="F426" s="175"/>
      <c r="G426" s="196"/>
      <c r="H426" s="313"/>
      <c r="I426" s="131"/>
      <c r="J426" s="315"/>
      <c r="K426" s="229"/>
      <c r="L426" s="91"/>
      <c r="M426" s="92"/>
    </row>
    <row r="427" spans="1:13" s="45" customFormat="1" ht="8.5500000000000007" customHeight="1" x14ac:dyDescent="0.2">
      <c r="A427" s="98"/>
      <c r="B427" s="170" t="s">
        <v>989</v>
      </c>
      <c r="C427" s="170"/>
      <c r="D427" s="170"/>
      <c r="E427" s="170"/>
      <c r="F427" s="170"/>
      <c r="G427" s="47"/>
      <c r="H427" s="47"/>
      <c r="I427" s="48"/>
      <c r="J427" s="117"/>
      <c r="K427" s="224">
        <v>266</v>
      </c>
      <c r="L427" s="230">
        <f>SUM(L11:L368)</f>
        <v>0</v>
      </c>
      <c r="M427" s="92"/>
    </row>
    <row r="428" spans="1:13" s="45" customFormat="1" ht="8.5500000000000007" customHeight="1" x14ac:dyDescent="0.2">
      <c r="A428" s="98"/>
      <c r="B428" s="171"/>
      <c r="C428" s="171"/>
      <c r="D428" s="171"/>
      <c r="E428" s="171"/>
      <c r="F428" s="171"/>
      <c r="G428" s="54"/>
      <c r="H428" s="54"/>
      <c r="I428" s="49"/>
      <c r="J428" s="118"/>
      <c r="K428" s="225"/>
      <c r="L428" s="231"/>
      <c r="M428" s="92"/>
    </row>
    <row r="429" spans="1:13" s="45" customFormat="1" ht="8.5500000000000007" customHeight="1" x14ac:dyDescent="0.2">
      <c r="A429" s="98"/>
      <c r="B429" s="170"/>
      <c r="C429" s="170"/>
      <c r="D429" s="170"/>
      <c r="E429" s="170"/>
      <c r="F429" s="170"/>
      <c r="G429" s="307"/>
      <c r="H429" s="304"/>
      <c r="I429" s="305"/>
      <c r="J429" s="320"/>
      <c r="K429" s="311"/>
      <c r="L429" s="91"/>
      <c r="M429" s="92"/>
    </row>
    <row r="430" spans="1:13" s="45" customFormat="1" ht="8.5500000000000007" customHeight="1" x14ac:dyDescent="0.2">
      <c r="A430" s="98"/>
      <c r="B430" s="171"/>
      <c r="C430" s="171"/>
      <c r="D430" s="171"/>
      <c r="E430" s="171"/>
      <c r="F430" s="171"/>
      <c r="G430" s="307"/>
      <c r="H430" s="303"/>
      <c r="I430" s="306"/>
      <c r="J430" s="321"/>
      <c r="K430" s="311"/>
      <c r="L430" s="91"/>
      <c r="M430" s="92"/>
    </row>
    <row r="431" spans="1:13" ht="8.5500000000000007" customHeight="1" x14ac:dyDescent="0.25">
      <c r="B431" s="31"/>
      <c r="C431" s="31"/>
      <c r="D431" s="31"/>
      <c r="E431" s="31"/>
      <c r="F431" s="31"/>
      <c r="G431" s="32"/>
      <c r="H431" s="29"/>
      <c r="I431" s="33"/>
      <c r="J431" s="120"/>
      <c r="L431" s="230">
        <f>SUM(K11:K426)-L427</f>
        <v>266</v>
      </c>
    </row>
    <row r="432" spans="1:13" ht="16.2" x14ac:dyDescent="0.25">
      <c r="B432" s="3"/>
      <c r="L432" s="231"/>
    </row>
    <row r="433" spans="1:13" ht="16.2" x14ac:dyDescent="0.25">
      <c r="A433" s="8"/>
      <c r="B433" s="3"/>
      <c r="L433" s="1"/>
      <c r="M433" s="1"/>
    </row>
  </sheetData>
  <autoFilter ref="A11:M428" xr:uid="{00000000-0009-0000-0000-000006000000}">
    <filterColumn colId="1" showButton="0"/>
    <filterColumn colId="2" showButton="0"/>
    <filterColumn colId="3" showButton="0"/>
    <filterColumn colId="4" showButton="0"/>
  </autoFilter>
  <mergeCells count="1181">
    <mergeCell ref="K315:K316"/>
    <mergeCell ref="H369:H370"/>
    <mergeCell ref="J369:J370"/>
    <mergeCell ref="K369:K370"/>
    <mergeCell ref="B361:F362"/>
    <mergeCell ref="G361:G362"/>
    <mergeCell ref="K361:K362"/>
    <mergeCell ref="B239:F240"/>
    <mergeCell ref="G239:G240"/>
    <mergeCell ref="H239:H240"/>
    <mergeCell ref="I239:I240"/>
    <mergeCell ref="J239:J240"/>
    <mergeCell ref="K239:K240"/>
    <mergeCell ref="B261:F262"/>
    <mergeCell ref="G261:G262"/>
    <mergeCell ref="H261:H262"/>
    <mergeCell ref="I261:I262"/>
    <mergeCell ref="J261:J262"/>
    <mergeCell ref="K261:K262"/>
    <mergeCell ref="G253:G254"/>
    <mergeCell ref="K297:K298"/>
    <mergeCell ref="G341:G342"/>
    <mergeCell ref="H305:H306"/>
    <mergeCell ref="H317:H318"/>
    <mergeCell ref="G325:G326"/>
    <mergeCell ref="K343:K344"/>
    <mergeCell ref="J351:J352"/>
    <mergeCell ref="G343:G344"/>
    <mergeCell ref="K347:K348"/>
    <mergeCell ref="G337:G338"/>
    <mergeCell ref="J325:J326"/>
    <mergeCell ref="B413:F414"/>
    <mergeCell ref="G413:G414"/>
    <mergeCell ref="H413:H414"/>
    <mergeCell ref="J413:J414"/>
    <mergeCell ref="K413:K414"/>
    <mergeCell ref="I265:I266"/>
    <mergeCell ref="J263:J264"/>
    <mergeCell ref="G311:G312"/>
    <mergeCell ref="B311:F312"/>
    <mergeCell ref="G327:G328"/>
    <mergeCell ref="B333:F334"/>
    <mergeCell ref="B335:F336"/>
    <mergeCell ref="K317:K318"/>
    <mergeCell ref="K323:K324"/>
    <mergeCell ref="B321:F322"/>
    <mergeCell ref="B323:F324"/>
    <mergeCell ref="B337:F338"/>
    <mergeCell ref="B327:F328"/>
    <mergeCell ref="B317:F318"/>
    <mergeCell ref="B325:F326"/>
    <mergeCell ref="B307:F308"/>
    <mergeCell ref="G263:G264"/>
    <mergeCell ref="B315:F316"/>
    <mergeCell ref="G315:G316"/>
    <mergeCell ref="H315:H316"/>
    <mergeCell ref="I315:I316"/>
    <mergeCell ref="I313:I314"/>
    <mergeCell ref="K309:K310"/>
    <mergeCell ref="K307:K308"/>
    <mergeCell ref="G377:G378"/>
    <mergeCell ref="K363:K364"/>
    <mergeCell ref="J345:J346"/>
    <mergeCell ref="B417:F418"/>
    <mergeCell ref="G417:G418"/>
    <mergeCell ref="H417:H418"/>
    <mergeCell ref="J417:J418"/>
    <mergeCell ref="K417:K418"/>
    <mergeCell ref="B359:F360"/>
    <mergeCell ref="B363:F364"/>
    <mergeCell ref="B355:F356"/>
    <mergeCell ref="K313:K314"/>
    <mergeCell ref="K319:K320"/>
    <mergeCell ref="K345:K346"/>
    <mergeCell ref="H299:H300"/>
    <mergeCell ref="K335:K336"/>
    <mergeCell ref="K321:K322"/>
    <mergeCell ref="K305:K306"/>
    <mergeCell ref="K327:K328"/>
    <mergeCell ref="K311:K312"/>
    <mergeCell ref="K367:K368"/>
    <mergeCell ref="K383:K384"/>
    <mergeCell ref="G375:G376"/>
    <mergeCell ref="K377:K378"/>
    <mergeCell ref="J305:J306"/>
    <mergeCell ref="I301:I302"/>
    <mergeCell ref="J321:J322"/>
    <mergeCell ref="J311:J312"/>
    <mergeCell ref="J319:J320"/>
    <mergeCell ref="J317:J318"/>
    <mergeCell ref="J307:J308"/>
    <mergeCell ref="K303:K304"/>
    <mergeCell ref="K325:K326"/>
    <mergeCell ref="H325:H326"/>
    <mergeCell ref="H343:H344"/>
    <mergeCell ref="G305:G306"/>
    <mergeCell ref="H335:H336"/>
    <mergeCell ref="H333:H334"/>
    <mergeCell ref="H321:H322"/>
    <mergeCell ref="H307:H308"/>
    <mergeCell ref="G319:G320"/>
    <mergeCell ref="H327:H328"/>
    <mergeCell ref="J327:J328"/>
    <mergeCell ref="H185:H186"/>
    <mergeCell ref="H183:H184"/>
    <mergeCell ref="J301:J302"/>
    <mergeCell ref="B343:F344"/>
    <mergeCell ref="J167:J168"/>
    <mergeCell ref="H163:H164"/>
    <mergeCell ref="I167:I168"/>
    <mergeCell ref="B117:F118"/>
    <mergeCell ref="G127:G128"/>
    <mergeCell ref="I117:I118"/>
    <mergeCell ref="G225:G226"/>
    <mergeCell ref="G213:G214"/>
    <mergeCell ref="G247:G248"/>
    <mergeCell ref="I253:I254"/>
    <mergeCell ref="G215:G216"/>
    <mergeCell ref="I237:I238"/>
    <mergeCell ref="G313:G314"/>
    <mergeCell ref="I303:I304"/>
    <mergeCell ref="H257:H258"/>
    <mergeCell ref="J201:J202"/>
    <mergeCell ref="H301:H302"/>
    <mergeCell ref="H215:H216"/>
    <mergeCell ref="H203:H204"/>
    <mergeCell ref="J315:J316"/>
    <mergeCell ref="K291:K292"/>
    <mergeCell ref="H295:H296"/>
    <mergeCell ref="J271:J272"/>
    <mergeCell ref="I295:I296"/>
    <mergeCell ref="K269:K270"/>
    <mergeCell ref="I273:I274"/>
    <mergeCell ref="K287:K288"/>
    <mergeCell ref="J295:J296"/>
    <mergeCell ref="K285:K286"/>
    <mergeCell ref="J255:J256"/>
    <mergeCell ref="I233:I234"/>
    <mergeCell ref="I259:I260"/>
    <mergeCell ref="H247:H248"/>
    <mergeCell ref="J217:J218"/>
    <mergeCell ref="H213:H214"/>
    <mergeCell ref="K203:K204"/>
    <mergeCell ref="H97:H98"/>
    <mergeCell ref="I317:I318"/>
    <mergeCell ref="J335:J336"/>
    <mergeCell ref="B99:F100"/>
    <mergeCell ref="B101:F102"/>
    <mergeCell ref="B111:F112"/>
    <mergeCell ref="B155:F156"/>
    <mergeCell ref="J149:J150"/>
    <mergeCell ref="B183:F184"/>
    <mergeCell ref="G183:G184"/>
    <mergeCell ref="G117:G118"/>
    <mergeCell ref="G109:G110"/>
    <mergeCell ref="H131:H132"/>
    <mergeCell ref="I131:I132"/>
    <mergeCell ref="J131:J132"/>
    <mergeCell ref="H109:H110"/>
    <mergeCell ref="G125:G126"/>
    <mergeCell ref="B131:F132"/>
    <mergeCell ref="H115:H116"/>
    <mergeCell ref="J115:J116"/>
    <mergeCell ref="I121:I122"/>
    <mergeCell ref="J145:J146"/>
    <mergeCell ref="I153:I154"/>
    <mergeCell ref="J153:J154"/>
    <mergeCell ref="B151:F152"/>
    <mergeCell ref="B165:F166"/>
    <mergeCell ref="J207:J208"/>
    <mergeCell ref="I203:I204"/>
    <mergeCell ref="J297:J298"/>
    <mergeCell ref="H211:H212"/>
    <mergeCell ref="J221:J222"/>
    <mergeCell ref="I207:I208"/>
    <mergeCell ref="J205:J206"/>
    <mergeCell ref="A89:A90"/>
    <mergeCell ref="A71:A72"/>
    <mergeCell ref="B71:F72"/>
    <mergeCell ref="G71:G72"/>
    <mergeCell ref="H71:H72"/>
    <mergeCell ref="I71:I72"/>
    <mergeCell ref="J71:J72"/>
    <mergeCell ref="K71:K72"/>
    <mergeCell ref="J173:J174"/>
    <mergeCell ref="G169:G170"/>
    <mergeCell ref="I181:I182"/>
    <mergeCell ref="J91:J92"/>
    <mergeCell ref="B105:F106"/>
    <mergeCell ref="I109:I110"/>
    <mergeCell ref="I105:I106"/>
    <mergeCell ref="H101:H102"/>
    <mergeCell ref="I101:I102"/>
    <mergeCell ref="G95:G96"/>
    <mergeCell ref="G97:G98"/>
    <mergeCell ref="I119:I120"/>
    <mergeCell ref="B97:F98"/>
    <mergeCell ref="K95:K96"/>
    <mergeCell ref="I81:I82"/>
    <mergeCell ref="J81:J82"/>
    <mergeCell ref="B103:F104"/>
    <mergeCell ref="J169:J170"/>
    <mergeCell ref="G119:G120"/>
    <mergeCell ref="B137:F138"/>
    <mergeCell ref="G137:G138"/>
    <mergeCell ref="G131:G132"/>
    <mergeCell ref="B135:F136"/>
    <mergeCell ref="G135:G136"/>
    <mergeCell ref="I51:I52"/>
    <mergeCell ref="J51:J52"/>
    <mergeCell ref="J53:J54"/>
    <mergeCell ref="J45:J46"/>
    <mergeCell ref="B89:F90"/>
    <mergeCell ref="I115:I116"/>
    <mergeCell ref="B123:F124"/>
    <mergeCell ref="B125:F126"/>
    <mergeCell ref="B115:F116"/>
    <mergeCell ref="J127:J128"/>
    <mergeCell ref="J119:J120"/>
    <mergeCell ref="J143:J144"/>
    <mergeCell ref="B143:F144"/>
    <mergeCell ref="G133:G134"/>
    <mergeCell ref="H147:H148"/>
    <mergeCell ref="I147:I148"/>
    <mergeCell ref="B107:F108"/>
    <mergeCell ref="B77:F78"/>
    <mergeCell ref="I95:I96"/>
    <mergeCell ref="J95:J96"/>
    <mergeCell ref="G89:G90"/>
    <mergeCell ref="H89:H90"/>
    <mergeCell ref="J79:J80"/>
    <mergeCell ref="I77:I78"/>
    <mergeCell ref="J61:J62"/>
    <mergeCell ref="G99:G100"/>
    <mergeCell ref="G101:G102"/>
    <mergeCell ref="J117:J118"/>
    <mergeCell ref="H165:H166"/>
    <mergeCell ref="B159:F160"/>
    <mergeCell ref="B167:F168"/>
    <mergeCell ref="G165:G166"/>
    <mergeCell ref="G159:G160"/>
    <mergeCell ref="I137:I138"/>
    <mergeCell ref="J137:J138"/>
    <mergeCell ref="J87:J88"/>
    <mergeCell ref="I61:I62"/>
    <mergeCell ref="H61:H62"/>
    <mergeCell ref="B53:F54"/>
    <mergeCell ref="G53:G54"/>
    <mergeCell ref="H53:H54"/>
    <mergeCell ref="I53:I54"/>
    <mergeCell ref="J59:J60"/>
    <mergeCell ref="H55:H56"/>
    <mergeCell ref="I55:I56"/>
    <mergeCell ref="J55:J56"/>
    <mergeCell ref="H59:H60"/>
    <mergeCell ref="G55:G56"/>
    <mergeCell ref="B91:F92"/>
    <mergeCell ref="H91:H92"/>
    <mergeCell ref="I91:I92"/>
    <mergeCell ref="G61:G62"/>
    <mergeCell ref="I69:I70"/>
    <mergeCell ref="G73:G74"/>
    <mergeCell ref="B73:F74"/>
    <mergeCell ref="B61:F62"/>
    <mergeCell ref="I63:I64"/>
    <mergeCell ref="G69:G70"/>
    <mergeCell ref="G85:G86"/>
    <mergeCell ref="H85:H86"/>
    <mergeCell ref="I85:I86"/>
    <mergeCell ref="C3:J5"/>
    <mergeCell ref="D6:J7"/>
    <mergeCell ref="B9:F10"/>
    <mergeCell ref="G9:G10"/>
    <mergeCell ref="H9:H10"/>
    <mergeCell ref="I9:I10"/>
    <mergeCell ref="J37:J38"/>
    <mergeCell ref="B11:F12"/>
    <mergeCell ref="J23:J24"/>
    <mergeCell ref="I25:I26"/>
    <mergeCell ref="J25:J26"/>
    <mergeCell ref="B23:F24"/>
    <mergeCell ref="H27:H28"/>
    <mergeCell ref="J27:J28"/>
    <mergeCell ref="H29:H30"/>
    <mergeCell ref="G31:G32"/>
    <mergeCell ref="B19:F20"/>
    <mergeCell ref="G19:G20"/>
    <mergeCell ref="H19:H20"/>
    <mergeCell ref="I19:I20"/>
    <mergeCell ref="J19:J20"/>
    <mergeCell ref="I37:I38"/>
    <mergeCell ref="H33:H34"/>
    <mergeCell ref="I29:I30"/>
    <mergeCell ref="J17:J18"/>
    <mergeCell ref="B17:F18"/>
    <mergeCell ref="B47:F48"/>
    <mergeCell ref="G47:G48"/>
    <mergeCell ref="H47:H48"/>
    <mergeCell ref="I47:I48"/>
    <mergeCell ref="J47:J48"/>
    <mergeCell ref="K47:K48"/>
    <mergeCell ref="B45:F46"/>
    <mergeCell ref="K41:K42"/>
    <mergeCell ref="B27:F28"/>
    <mergeCell ref="I21:I22"/>
    <mergeCell ref="J21:J22"/>
    <mergeCell ref="G25:G26"/>
    <mergeCell ref="G27:G28"/>
    <mergeCell ref="K27:K28"/>
    <mergeCell ref="B43:F44"/>
    <mergeCell ref="I43:I44"/>
    <mergeCell ref="J43:J44"/>
    <mergeCell ref="B29:F30"/>
    <mergeCell ref="J33:J34"/>
    <mergeCell ref="I31:I32"/>
    <mergeCell ref="J31:J32"/>
    <mergeCell ref="J29:J30"/>
    <mergeCell ref="G35:G36"/>
    <mergeCell ref="G41:G42"/>
    <mergeCell ref="J41:J42"/>
    <mergeCell ref="G45:G46"/>
    <mergeCell ref="H45:H46"/>
    <mergeCell ref="H25:H26"/>
    <mergeCell ref="K25:K26"/>
    <mergeCell ref="I45:I46"/>
    <mergeCell ref="B37:F38"/>
    <mergeCell ref="B31:F32"/>
    <mergeCell ref="H31:H32"/>
    <mergeCell ref="K39:K40"/>
    <mergeCell ref="H41:H42"/>
    <mergeCell ref="I41:I42"/>
    <mergeCell ref="B39:F40"/>
    <mergeCell ref="K43:K44"/>
    <mergeCell ref="G43:G44"/>
    <mergeCell ref="H43:H44"/>
    <mergeCell ref="B41:F42"/>
    <mergeCell ref="G39:G40"/>
    <mergeCell ref="H39:H40"/>
    <mergeCell ref="I39:I40"/>
    <mergeCell ref="J39:J40"/>
    <mergeCell ref="K33:K34"/>
    <mergeCell ref="B35:F36"/>
    <mergeCell ref="H35:H36"/>
    <mergeCell ref="I35:I36"/>
    <mergeCell ref="G33:G34"/>
    <mergeCell ref="B59:F60"/>
    <mergeCell ref="K9:K10"/>
    <mergeCell ref="K17:K18"/>
    <mergeCell ref="B21:F22"/>
    <mergeCell ref="G21:G22"/>
    <mergeCell ref="H21:H22"/>
    <mergeCell ref="K37:K38"/>
    <mergeCell ref="K29:K30"/>
    <mergeCell ref="H13:H14"/>
    <mergeCell ref="I13:I14"/>
    <mergeCell ref="J13:J14"/>
    <mergeCell ref="B13:F14"/>
    <mergeCell ref="G13:G14"/>
    <mergeCell ref="J15:J16"/>
    <mergeCell ref="J9:J10"/>
    <mergeCell ref="H23:H24"/>
    <mergeCell ref="I23:I24"/>
    <mergeCell ref="K13:K14"/>
    <mergeCell ref="B15:F16"/>
    <mergeCell ref="G15:G16"/>
    <mergeCell ref="H15:H16"/>
    <mergeCell ref="I15:I16"/>
    <mergeCell ref="G23:G24"/>
    <mergeCell ref="B25:F26"/>
    <mergeCell ref="B49:F50"/>
    <mergeCell ref="B51:F52"/>
    <mergeCell ref="B57:F58"/>
    <mergeCell ref="B55:F56"/>
    <mergeCell ref="K15:K16"/>
    <mergeCell ref="H37:H38"/>
    <mergeCell ref="G29:G30"/>
    <mergeCell ref="B33:F34"/>
    <mergeCell ref="G17:G18"/>
    <mergeCell ref="H17:H18"/>
    <mergeCell ref="I17:I18"/>
    <mergeCell ref="K23:K24"/>
    <mergeCell ref="K19:K20"/>
    <mergeCell ref="K21:K22"/>
    <mergeCell ref="J35:J36"/>
    <mergeCell ref="I33:I34"/>
    <mergeCell ref="G37:G38"/>
    <mergeCell ref="K35:K36"/>
    <mergeCell ref="K31:K32"/>
    <mergeCell ref="K67:K68"/>
    <mergeCell ref="K51:K52"/>
    <mergeCell ref="K49:K50"/>
    <mergeCell ref="G49:G50"/>
    <mergeCell ref="G57:G58"/>
    <mergeCell ref="H57:H58"/>
    <mergeCell ref="I57:I58"/>
    <mergeCell ref="K59:K60"/>
    <mergeCell ref="G59:G60"/>
    <mergeCell ref="K55:K56"/>
    <mergeCell ref="K53:K54"/>
    <mergeCell ref="K61:K62"/>
    <mergeCell ref="K45:K46"/>
    <mergeCell ref="G65:G66"/>
    <mergeCell ref="H65:H66"/>
    <mergeCell ref="I65:I66"/>
    <mergeCell ref="I49:I50"/>
    <mergeCell ref="J49:J50"/>
    <mergeCell ref="H49:H50"/>
    <mergeCell ref="G51:G52"/>
    <mergeCell ref="H51:H52"/>
    <mergeCell ref="H87:H88"/>
    <mergeCell ref="I87:I88"/>
    <mergeCell ref="I89:I90"/>
    <mergeCell ref="J89:J90"/>
    <mergeCell ref="K69:K70"/>
    <mergeCell ref="J77:J78"/>
    <mergeCell ref="H69:H70"/>
    <mergeCell ref="J65:J66"/>
    <mergeCell ref="J73:J74"/>
    <mergeCell ref="J69:J70"/>
    <mergeCell ref="K87:K88"/>
    <mergeCell ref="B63:F64"/>
    <mergeCell ref="G63:G64"/>
    <mergeCell ref="H63:H64"/>
    <mergeCell ref="K63:K64"/>
    <mergeCell ref="J85:J86"/>
    <mergeCell ref="K83:K84"/>
    <mergeCell ref="H79:H80"/>
    <mergeCell ref="I79:I80"/>
    <mergeCell ref="B67:F68"/>
    <mergeCell ref="H77:H78"/>
    <mergeCell ref="B79:F80"/>
    <mergeCell ref="G79:G80"/>
    <mergeCell ref="B69:F70"/>
    <mergeCell ref="B75:F76"/>
    <mergeCell ref="B65:F66"/>
    <mergeCell ref="K57:K58"/>
    <mergeCell ref="J57:J58"/>
    <mergeCell ref="I59:I60"/>
    <mergeCell ref="K85:K86"/>
    <mergeCell ref="G77:G78"/>
    <mergeCell ref="K77:K78"/>
    <mergeCell ref="H73:H74"/>
    <mergeCell ref="B93:F94"/>
    <mergeCell ref="B81:F82"/>
    <mergeCell ref="G81:G82"/>
    <mergeCell ref="H81:H82"/>
    <mergeCell ref="K81:K82"/>
    <mergeCell ref="K79:K80"/>
    <mergeCell ref="G107:G108"/>
    <mergeCell ref="B83:F84"/>
    <mergeCell ref="G83:G84"/>
    <mergeCell ref="H83:H84"/>
    <mergeCell ref="B95:F96"/>
    <mergeCell ref="K97:K98"/>
    <mergeCell ref="J99:J100"/>
    <mergeCell ref="J101:J102"/>
    <mergeCell ref="K101:K102"/>
    <mergeCell ref="H99:H100"/>
    <mergeCell ref="I99:I100"/>
    <mergeCell ref="I73:I74"/>
    <mergeCell ref="K73:K74"/>
    <mergeCell ref="K65:K66"/>
    <mergeCell ref="K89:K90"/>
    <mergeCell ref="B85:F86"/>
    <mergeCell ref="J63:J64"/>
    <mergeCell ref="B87:F88"/>
    <mergeCell ref="G87:G88"/>
    <mergeCell ref="K91:K92"/>
    <mergeCell ref="K93:K94"/>
    <mergeCell ref="J103:J104"/>
    <mergeCell ref="K107:K108"/>
    <mergeCell ref="J113:J114"/>
    <mergeCell ref="K113:K114"/>
    <mergeCell ref="K109:K110"/>
    <mergeCell ref="J109:J110"/>
    <mergeCell ref="K99:K100"/>
    <mergeCell ref="H103:H104"/>
    <mergeCell ref="G103:G104"/>
    <mergeCell ref="K111:K112"/>
    <mergeCell ref="H105:H106"/>
    <mergeCell ref="G91:G92"/>
    <mergeCell ref="K105:K106"/>
    <mergeCell ref="J105:J106"/>
    <mergeCell ref="J107:J108"/>
    <mergeCell ref="H107:H108"/>
    <mergeCell ref="G111:G112"/>
    <mergeCell ref="H95:H96"/>
    <mergeCell ref="K103:K104"/>
    <mergeCell ref="H111:H112"/>
    <mergeCell ref="I111:I112"/>
    <mergeCell ref="J111:J112"/>
    <mergeCell ref="H93:H94"/>
    <mergeCell ref="I93:I94"/>
    <mergeCell ref="J93:J94"/>
    <mergeCell ref="G105:G106"/>
    <mergeCell ref="I97:I98"/>
    <mergeCell ref="J97:J98"/>
    <mergeCell ref="G93:G94"/>
    <mergeCell ref="I103:I104"/>
    <mergeCell ref="B133:F134"/>
    <mergeCell ref="G139:G140"/>
    <mergeCell ref="K121:K122"/>
    <mergeCell ref="K123:K124"/>
    <mergeCell ref="B127:F128"/>
    <mergeCell ref="K115:K116"/>
    <mergeCell ref="B129:F130"/>
    <mergeCell ref="G129:G130"/>
    <mergeCell ref="J121:J122"/>
    <mergeCell ref="H117:H118"/>
    <mergeCell ref="G121:G122"/>
    <mergeCell ref="H121:H122"/>
    <mergeCell ref="B113:F114"/>
    <mergeCell ref="G113:G114"/>
    <mergeCell ref="H113:H114"/>
    <mergeCell ref="I113:I114"/>
    <mergeCell ref="I125:I126"/>
    <mergeCell ref="G115:G116"/>
    <mergeCell ref="K117:K118"/>
    <mergeCell ref="H119:H120"/>
    <mergeCell ref="B121:F122"/>
    <mergeCell ref="B119:F120"/>
    <mergeCell ref="H127:H128"/>
    <mergeCell ref="I127:I128"/>
    <mergeCell ref="J125:J126"/>
    <mergeCell ref="K127:K128"/>
    <mergeCell ref="H139:H140"/>
    <mergeCell ref="I139:I140"/>
    <mergeCell ref="J139:J140"/>
    <mergeCell ref="H129:H130"/>
    <mergeCell ref="I129:I130"/>
    <mergeCell ref="I107:I108"/>
    <mergeCell ref="K119:K120"/>
    <mergeCell ref="K137:K138"/>
    <mergeCell ref="J135:J136"/>
    <mergeCell ref="B147:F148"/>
    <mergeCell ref="G147:G148"/>
    <mergeCell ref="B141:F142"/>
    <mergeCell ref="B145:F146"/>
    <mergeCell ref="G145:G146"/>
    <mergeCell ref="G141:G142"/>
    <mergeCell ref="B139:F140"/>
    <mergeCell ref="G143:G144"/>
    <mergeCell ref="H125:H126"/>
    <mergeCell ref="B149:F150"/>
    <mergeCell ref="B153:F154"/>
    <mergeCell ref="G153:G154"/>
    <mergeCell ref="H135:H136"/>
    <mergeCell ref="I135:I136"/>
    <mergeCell ref="H137:H138"/>
    <mergeCell ref="K125:K126"/>
    <mergeCell ref="K143:K144"/>
    <mergeCell ref="K145:K146"/>
    <mergeCell ref="K129:K130"/>
    <mergeCell ref="J129:J130"/>
    <mergeCell ref="K135:K136"/>
    <mergeCell ref="K147:K148"/>
    <mergeCell ref="K139:K140"/>
    <mergeCell ref="H143:H144"/>
    <mergeCell ref="I143:I144"/>
    <mergeCell ref="B109:F110"/>
    <mergeCell ref="J141:J142"/>
    <mergeCell ref="K141:K142"/>
    <mergeCell ref="K289:K290"/>
    <mergeCell ref="J299:J300"/>
    <mergeCell ref="J159:J160"/>
    <mergeCell ref="K153:K154"/>
    <mergeCell ref="G155:G156"/>
    <mergeCell ref="H155:H156"/>
    <mergeCell ref="I155:I156"/>
    <mergeCell ref="G167:G168"/>
    <mergeCell ref="H167:H168"/>
    <mergeCell ref="K299:K300"/>
    <mergeCell ref="I149:I150"/>
    <mergeCell ref="H153:H154"/>
    <mergeCell ref="K157:K158"/>
    <mergeCell ref="J155:J156"/>
    <mergeCell ref="I159:I160"/>
    <mergeCell ref="K149:K150"/>
    <mergeCell ref="K151:K152"/>
    <mergeCell ref="G173:G174"/>
    <mergeCell ref="H173:H174"/>
    <mergeCell ref="H149:H150"/>
    <mergeCell ref="I165:I166"/>
    <mergeCell ref="J165:J166"/>
    <mergeCell ref="G149:G150"/>
    <mergeCell ref="I163:I164"/>
    <mergeCell ref="J163:J164"/>
    <mergeCell ref="I169:I170"/>
    <mergeCell ref="I199:I200"/>
    <mergeCell ref="I211:I212"/>
    <mergeCell ref="J189:J190"/>
    <mergeCell ref="J215:J216"/>
    <mergeCell ref="H253:H254"/>
    <mergeCell ref="I219:I220"/>
    <mergeCell ref="H145:H146"/>
    <mergeCell ref="I145:I146"/>
    <mergeCell ref="K131:K132"/>
    <mergeCell ref="H141:H142"/>
    <mergeCell ref="I141:I142"/>
    <mergeCell ref="I161:I162"/>
    <mergeCell ref="G161:G162"/>
    <mergeCell ref="H161:H162"/>
    <mergeCell ref="J161:J162"/>
    <mergeCell ref="G157:G158"/>
    <mergeCell ref="H157:H158"/>
    <mergeCell ref="I157:I158"/>
    <mergeCell ref="K159:K160"/>
    <mergeCell ref="K133:K134"/>
    <mergeCell ref="H133:H134"/>
    <mergeCell ref="I133:I134"/>
    <mergeCell ref="J133:J134"/>
    <mergeCell ref="G151:G152"/>
    <mergeCell ref="J151:J152"/>
    <mergeCell ref="J147:J148"/>
    <mergeCell ref="K279:K280"/>
    <mergeCell ref="K281:K282"/>
    <mergeCell ref="K277:K278"/>
    <mergeCell ref="K273:K274"/>
    <mergeCell ref="G265:G266"/>
    <mergeCell ref="K275:K276"/>
    <mergeCell ref="J277:J278"/>
    <mergeCell ref="H263:H264"/>
    <mergeCell ref="I271:I272"/>
    <mergeCell ref="H285:H286"/>
    <mergeCell ref="J283:J284"/>
    <mergeCell ref="K293:K294"/>
    <mergeCell ref="J313:J314"/>
    <mergeCell ref="K333:K334"/>
    <mergeCell ref="K283:K284"/>
    <mergeCell ref="G317:G318"/>
    <mergeCell ref="I311:I312"/>
    <mergeCell ref="G331:G332"/>
    <mergeCell ref="H313:H314"/>
    <mergeCell ref="J265:J266"/>
    <mergeCell ref="K267:K268"/>
    <mergeCell ref="K263:K264"/>
    <mergeCell ref="G321:G322"/>
    <mergeCell ref="K301:K302"/>
    <mergeCell ref="K295:K296"/>
    <mergeCell ref="J303:J304"/>
    <mergeCell ref="J289:J290"/>
    <mergeCell ref="J293:J294"/>
    <mergeCell ref="J323:J324"/>
    <mergeCell ref="J333:J334"/>
    <mergeCell ref="K265:K266"/>
    <mergeCell ref="G299:G300"/>
    <mergeCell ref="G221:G222"/>
    <mergeCell ref="K231:K232"/>
    <mergeCell ref="G219:G220"/>
    <mergeCell ref="G201:G202"/>
    <mergeCell ref="G199:G200"/>
    <mergeCell ref="K227:K228"/>
    <mergeCell ref="K213:K214"/>
    <mergeCell ref="J199:J200"/>
    <mergeCell ref="K201:K202"/>
    <mergeCell ref="I201:I202"/>
    <mergeCell ref="H195:H196"/>
    <mergeCell ref="I197:I198"/>
    <mergeCell ref="K199:K200"/>
    <mergeCell ref="K219:K220"/>
    <mergeCell ref="K215:K216"/>
    <mergeCell ref="G301:G302"/>
    <mergeCell ref="G293:G294"/>
    <mergeCell ref="H267:H268"/>
    <mergeCell ref="I267:I268"/>
    <mergeCell ref="J267:J268"/>
    <mergeCell ref="K271:K272"/>
    <mergeCell ref="H277:H278"/>
    <mergeCell ref="I289:I290"/>
    <mergeCell ref="I299:I300"/>
    <mergeCell ref="I297:I298"/>
    <mergeCell ref="H265:H266"/>
    <mergeCell ref="I269:I270"/>
    <mergeCell ref="J287:J288"/>
    <mergeCell ref="J273:J274"/>
    <mergeCell ref="J269:J270"/>
    <mergeCell ref="I257:I258"/>
    <mergeCell ref="J257:J258"/>
    <mergeCell ref="K329:K330"/>
    <mergeCell ref="G333:G334"/>
    <mergeCell ref="K373:K374"/>
    <mergeCell ref="K337:K338"/>
    <mergeCell ref="G353:G354"/>
    <mergeCell ref="H345:H346"/>
    <mergeCell ref="J339:J340"/>
    <mergeCell ref="J353:J354"/>
    <mergeCell ref="G355:G356"/>
    <mergeCell ref="K359:K360"/>
    <mergeCell ref="K351:K352"/>
    <mergeCell ref="J343:J344"/>
    <mergeCell ref="J337:J338"/>
    <mergeCell ref="K341:K342"/>
    <mergeCell ref="J349:J350"/>
    <mergeCell ref="K339:K340"/>
    <mergeCell ref="J355:J356"/>
    <mergeCell ref="K357:K358"/>
    <mergeCell ref="K355:K356"/>
    <mergeCell ref="H339:H340"/>
    <mergeCell ref="H337:H338"/>
    <mergeCell ref="K353:K354"/>
    <mergeCell ref="H351:H352"/>
    <mergeCell ref="G345:G346"/>
    <mergeCell ref="J341:J342"/>
    <mergeCell ref="H349:H350"/>
    <mergeCell ref="K365:K366"/>
    <mergeCell ref="G365:G366"/>
    <mergeCell ref="G367:G368"/>
    <mergeCell ref="H367:H368"/>
    <mergeCell ref="J367:J368"/>
    <mergeCell ref="G335:G336"/>
    <mergeCell ref="H423:H424"/>
    <mergeCell ref="J423:J424"/>
    <mergeCell ref="I385:I386"/>
    <mergeCell ref="G397:G398"/>
    <mergeCell ref="H397:H398"/>
    <mergeCell ref="K421:K422"/>
    <mergeCell ref="H393:H394"/>
    <mergeCell ref="H415:H416"/>
    <mergeCell ref="K415:K416"/>
    <mergeCell ref="G387:G388"/>
    <mergeCell ref="H399:H400"/>
    <mergeCell ref="G409:G410"/>
    <mergeCell ref="H385:H386"/>
    <mergeCell ref="J381:J382"/>
    <mergeCell ref="H375:H376"/>
    <mergeCell ref="J375:J376"/>
    <mergeCell ref="H379:H380"/>
    <mergeCell ref="J379:J380"/>
    <mergeCell ref="K387:K388"/>
    <mergeCell ref="J407:J408"/>
    <mergeCell ref="J399:J400"/>
    <mergeCell ref="L431:L432"/>
    <mergeCell ref="K429:K430"/>
    <mergeCell ref="B383:F384"/>
    <mergeCell ref="G383:G384"/>
    <mergeCell ref="H383:H384"/>
    <mergeCell ref="J383:J384"/>
    <mergeCell ref="J397:J398"/>
    <mergeCell ref="K397:K398"/>
    <mergeCell ref="K391:K392"/>
    <mergeCell ref="B429:F430"/>
    <mergeCell ref="J391:J392"/>
    <mergeCell ref="H429:H430"/>
    <mergeCell ref="I391:I392"/>
    <mergeCell ref="I389:I390"/>
    <mergeCell ref="B391:F392"/>
    <mergeCell ref="J401:J402"/>
    <mergeCell ref="B415:F416"/>
    <mergeCell ref="G415:G416"/>
    <mergeCell ref="J415:J416"/>
    <mergeCell ref="H401:H402"/>
    <mergeCell ref="I387:I388"/>
    <mergeCell ref="I429:I430"/>
    <mergeCell ref="B409:F410"/>
    <mergeCell ref="B401:F402"/>
    <mergeCell ref="K401:K402"/>
    <mergeCell ref="G395:G396"/>
    <mergeCell ref="B425:F426"/>
    <mergeCell ref="G425:G426"/>
    <mergeCell ref="B423:F424"/>
    <mergeCell ref="J429:J430"/>
    <mergeCell ref="K427:K428"/>
    <mergeCell ref="L427:L428"/>
    <mergeCell ref="G429:G430"/>
    <mergeCell ref="B389:F390"/>
    <mergeCell ref="K407:K408"/>
    <mergeCell ref="G393:G394"/>
    <mergeCell ref="K405:K406"/>
    <mergeCell ref="B407:F408"/>
    <mergeCell ref="G407:G408"/>
    <mergeCell ref="H407:H408"/>
    <mergeCell ref="K425:K426"/>
    <mergeCell ref="B403:F404"/>
    <mergeCell ref="K403:K404"/>
    <mergeCell ref="B421:F422"/>
    <mergeCell ref="G421:G422"/>
    <mergeCell ref="H421:H422"/>
    <mergeCell ref="J421:J422"/>
    <mergeCell ref="B427:F428"/>
    <mergeCell ref="H425:H426"/>
    <mergeCell ref="J425:J426"/>
    <mergeCell ref="H395:H396"/>
    <mergeCell ref="H389:H390"/>
    <mergeCell ref="G401:G402"/>
    <mergeCell ref="K395:K396"/>
    <mergeCell ref="G423:G424"/>
    <mergeCell ref="G399:G400"/>
    <mergeCell ref="K423:K424"/>
    <mergeCell ref="B393:F394"/>
    <mergeCell ref="B419:F420"/>
    <mergeCell ref="G419:G420"/>
    <mergeCell ref="H419:H420"/>
    <mergeCell ref="J419:J420"/>
    <mergeCell ref="K419:K420"/>
    <mergeCell ref="J405:J406"/>
    <mergeCell ref="J393:J394"/>
    <mergeCell ref="J395:J396"/>
    <mergeCell ref="B395:F396"/>
    <mergeCell ref="J385:J386"/>
    <mergeCell ref="G385:G386"/>
    <mergeCell ref="J357:J358"/>
    <mergeCell ref="B385:F386"/>
    <mergeCell ref="J387:J388"/>
    <mergeCell ref="G359:G360"/>
    <mergeCell ref="G389:G390"/>
    <mergeCell ref="H387:H388"/>
    <mergeCell ref="B375:F376"/>
    <mergeCell ref="B373:F374"/>
    <mergeCell ref="J359:J360"/>
    <mergeCell ref="B365:F366"/>
    <mergeCell ref="G391:G392"/>
    <mergeCell ref="H371:H372"/>
    <mergeCell ref="J371:J372"/>
    <mergeCell ref="H363:H364"/>
    <mergeCell ref="J363:J364"/>
    <mergeCell ref="J365:J366"/>
    <mergeCell ref="H365:H366"/>
    <mergeCell ref="G357:G358"/>
    <mergeCell ref="B369:F370"/>
    <mergeCell ref="G369:G370"/>
    <mergeCell ref="B379:F380"/>
    <mergeCell ref="H377:H378"/>
    <mergeCell ref="H381:H382"/>
    <mergeCell ref="G379:G380"/>
    <mergeCell ref="K399:K400"/>
    <mergeCell ref="K385:K386"/>
    <mergeCell ref="B387:F388"/>
    <mergeCell ref="H391:H392"/>
    <mergeCell ref="H353:H354"/>
    <mergeCell ref="B349:F350"/>
    <mergeCell ref="B353:F354"/>
    <mergeCell ref="B381:F382"/>
    <mergeCell ref="G381:G382"/>
    <mergeCell ref="B399:F400"/>
    <mergeCell ref="G351:G352"/>
    <mergeCell ref="G349:G350"/>
    <mergeCell ref="G339:G340"/>
    <mergeCell ref="J389:J390"/>
    <mergeCell ref="H359:H360"/>
    <mergeCell ref="G363:G364"/>
    <mergeCell ref="H357:H358"/>
    <mergeCell ref="B357:F358"/>
    <mergeCell ref="K379:K380"/>
    <mergeCell ref="B345:F346"/>
    <mergeCell ref="B367:F368"/>
    <mergeCell ref="B341:F342"/>
    <mergeCell ref="B347:F348"/>
    <mergeCell ref="B351:F352"/>
    <mergeCell ref="K381:K382"/>
    <mergeCell ref="H355:H356"/>
    <mergeCell ref="K349:K350"/>
    <mergeCell ref="J377:J378"/>
    <mergeCell ref="B371:F372"/>
    <mergeCell ref="G371:G372"/>
    <mergeCell ref="K389:K390"/>
    <mergeCell ref="B377:F378"/>
    <mergeCell ref="B329:F330"/>
    <mergeCell ref="G329:G330"/>
    <mergeCell ref="H329:H330"/>
    <mergeCell ref="J329:J330"/>
    <mergeCell ref="H311:H312"/>
    <mergeCell ref="B319:F320"/>
    <mergeCell ref="B313:F314"/>
    <mergeCell ref="H341:H342"/>
    <mergeCell ref="G323:G324"/>
    <mergeCell ref="B293:F294"/>
    <mergeCell ref="H289:H290"/>
    <mergeCell ref="H319:H320"/>
    <mergeCell ref="H309:H310"/>
    <mergeCell ref="G303:G304"/>
    <mergeCell ref="J309:J310"/>
    <mergeCell ref="H297:H298"/>
    <mergeCell ref="H303:H304"/>
    <mergeCell ref="H323:H324"/>
    <mergeCell ref="I319:I320"/>
    <mergeCell ref="G297:G298"/>
    <mergeCell ref="B303:F304"/>
    <mergeCell ref="B301:F302"/>
    <mergeCell ref="B305:F306"/>
    <mergeCell ref="B309:F310"/>
    <mergeCell ref="B331:F332"/>
    <mergeCell ref="G309:G310"/>
    <mergeCell ref="B289:F290"/>
    <mergeCell ref="B299:F300"/>
    <mergeCell ref="G307:G308"/>
    <mergeCell ref="I307:I308"/>
    <mergeCell ref="I305:I306"/>
    <mergeCell ref="B339:F340"/>
    <mergeCell ref="B287:F288"/>
    <mergeCell ref="G287:G288"/>
    <mergeCell ref="H287:H288"/>
    <mergeCell ref="I287:I288"/>
    <mergeCell ref="B297:F298"/>
    <mergeCell ref="H281:H282"/>
    <mergeCell ref="B285:F286"/>
    <mergeCell ref="B295:F296"/>
    <mergeCell ref="B291:F292"/>
    <mergeCell ref="G295:G296"/>
    <mergeCell ref="G281:G282"/>
    <mergeCell ref="H293:H294"/>
    <mergeCell ref="B269:F270"/>
    <mergeCell ref="G273:G274"/>
    <mergeCell ref="G271:G272"/>
    <mergeCell ref="G289:G290"/>
    <mergeCell ref="G283:G284"/>
    <mergeCell ref="H283:H284"/>
    <mergeCell ref="H271:H272"/>
    <mergeCell ref="I293:I294"/>
    <mergeCell ref="B251:F252"/>
    <mergeCell ref="I255:I256"/>
    <mergeCell ref="B267:F268"/>
    <mergeCell ref="G267:G268"/>
    <mergeCell ref="J275:J276"/>
    <mergeCell ref="G275:G276"/>
    <mergeCell ref="G285:G286"/>
    <mergeCell ref="I277:I278"/>
    <mergeCell ref="I279:I280"/>
    <mergeCell ref="G269:G270"/>
    <mergeCell ref="G277:G278"/>
    <mergeCell ref="J285:J286"/>
    <mergeCell ref="B279:F280"/>
    <mergeCell ref="H275:H276"/>
    <mergeCell ref="I275:I276"/>
    <mergeCell ref="G279:G280"/>
    <mergeCell ref="H273:H274"/>
    <mergeCell ref="B277:F278"/>
    <mergeCell ref="B271:F272"/>
    <mergeCell ref="J279:J280"/>
    <mergeCell ref="I285:I286"/>
    <mergeCell ref="B273:F274"/>
    <mergeCell ref="B283:F284"/>
    <mergeCell ref="I283:I284"/>
    <mergeCell ref="I281:I282"/>
    <mergeCell ref="B281:F282"/>
    <mergeCell ref="B275:F276"/>
    <mergeCell ref="H279:H280"/>
    <mergeCell ref="H269:H270"/>
    <mergeCell ref="J281:J282"/>
    <mergeCell ref="J253:J254"/>
    <mergeCell ref="G231:G232"/>
    <mergeCell ref="J259:J260"/>
    <mergeCell ref="B225:F226"/>
    <mergeCell ref="I251:I252"/>
    <mergeCell ref="B259:F260"/>
    <mergeCell ref="J249:J250"/>
    <mergeCell ref="B249:F250"/>
    <mergeCell ref="K259:K260"/>
    <mergeCell ref="G245:G246"/>
    <mergeCell ref="H237:H238"/>
    <mergeCell ref="K237:K238"/>
    <mergeCell ref="H231:H232"/>
    <mergeCell ref="G237:G238"/>
    <mergeCell ref="I227:I228"/>
    <mergeCell ref="B221:F222"/>
    <mergeCell ref="G241:G242"/>
    <mergeCell ref="B255:F256"/>
    <mergeCell ref="G257:G258"/>
    <mergeCell ref="B257:F258"/>
    <mergeCell ref="B231:F232"/>
    <mergeCell ref="H259:H260"/>
    <mergeCell ref="J233:J234"/>
    <mergeCell ref="G249:G250"/>
    <mergeCell ref="H249:H250"/>
    <mergeCell ref="I249:I250"/>
    <mergeCell ref="H255:H256"/>
    <mergeCell ref="G259:G260"/>
    <mergeCell ref="I229:I230"/>
    <mergeCell ref="H233:H234"/>
    <mergeCell ref="K255:K256"/>
    <mergeCell ref="J241:J242"/>
    <mergeCell ref="I247:I248"/>
    <mergeCell ref="B219:F220"/>
    <mergeCell ref="B235:F236"/>
    <mergeCell ref="K181:K182"/>
    <mergeCell ref="B217:F218"/>
    <mergeCell ref="B229:F230"/>
    <mergeCell ref="B253:F254"/>
    <mergeCell ref="K251:K252"/>
    <mergeCell ref="B227:F228"/>
    <mergeCell ref="H219:H220"/>
    <mergeCell ref="G251:G252"/>
    <mergeCell ref="K241:K242"/>
    <mergeCell ref="K245:K246"/>
    <mergeCell ref="H221:H222"/>
    <mergeCell ref="K233:K234"/>
    <mergeCell ref="K229:K230"/>
    <mergeCell ref="J245:J246"/>
    <mergeCell ref="G211:G212"/>
    <mergeCell ref="I195:I196"/>
    <mergeCell ref="G229:G230"/>
    <mergeCell ref="G191:G192"/>
    <mergeCell ref="I191:I192"/>
    <mergeCell ref="H199:H200"/>
    <mergeCell ref="G205:G206"/>
    <mergeCell ref="G203:G204"/>
    <mergeCell ref="J213:J214"/>
    <mergeCell ref="J225:J226"/>
    <mergeCell ref="I223:I224"/>
    <mergeCell ref="I245:I246"/>
    <mergeCell ref="J231:J232"/>
    <mergeCell ref="J203:J204"/>
    <mergeCell ref="I231:I232"/>
    <mergeCell ref="I217:I218"/>
    <mergeCell ref="K225:K226"/>
    <mergeCell ref="I221:I222"/>
    <mergeCell ref="J223:J224"/>
    <mergeCell ref="J229:J230"/>
    <mergeCell ref="I215:I216"/>
    <mergeCell ref="J209:J210"/>
    <mergeCell ref="K235:K236"/>
    <mergeCell ref="K249:K250"/>
    <mergeCell ref="H207:H208"/>
    <mergeCell ref="J247:J248"/>
    <mergeCell ref="J237:J238"/>
    <mergeCell ref="K221:K222"/>
    <mergeCell ref="K247:K248"/>
    <mergeCell ref="K253:K254"/>
    <mergeCell ref="K195:K196"/>
    <mergeCell ref="H171:H172"/>
    <mergeCell ref="H169:H170"/>
    <mergeCell ref="K185:K186"/>
    <mergeCell ref="K175:K176"/>
    <mergeCell ref="J185:J186"/>
    <mergeCell ref="J191:J192"/>
    <mergeCell ref="K217:K218"/>
    <mergeCell ref="H241:H242"/>
    <mergeCell ref="H227:H228"/>
    <mergeCell ref="J227:J228"/>
    <mergeCell ref="I241:I242"/>
    <mergeCell ref="I205:I206"/>
    <mergeCell ref="H205:H206"/>
    <mergeCell ref="J219:J220"/>
    <mergeCell ref="H175:H176"/>
    <mergeCell ref="G189:G190"/>
    <mergeCell ref="H189:H190"/>
    <mergeCell ref="I183:I184"/>
    <mergeCell ref="K191:K192"/>
    <mergeCell ref="K193:K194"/>
    <mergeCell ref="H191:H192"/>
    <mergeCell ref="J195:J196"/>
    <mergeCell ref="I193:I194"/>
    <mergeCell ref="G171:G172"/>
    <mergeCell ref="B187:F188"/>
    <mergeCell ref="K179:K180"/>
    <mergeCell ref="G175:G176"/>
    <mergeCell ref="K187:K188"/>
    <mergeCell ref="B171:F172"/>
    <mergeCell ref="K189:K190"/>
    <mergeCell ref="J193:J194"/>
    <mergeCell ref="G181:G182"/>
    <mergeCell ref="J183:J184"/>
    <mergeCell ref="B195:F196"/>
    <mergeCell ref="K173:K174"/>
    <mergeCell ref="G75:G76"/>
    <mergeCell ref="H75:H76"/>
    <mergeCell ref="I75:I76"/>
    <mergeCell ref="J75:J76"/>
    <mergeCell ref="K75:K76"/>
    <mergeCell ref="B185:F186"/>
    <mergeCell ref="G185:G186"/>
    <mergeCell ref="K197:K198"/>
    <mergeCell ref="H187:H188"/>
    <mergeCell ref="B199:F200"/>
    <mergeCell ref="H197:H198"/>
    <mergeCell ref="B191:F192"/>
    <mergeCell ref="G187:G188"/>
    <mergeCell ref="G195:G196"/>
    <mergeCell ref="J197:J198"/>
    <mergeCell ref="I185:I186"/>
    <mergeCell ref="I83:I84"/>
    <mergeCell ref="J83:J84"/>
    <mergeCell ref="K165:K166"/>
    <mergeCell ref="H151:H152"/>
    <mergeCell ref="I151:I152"/>
    <mergeCell ref="G197:G198"/>
    <mergeCell ref="K155:K156"/>
    <mergeCell ref="K163:K164"/>
    <mergeCell ref="B163:F164"/>
    <mergeCell ref="G163:G164"/>
    <mergeCell ref="B169:F170"/>
    <mergeCell ref="I171:I172"/>
    <mergeCell ref="I175:I176"/>
    <mergeCell ref="B175:F176"/>
    <mergeCell ref="B193:F194"/>
    <mergeCell ref="G193:G194"/>
    <mergeCell ref="H243:H244"/>
    <mergeCell ref="I243:I244"/>
    <mergeCell ref="J243:J244"/>
    <mergeCell ref="K243:K244"/>
    <mergeCell ref="H229:H230"/>
    <mergeCell ref="I209:I210"/>
    <mergeCell ref="K211:K212"/>
    <mergeCell ref="G227:G228"/>
    <mergeCell ref="K161:K162"/>
    <mergeCell ref="B161:F162"/>
    <mergeCell ref="J157:J158"/>
    <mergeCell ref="B157:F158"/>
    <mergeCell ref="H159:H160"/>
    <mergeCell ref="B173:F174"/>
    <mergeCell ref="K169:K170"/>
    <mergeCell ref="J175:J176"/>
    <mergeCell ref="K183:K184"/>
    <mergeCell ref="I177:I178"/>
    <mergeCell ref="J177:J178"/>
    <mergeCell ref="K167:K168"/>
    <mergeCell ref="H181:H182"/>
    <mergeCell ref="B177:F178"/>
    <mergeCell ref="G177:G178"/>
    <mergeCell ref="H177:H178"/>
    <mergeCell ref="B181:F182"/>
    <mergeCell ref="J171:J172"/>
    <mergeCell ref="B197:F198"/>
    <mergeCell ref="I189:I190"/>
    <mergeCell ref="I173:I174"/>
    <mergeCell ref="H193:H194"/>
    <mergeCell ref="K171:K172"/>
    <mergeCell ref="J181:J182"/>
    <mergeCell ref="K177:K178"/>
    <mergeCell ref="K371:K372"/>
    <mergeCell ref="G217:G218"/>
    <mergeCell ref="B189:F190"/>
    <mergeCell ref="I213:I214"/>
    <mergeCell ref="B211:F212"/>
    <mergeCell ref="B205:F206"/>
    <mergeCell ref="B179:F180"/>
    <mergeCell ref="K207:K208"/>
    <mergeCell ref="G209:G210"/>
    <mergeCell ref="B215:F216"/>
    <mergeCell ref="K209:K210"/>
    <mergeCell ref="B247:F248"/>
    <mergeCell ref="H251:H252"/>
    <mergeCell ref="B245:F246"/>
    <mergeCell ref="H223:H224"/>
    <mergeCell ref="K257:K258"/>
    <mergeCell ref="H245:H246"/>
    <mergeCell ref="B209:F210"/>
    <mergeCell ref="B233:F234"/>
    <mergeCell ref="H225:H226"/>
    <mergeCell ref="I225:I226"/>
    <mergeCell ref="H217:H218"/>
    <mergeCell ref="I187:I188"/>
    <mergeCell ref="J187:J188"/>
    <mergeCell ref="B203:F204"/>
    <mergeCell ref="B213:F214"/>
    <mergeCell ref="B223:F224"/>
    <mergeCell ref="G223:G224"/>
    <mergeCell ref="K223:K224"/>
    <mergeCell ref="J211:J212"/>
    <mergeCell ref="B265:F266"/>
    <mergeCell ref="B397:F398"/>
    <mergeCell ref="B207:F208"/>
    <mergeCell ref="G207:G208"/>
    <mergeCell ref="B411:F412"/>
    <mergeCell ref="G411:G412"/>
    <mergeCell ref="H411:H412"/>
    <mergeCell ref="J411:J412"/>
    <mergeCell ref="K411:K412"/>
    <mergeCell ref="K409:K410"/>
    <mergeCell ref="G405:G406"/>
    <mergeCell ref="K393:K394"/>
    <mergeCell ref="H405:H406"/>
    <mergeCell ref="B405:F406"/>
    <mergeCell ref="K375:K376"/>
    <mergeCell ref="H409:H410"/>
    <mergeCell ref="J409:J410"/>
    <mergeCell ref="B201:F202"/>
    <mergeCell ref="H201:H202"/>
    <mergeCell ref="K205:K206"/>
    <mergeCell ref="H209:H210"/>
    <mergeCell ref="B263:F264"/>
    <mergeCell ref="J251:J252"/>
    <mergeCell ref="G255:G256"/>
    <mergeCell ref="I263:I264"/>
    <mergeCell ref="B237:F238"/>
    <mergeCell ref="G233:G234"/>
    <mergeCell ref="B241:F242"/>
    <mergeCell ref="H331:H332"/>
    <mergeCell ref="J331:J332"/>
    <mergeCell ref="K331:K332"/>
    <mergeCell ref="B243:F244"/>
    <mergeCell ref="G243:G244"/>
  </mergeCells>
  <printOptions horizontalCentered="1"/>
  <pageMargins left="0" right="0" top="0.51181102362204722" bottom="0.23622047244094491" header="0" footer="0"/>
  <pageSetup paperSize="9" scale="95" fitToWidth="0" fitToHeight="0" orientation="portrait" r:id="rId1"/>
  <headerFooter>
    <oddFooter>&amp;L&amp;D&amp;R&amp;P/&amp;N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A1:M137"/>
  <sheetViews>
    <sheetView showGridLines="0" view="pageBreakPreview" zoomScaleNormal="100" zoomScaleSheetLayoutView="100" workbookViewId="0"/>
  </sheetViews>
  <sheetFormatPr defaultColWidth="9.109375" defaultRowHeight="13.2" x14ac:dyDescent="0.25"/>
  <cols>
    <col min="1" max="1" width="9.109375" style="28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9.109375" style="89"/>
    <col min="13" max="13" width="9.109375" style="90"/>
    <col min="14" max="16384" width="9.109375" style="1"/>
  </cols>
  <sheetData>
    <row r="1" spans="1:13" ht="12" customHeight="1" x14ac:dyDescent="0.3">
      <c r="A1" s="125"/>
    </row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430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3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44" t="s">
        <v>91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46" t="s">
        <v>90</v>
      </c>
      <c r="K10" s="309"/>
    </row>
    <row r="11" spans="1:13" s="45" customFormat="1" ht="8.5500000000000007" customHeight="1" x14ac:dyDescent="0.2">
      <c r="A11" s="98"/>
      <c r="B11" s="218" t="s">
        <v>409</v>
      </c>
      <c r="C11" s="218"/>
      <c r="D11" s="218"/>
      <c r="E11" s="218"/>
      <c r="F11" s="218"/>
      <c r="G11" s="77"/>
      <c r="H11" s="77"/>
      <c r="I11" s="62"/>
      <c r="J11" s="102"/>
      <c r="K11" s="62"/>
      <c r="L11" s="91"/>
      <c r="M11" s="92"/>
    </row>
    <row r="12" spans="1:13" s="45" customFormat="1" ht="8.5500000000000007" customHeight="1" x14ac:dyDescent="0.2">
      <c r="A12" s="98"/>
      <c r="B12" s="219"/>
      <c r="C12" s="219"/>
      <c r="D12" s="219"/>
      <c r="E12" s="219"/>
      <c r="F12" s="219"/>
      <c r="G12" s="78"/>
      <c r="H12" s="78"/>
      <c r="I12" s="63"/>
      <c r="J12" s="103"/>
      <c r="K12" s="63"/>
      <c r="L12" s="91"/>
      <c r="M12" s="92"/>
    </row>
    <row r="13" spans="1:13" s="45" customFormat="1" ht="8.5500000000000007" customHeight="1" x14ac:dyDescent="0.2">
      <c r="A13" s="98"/>
      <c r="B13" s="156" t="s">
        <v>1045</v>
      </c>
      <c r="C13" s="156"/>
      <c r="D13" s="156"/>
      <c r="E13" s="156"/>
      <c r="F13" s="157"/>
      <c r="G13" s="251">
        <v>1994</v>
      </c>
      <c r="H13" s="167">
        <v>99</v>
      </c>
      <c r="I13" s="160"/>
      <c r="J13" s="332" t="s">
        <v>1027</v>
      </c>
      <c r="K13" s="164">
        <v>1</v>
      </c>
      <c r="L13" s="91"/>
      <c r="M13" s="92"/>
    </row>
    <row r="14" spans="1:13" s="45" customFormat="1" ht="8.5500000000000007" customHeight="1" x14ac:dyDescent="0.2">
      <c r="A14" s="98"/>
      <c r="B14" s="158"/>
      <c r="C14" s="158"/>
      <c r="D14" s="158"/>
      <c r="E14" s="158"/>
      <c r="F14" s="159"/>
      <c r="G14" s="252"/>
      <c r="H14" s="168"/>
      <c r="I14" s="161"/>
      <c r="J14" s="333"/>
      <c r="K14" s="165"/>
      <c r="L14" s="91"/>
      <c r="M14" s="92"/>
    </row>
    <row r="15" spans="1:13" s="45" customFormat="1" ht="8.5500000000000007" customHeight="1" x14ac:dyDescent="0.2">
      <c r="A15" s="98"/>
      <c r="B15" s="156" t="s">
        <v>1046</v>
      </c>
      <c r="C15" s="156"/>
      <c r="D15" s="156"/>
      <c r="E15" s="156"/>
      <c r="F15" s="157"/>
      <c r="G15" s="251">
        <v>1996</v>
      </c>
      <c r="H15" s="267">
        <v>99</v>
      </c>
      <c r="I15" s="160">
        <v>94</v>
      </c>
      <c r="J15" s="332"/>
      <c r="K15" s="164">
        <v>1</v>
      </c>
      <c r="L15" s="91"/>
      <c r="M15" s="92"/>
    </row>
    <row r="16" spans="1:13" s="45" customFormat="1" ht="8.5500000000000007" customHeight="1" x14ac:dyDescent="0.2">
      <c r="A16" s="98"/>
      <c r="B16" s="158"/>
      <c r="C16" s="158"/>
      <c r="D16" s="158"/>
      <c r="E16" s="158"/>
      <c r="F16" s="159"/>
      <c r="G16" s="252"/>
      <c r="H16" s="316"/>
      <c r="I16" s="161"/>
      <c r="J16" s="333"/>
      <c r="K16" s="165"/>
      <c r="L16" s="91"/>
      <c r="M16" s="92"/>
    </row>
    <row r="17" spans="1:13" s="45" customFormat="1" ht="8.5500000000000007" customHeight="1" x14ac:dyDescent="0.2">
      <c r="A17" s="98"/>
      <c r="B17" s="156" t="s">
        <v>1045</v>
      </c>
      <c r="C17" s="156"/>
      <c r="D17" s="156"/>
      <c r="E17" s="156"/>
      <c r="F17" s="157"/>
      <c r="G17" s="251">
        <v>1997</v>
      </c>
      <c r="H17" s="267" t="s">
        <v>42</v>
      </c>
      <c r="I17" s="160"/>
      <c r="J17" s="332" t="s">
        <v>333</v>
      </c>
      <c r="K17" s="164">
        <v>2</v>
      </c>
      <c r="L17" s="91"/>
      <c r="M17" s="92"/>
    </row>
    <row r="18" spans="1:13" s="45" customFormat="1" ht="8.5500000000000007" customHeight="1" x14ac:dyDescent="0.2">
      <c r="A18" s="98"/>
      <c r="B18" s="158"/>
      <c r="C18" s="158"/>
      <c r="D18" s="158"/>
      <c r="E18" s="158"/>
      <c r="F18" s="159"/>
      <c r="G18" s="252"/>
      <c r="H18" s="316"/>
      <c r="I18" s="161"/>
      <c r="J18" s="333"/>
      <c r="K18" s="165"/>
      <c r="L18" s="91"/>
      <c r="M18" s="92"/>
    </row>
    <row r="19" spans="1:13" s="45" customFormat="1" ht="8.5500000000000007" customHeight="1" x14ac:dyDescent="0.2">
      <c r="A19" s="98"/>
      <c r="B19" s="156" t="s">
        <v>1046</v>
      </c>
      <c r="C19" s="156"/>
      <c r="D19" s="156"/>
      <c r="E19" s="156"/>
      <c r="F19" s="157"/>
      <c r="G19" s="251">
        <v>1998</v>
      </c>
      <c r="H19" s="267">
        <v>99</v>
      </c>
      <c r="I19" s="160"/>
      <c r="J19" s="332"/>
      <c r="K19" s="164">
        <v>1</v>
      </c>
      <c r="L19" s="91"/>
      <c r="M19" s="92"/>
    </row>
    <row r="20" spans="1:13" s="45" customFormat="1" ht="8.5500000000000007" customHeight="1" x14ac:dyDescent="0.2">
      <c r="A20" s="98"/>
      <c r="B20" s="158"/>
      <c r="C20" s="158"/>
      <c r="D20" s="158"/>
      <c r="E20" s="158"/>
      <c r="F20" s="159"/>
      <c r="G20" s="252"/>
      <c r="H20" s="316"/>
      <c r="I20" s="161"/>
      <c r="J20" s="333"/>
      <c r="K20" s="165"/>
      <c r="L20" s="91"/>
      <c r="M20" s="92"/>
    </row>
    <row r="21" spans="1:13" s="45" customFormat="1" ht="8.5500000000000007" customHeight="1" x14ac:dyDescent="0.2">
      <c r="A21" s="98"/>
      <c r="B21" s="156" t="s">
        <v>1045</v>
      </c>
      <c r="C21" s="156"/>
      <c r="D21" s="156"/>
      <c r="E21" s="156"/>
      <c r="F21" s="157"/>
      <c r="G21" s="251">
        <v>2000</v>
      </c>
      <c r="H21" s="167">
        <v>100</v>
      </c>
      <c r="I21" s="160"/>
      <c r="J21" s="332" t="s">
        <v>1028</v>
      </c>
      <c r="K21" s="164">
        <v>2</v>
      </c>
      <c r="L21" s="91"/>
      <c r="M21" s="92"/>
    </row>
    <row r="22" spans="1:13" s="45" customFormat="1" ht="8.5500000000000007" customHeight="1" x14ac:dyDescent="0.2">
      <c r="A22" s="98"/>
      <c r="B22" s="158"/>
      <c r="C22" s="158"/>
      <c r="D22" s="158"/>
      <c r="E22" s="158"/>
      <c r="F22" s="159"/>
      <c r="G22" s="252"/>
      <c r="H22" s="168"/>
      <c r="I22" s="161"/>
      <c r="J22" s="333"/>
      <c r="K22" s="165"/>
      <c r="L22" s="91"/>
      <c r="M22" s="92"/>
    </row>
    <row r="23" spans="1:13" s="45" customFormat="1" ht="8.5500000000000007" customHeight="1" x14ac:dyDescent="0.2">
      <c r="A23" s="98"/>
      <c r="B23" s="156" t="s">
        <v>1045</v>
      </c>
      <c r="C23" s="156"/>
      <c r="D23" s="156"/>
      <c r="E23" s="156"/>
      <c r="F23" s="157"/>
      <c r="G23" s="251">
        <v>2004</v>
      </c>
      <c r="H23" s="167">
        <v>99</v>
      </c>
      <c r="I23" s="160">
        <v>96</v>
      </c>
      <c r="J23" s="332"/>
      <c r="K23" s="164">
        <v>2</v>
      </c>
      <c r="L23" s="91"/>
      <c r="M23" s="92"/>
    </row>
    <row r="24" spans="1:13" s="45" customFormat="1" ht="8.5500000000000007" customHeight="1" x14ac:dyDescent="0.2">
      <c r="A24" s="98"/>
      <c r="B24" s="158"/>
      <c r="C24" s="158"/>
      <c r="D24" s="158"/>
      <c r="E24" s="158"/>
      <c r="F24" s="159"/>
      <c r="G24" s="252"/>
      <c r="H24" s="168"/>
      <c r="I24" s="161"/>
      <c r="J24" s="333"/>
      <c r="K24" s="165"/>
      <c r="L24" s="91"/>
      <c r="M24" s="92"/>
    </row>
    <row r="25" spans="1:13" s="45" customFormat="1" ht="8.5500000000000007" customHeight="1" x14ac:dyDescent="0.2">
      <c r="A25" s="98"/>
      <c r="B25" s="156" t="s">
        <v>1046</v>
      </c>
      <c r="C25" s="156"/>
      <c r="D25" s="156"/>
      <c r="E25" s="156"/>
      <c r="F25" s="157"/>
      <c r="G25" s="251">
        <v>2004</v>
      </c>
      <c r="H25" s="167">
        <v>99</v>
      </c>
      <c r="I25" s="160">
        <v>96</v>
      </c>
      <c r="J25" s="332"/>
      <c r="K25" s="164">
        <v>1</v>
      </c>
      <c r="L25" s="91"/>
      <c r="M25" s="92"/>
    </row>
    <row r="26" spans="1:13" s="45" customFormat="1" ht="8.5500000000000007" customHeight="1" x14ac:dyDescent="0.2">
      <c r="A26" s="98"/>
      <c r="B26" s="158"/>
      <c r="C26" s="158"/>
      <c r="D26" s="158"/>
      <c r="E26" s="158"/>
      <c r="F26" s="159"/>
      <c r="G26" s="252"/>
      <c r="H26" s="168"/>
      <c r="I26" s="161"/>
      <c r="J26" s="333"/>
      <c r="K26" s="165"/>
      <c r="L26" s="91"/>
      <c r="M26" s="92"/>
    </row>
    <row r="27" spans="1:13" s="45" customFormat="1" ht="8.5500000000000007" customHeight="1" x14ac:dyDescent="0.2">
      <c r="A27" s="98"/>
      <c r="B27" s="156" t="s">
        <v>1045</v>
      </c>
      <c r="C27" s="156"/>
      <c r="D27" s="156"/>
      <c r="E27" s="156"/>
      <c r="F27" s="157"/>
      <c r="G27" s="251">
        <v>2010</v>
      </c>
      <c r="H27" s="167">
        <v>100</v>
      </c>
      <c r="I27" s="160"/>
      <c r="J27" s="332"/>
      <c r="K27" s="164">
        <v>1</v>
      </c>
      <c r="L27" s="91"/>
      <c r="M27" s="92"/>
    </row>
    <row r="28" spans="1:13" s="45" customFormat="1" ht="8.5500000000000007" customHeight="1" x14ac:dyDescent="0.2">
      <c r="A28" s="98"/>
      <c r="B28" s="158"/>
      <c r="C28" s="158"/>
      <c r="D28" s="158"/>
      <c r="E28" s="158"/>
      <c r="F28" s="159"/>
      <c r="G28" s="252"/>
      <c r="H28" s="168"/>
      <c r="I28" s="161"/>
      <c r="J28" s="333"/>
      <c r="K28" s="165"/>
      <c r="L28" s="91"/>
      <c r="M28" s="92"/>
    </row>
    <row r="29" spans="1:13" s="45" customFormat="1" ht="8.5500000000000007" customHeight="1" x14ac:dyDescent="0.2">
      <c r="A29" s="98"/>
      <c r="B29" s="156" t="s">
        <v>536</v>
      </c>
      <c r="C29" s="156"/>
      <c r="D29" s="156"/>
      <c r="E29" s="156"/>
      <c r="F29" s="157"/>
      <c r="G29" s="251">
        <v>2005</v>
      </c>
      <c r="H29" s="167">
        <v>96</v>
      </c>
      <c r="I29" s="160">
        <v>97</v>
      </c>
      <c r="J29" s="332" t="s">
        <v>23</v>
      </c>
      <c r="K29" s="164">
        <v>1</v>
      </c>
      <c r="L29" s="91"/>
      <c r="M29" s="92"/>
    </row>
    <row r="30" spans="1:13" s="45" customFormat="1" ht="8.5500000000000007" customHeight="1" x14ac:dyDescent="0.2">
      <c r="A30" s="98"/>
      <c r="B30" s="158"/>
      <c r="C30" s="158"/>
      <c r="D30" s="158"/>
      <c r="E30" s="158"/>
      <c r="F30" s="159"/>
      <c r="G30" s="252"/>
      <c r="H30" s="168"/>
      <c r="I30" s="161"/>
      <c r="J30" s="333"/>
      <c r="K30" s="165"/>
      <c r="L30" s="91"/>
      <c r="M30" s="92"/>
    </row>
    <row r="31" spans="1:13" s="45" customFormat="1" ht="8.5500000000000007" customHeight="1" x14ac:dyDescent="0.2">
      <c r="A31" s="98"/>
      <c r="B31" s="156" t="s">
        <v>536</v>
      </c>
      <c r="C31" s="156"/>
      <c r="D31" s="156"/>
      <c r="E31" s="156"/>
      <c r="F31" s="157"/>
      <c r="G31" s="251">
        <v>2006</v>
      </c>
      <c r="H31" s="167">
        <v>99</v>
      </c>
      <c r="I31" s="160">
        <v>97</v>
      </c>
      <c r="J31" s="332" t="s">
        <v>363</v>
      </c>
      <c r="K31" s="164">
        <v>2</v>
      </c>
      <c r="L31" s="91"/>
      <c r="M31" s="92"/>
    </row>
    <row r="32" spans="1:13" s="45" customFormat="1" ht="8.5500000000000007" customHeight="1" x14ac:dyDescent="0.2">
      <c r="A32" s="98"/>
      <c r="B32" s="158"/>
      <c r="C32" s="158"/>
      <c r="D32" s="158"/>
      <c r="E32" s="158"/>
      <c r="F32" s="159"/>
      <c r="G32" s="252"/>
      <c r="H32" s="168"/>
      <c r="I32" s="161"/>
      <c r="J32" s="333"/>
      <c r="K32" s="165"/>
      <c r="L32" s="91"/>
      <c r="M32" s="92"/>
    </row>
    <row r="33" spans="1:13" s="45" customFormat="1" ht="8.5500000000000007" customHeight="1" x14ac:dyDescent="0.2">
      <c r="A33" s="98"/>
      <c r="B33" s="156" t="s">
        <v>536</v>
      </c>
      <c r="C33" s="156"/>
      <c r="D33" s="156"/>
      <c r="E33" s="156"/>
      <c r="F33" s="157"/>
      <c r="G33" s="251">
        <v>2009</v>
      </c>
      <c r="H33" s="167">
        <v>98</v>
      </c>
      <c r="I33" s="160">
        <v>98</v>
      </c>
      <c r="J33" s="332" t="s">
        <v>17</v>
      </c>
      <c r="K33" s="164">
        <v>1</v>
      </c>
      <c r="L33" s="91"/>
      <c r="M33" s="92"/>
    </row>
    <row r="34" spans="1:13" s="45" customFormat="1" ht="8.5500000000000007" customHeight="1" x14ac:dyDescent="0.2">
      <c r="A34" s="98"/>
      <c r="B34" s="158"/>
      <c r="C34" s="158"/>
      <c r="D34" s="158"/>
      <c r="E34" s="158"/>
      <c r="F34" s="159"/>
      <c r="G34" s="252"/>
      <c r="H34" s="168"/>
      <c r="I34" s="161"/>
      <c r="J34" s="333"/>
      <c r="K34" s="165"/>
      <c r="L34" s="91"/>
      <c r="M34" s="92"/>
    </row>
    <row r="35" spans="1:13" s="45" customFormat="1" ht="8.5500000000000007" customHeight="1" x14ac:dyDescent="0.2">
      <c r="A35" s="98"/>
      <c r="B35" s="156" t="s">
        <v>1047</v>
      </c>
      <c r="C35" s="156"/>
      <c r="D35" s="156"/>
      <c r="E35" s="156"/>
      <c r="F35" s="157"/>
      <c r="G35" s="251">
        <v>1999</v>
      </c>
      <c r="H35" s="167">
        <v>100</v>
      </c>
      <c r="I35" s="160">
        <v>92</v>
      </c>
      <c r="J35" s="332" t="s">
        <v>295</v>
      </c>
      <c r="K35" s="164">
        <v>1</v>
      </c>
      <c r="L35" s="91"/>
      <c r="M35" s="92"/>
    </row>
    <row r="36" spans="1:13" s="45" customFormat="1" ht="8.5500000000000007" customHeight="1" x14ac:dyDescent="0.2">
      <c r="A36" s="98"/>
      <c r="B36" s="158"/>
      <c r="C36" s="158"/>
      <c r="D36" s="158"/>
      <c r="E36" s="158"/>
      <c r="F36" s="159"/>
      <c r="G36" s="252"/>
      <c r="H36" s="168"/>
      <c r="I36" s="161"/>
      <c r="J36" s="333"/>
      <c r="K36" s="165"/>
      <c r="L36" s="91"/>
      <c r="M36" s="92"/>
    </row>
    <row r="37" spans="1:13" s="45" customFormat="1" ht="8.5500000000000007" customHeight="1" x14ac:dyDescent="0.2">
      <c r="A37" s="98"/>
      <c r="B37" s="156" t="s">
        <v>1047</v>
      </c>
      <c r="C37" s="156"/>
      <c r="D37" s="156"/>
      <c r="E37" s="156"/>
      <c r="F37" s="157"/>
      <c r="G37" s="251">
        <v>2001</v>
      </c>
      <c r="H37" s="267" t="s">
        <v>48</v>
      </c>
      <c r="I37" s="160">
        <v>95</v>
      </c>
      <c r="J37" s="332" t="s">
        <v>135</v>
      </c>
      <c r="K37" s="164">
        <v>1</v>
      </c>
      <c r="L37" s="91"/>
      <c r="M37" s="92"/>
    </row>
    <row r="38" spans="1:13" s="45" customFormat="1" ht="8.5500000000000007" customHeight="1" x14ac:dyDescent="0.2">
      <c r="A38" s="98"/>
      <c r="B38" s="158"/>
      <c r="C38" s="158"/>
      <c r="D38" s="158"/>
      <c r="E38" s="158"/>
      <c r="F38" s="159"/>
      <c r="G38" s="252"/>
      <c r="H38" s="316"/>
      <c r="I38" s="161"/>
      <c r="J38" s="333"/>
      <c r="K38" s="165"/>
      <c r="L38" s="91"/>
      <c r="M38" s="92"/>
    </row>
    <row r="39" spans="1:13" s="45" customFormat="1" ht="8.5500000000000007" customHeight="1" x14ac:dyDescent="0.2">
      <c r="A39" s="98"/>
      <c r="B39" s="156" t="s">
        <v>1047</v>
      </c>
      <c r="C39" s="156"/>
      <c r="D39" s="156"/>
      <c r="E39" s="156"/>
      <c r="F39" s="157"/>
      <c r="G39" s="251">
        <v>2011</v>
      </c>
      <c r="H39" s="267">
        <v>100</v>
      </c>
      <c r="I39" s="160"/>
      <c r="J39" s="332"/>
      <c r="K39" s="164">
        <v>2</v>
      </c>
      <c r="L39" s="91"/>
      <c r="M39" s="92"/>
    </row>
    <row r="40" spans="1:13" s="45" customFormat="1" ht="8.5500000000000007" customHeight="1" x14ac:dyDescent="0.2">
      <c r="A40" s="98"/>
      <c r="B40" s="158"/>
      <c r="C40" s="158"/>
      <c r="D40" s="158"/>
      <c r="E40" s="158"/>
      <c r="F40" s="159"/>
      <c r="G40" s="252"/>
      <c r="H40" s="316"/>
      <c r="I40" s="161"/>
      <c r="J40" s="333"/>
      <c r="K40" s="165"/>
      <c r="L40" s="91"/>
      <c r="M40" s="92"/>
    </row>
    <row r="41" spans="1:13" s="45" customFormat="1" ht="8.5500000000000007" customHeight="1" x14ac:dyDescent="0.2">
      <c r="A41" s="98"/>
      <c r="B41" s="156" t="s">
        <v>548</v>
      </c>
      <c r="C41" s="156"/>
      <c r="D41" s="156"/>
      <c r="E41" s="156"/>
      <c r="F41" s="156"/>
      <c r="G41" s="166">
        <v>2003</v>
      </c>
      <c r="H41" s="267" t="s">
        <v>626</v>
      </c>
      <c r="I41" s="160">
        <v>96</v>
      </c>
      <c r="J41" s="332" t="s">
        <v>1029</v>
      </c>
      <c r="K41" s="164">
        <v>1</v>
      </c>
      <c r="L41" s="91"/>
      <c r="M41" s="92"/>
    </row>
    <row r="42" spans="1:13" s="45" customFormat="1" ht="8.5500000000000007" customHeight="1" x14ac:dyDescent="0.2">
      <c r="A42" s="98"/>
      <c r="B42" s="158"/>
      <c r="C42" s="158"/>
      <c r="D42" s="158"/>
      <c r="E42" s="158"/>
      <c r="F42" s="158"/>
      <c r="G42" s="166"/>
      <c r="H42" s="316"/>
      <c r="I42" s="161"/>
      <c r="J42" s="333"/>
      <c r="K42" s="165"/>
      <c r="L42" s="91"/>
      <c r="M42" s="92"/>
    </row>
    <row r="43" spans="1:13" s="45" customFormat="1" ht="8.5500000000000007" customHeight="1" x14ac:dyDescent="0.2">
      <c r="A43" s="98"/>
      <c r="B43" s="156" t="s">
        <v>548</v>
      </c>
      <c r="C43" s="156"/>
      <c r="D43" s="156"/>
      <c r="E43" s="156"/>
      <c r="F43" s="156"/>
      <c r="G43" s="166">
        <v>2009</v>
      </c>
      <c r="H43" s="267" t="s">
        <v>336</v>
      </c>
      <c r="I43" s="160">
        <v>97</v>
      </c>
      <c r="J43" s="332" t="s">
        <v>1030</v>
      </c>
      <c r="K43" s="164">
        <v>1</v>
      </c>
      <c r="L43" s="91"/>
      <c r="M43" s="92"/>
    </row>
    <row r="44" spans="1:13" s="45" customFormat="1" ht="8.5500000000000007" customHeight="1" x14ac:dyDescent="0.2">
      <c r="A44" s="98"/>
      <c r="B44" s="158"/>
      <c r="C44" s="158"/>
      <c r="D44" s="158"/>
      <c r="E44" s="158"/>
      <c r="F44" s="158"/>
      <c r="G44" s="166"/>
      <c r="H44" s="316"/>
      <c r="I44" s="161"/>
      <c r="J44" s="333"/>
      <c r="K44" s="165"/>
      <c r="L44" s="91"/>
      <c r="M44" s="92"/>
    </row>
    <row r="45" spans="1:13" s="45" customFormat="1" ht="8.5500000000000007" customHeight="1" x14ac:dyDescent="0.2">
      <c r="A45" s="98"/>
      <c r="B45" s="156" t="s">
        <v>436</v>
      </c>
      <c r="C45" s="156"/>
      <c r="D45" s="156"/>
      <c r="E45" s="156"/>
      <c r="F45" s="157"/>
      <c r="G45" s="166">
        <v>2003</v>
      </c>
      <c r="H45" s="167">
        <v>99</v>
      </c>
      <c r="I45" s="160">
        <v>97</v>
      </c>
      <c r="J45" s="211"/>
      <c r="K45" s="164">
        <v>1</v>
      </c>
      <c r="L45" s="91"/>
      <c r="M45" s="92"/>
    </row>
    <row r="46" spans="1:13" s="45" customFormat="1" ht="8.5500000000000007" customHeight="1" x14ac:dyDescent="0.2">
      <c r="A46" s="98"/>
      <c r="B46" s="158"/>
      <c r="C46" s="158"/>
      <c r="D46" s="158"/>
      <c r="E46" s="158"/>
      <c r="F46" s="159"/>
      <c r="G46" s="166"/>
      <c r="H46" s="168"/>
      <c r="I46" s="161"/>
      <c r="J46" s="168"/>
      <c r="K46" s="165"/>
      <c r="L46" s="91"/>
      <c r="M46" s="92"/>
    </row>
    <row r="47" spans="1:13" s="45" customFormat="1" ht="8.5500000000000007" customHeight="1" x14ac:dyDescent="0.2">
      <c r="A47" s="98"/>
      <c r="B47" s="156" t="s">
        <v>436</v>
      </c>
      <c r="C47" s="156"/>
      <c r="D47" s="156"/>
      <c r="E47" s="156"/>
      <c r="F47" s="157"/>
      <c r="G47" s="166">
        <v>2004</v>
      </c>
      <c r="H47" s="167">
        <v>95</v>
      </c>
      <c r="I47" s="160"/>
      <c r="J47" s="211"/>
      <c r="K47" s="164">
        <v>1</v>
      </c>
      <c r="L47" s="91"/>
      <c r="M47" s="92"/>
    </row>
    <row r="48" spans="1:13" s="45" customFormat="1" ht="8.5500000000000007" customHeight="1" x14ac:dyDescent="0.2">
      <c r="A48" s="98"/>
      <c r="B48" s="158"/>
      <c r="C48" s="158"/>
      <c r="D48" s="158"/>
      <c r="E48" s="158"/>
      <c r="F48" s="159"/>
      <c r="G48" s="166"/>
      <c r="H48" s="168"/>
      <c r="I48" s="161"/>
      <c r="J48" s="168"/>
      <c r="K48" s="165"/>
      <c r="L48" s="91"/>
      <c r="M48" s="92"/>
    </row>
    <row r="49" spans="1:13" s="45" customFormat="1" ht="8.5500000000000007" customHeight="1" x14ac:dyDescent="0.2">
      <c r="A49" s="98"/>
      <c r="B49" s="156" t="s">
        <v>436</v>
      </c>
      <c r="C49" s="156"/>
      <c r="D49" s="156"/>
      <c r="E49" s="156"/>
      <c r="F49" s="157"/>
      <c r="G49" s="166">
        <v>2005</v>
      </c>
      <c r="H49" s="167">
        <v>96</v>
      </c>
      <c r="I49" s="160">
        <v>98</v>
      </c>
      <c r="J49" s="211"/>
      <c r="K49" s="164">
        <v>1</v>
      </c>
      <c r="L49" s="91"/>
      <c r="M49" s="92"/>
    </row>
    <row r="50" spans="1:13" s="45" customFormat="1" ht="8.5500000000000007" customHeight="1" x14ac:dyDescent="0.2">
      <c r="A50" s="98"/>
      <c r="B50" s="158"/>
      <c r="C50" s="158"/>
      <c r="D50" s="158"/>
      <c r="E50" s="158"/>
      <c r="F50" s="159"/>
      <c r="G50" s="166"/>
      <c r="H50" s="168"/>
      <c r="I50" s="161"/>
      <c r="J50" s="168"/>
      <c r="K50" s="165"/>
      <c r="L50" s="91"/>
      <c r="M50" s="92"/>
    </row>
    <row r="51" spans="1:13" s="45" customFormat="1" ht="8.5500000000000007" customHeight="1" x14ac:dyDescent="0.2">
      <c r="A51" s="98"/>
      <c r="B51" s="156" t="s">
        <v>436</v>
      </c>
      <c r="C51" s="156"/>
      <c r="D51" s="156"/>
      <c r="E51" s="156"/>
      <c r="F51" s="157"/>
      <c r="G51" s="166">
        <v>2006</v>
      </c>
      <c r="H51" s="167">
        <v>97</v>
      </c>
      <c r="I51" s="160">
        <v>99</v>
      </c>
      <c r="J51" s="211" t="s">
        <v>363</v>
      </c>
      <c r="K51" s="164">
        <v>2</v>
      </c>
      <c r="L51" s="91"/>
      <c r="M51" s="92"/>
    </row>
    <row r="52" spans="1:13" s="45" customFormat="1" ht="8.5500000000000007" customHeight="1" x14ac:dyDescent="0.2">
      <c r="A52" s="98"/>
      <c r="B52" s="158"/>
      <c r="C52" s="158"/>
      <c r="D52" s="158"/>
      <c r="E52" s="158"/>
      <c r="F52" s="159"/>
      <c r="G52" s="166"/>
      <c r="H52" s="168"/>
      <c r="I52" s="161"/>
      <c r="J52" s="168"/>
      <c r="K52" s="165"/>
      <c r="L52" s="91"/>
      <c r="M52" s="92"/>
    </row>
    <row r="53" spans="1:13" s="45" customFormat="1" ht="8.5500000000000007" customHeight="1" x14ac:dyDescent="0.2">
      <c r="A53" s="98"/>
      <c r="B53" s="156" t="s">
        <v>436</v>
      </c>
      <c r="C53" s="156"/>
      <c r="D53" s="156"/>
      <c r="E53" s="156"/>
      <c r="F53" s="157"/>
      <c r="G53" s="166">
        <v>2009</v>
      </c>
      <c r="H53" s="167">
        <v>99</v>
      </c>
      <c r="I53" s="160">
        <v>98</v>
      </c>
      <c r="J53" s="211" t="s">
        <v>1030</v>
      </c>
      <c r="K53" s="164">
        <v>1</v>
      </c>
      <c r="L53" s="91"/>
      <c r="M53" s="92"/>
    </row>
    <row r="54" spans="1:13" s="45" customFormat="1" ht="8.5500000000000007" customHeight="1" x14ac:dyDescent="0.2">
      <c r="A54" s="98"/>
      <c r="B54" s="158"/>
      <c r="C54" s="158"/>
      <c r="D54" s="158"/>
      <c r="E54" s="158"/>
      <c r="F54" s="159"/>
      <c r="G54" s="166"/>
      <c r="H54" s="168"/>
      <c r="I54" s="161"/>
      <c r="J54" s="168"/>
      <c r="K54" s="165"/>
      <c r="L54" s="91"/>
      <c r="M54" s="92"/>
    </row>
    <row r="55" spans="1:13" s="45" customFormat="1" ht="8.5500000000000007" customHeight="1" x14ac:dyDescent="0.2">
      <c r="A55" s="98"/>
      <c r="B55" s="156" t="s">
        <v>436</v>
      </c>
      <c r="C55" s="156"/>
      <c r="D55" s="156"/>
      <c r="E55" s="156"/>
      <c r="F55" s="157"/>
      <c r="G55" s="166">
        <v>2012</v>
      </c>
      <c r="H55" s="167">
        <v>96</v>
      </c>
      <c r="I55" s="160"/>
      <c r="J55" s="211"/>
      <c r="K55" s="164">
        <v>1</v>
      </c>
      <c r="L55" s="91"/>
      <c r="M55" s="92"/>
    </row>
    <row r="56" spans="1:13" s="45" customFormat="1" ht="8.5500000000000007" customHeight="1" x14ac:dyDescent="0.2">
      <c r="A56" s="98"/>
      <c r="B56" s="158"/>
      <c r="C56" s="158"/>
      <c r="D56" s="158"/>
      <c r="E56" s="158"/>
      <c r="F56" s="159"/>
      <c r="G56" s="166"/>
      <c r="H56" s="168"/>
      <c r="I56" s="161"/>
      <c r="J56" s="168"/>
      <c r="K56" s="165"/>
      <c r="L56" s="91"/>
      <c r="M56" s="92"/>
    </row>
    <row r="57" spans="1:13" s="45" customFormat="1" ht="8.5500000000000007" customHeight="1" x14ac:dyDescent="0.2">
      <c r="A57" s="98"/>
      <c r="B57" s="156" t="s">
        <v>1813</v>
      </c>
      <c r="C57" s="156"/>
      <c r="D57" s="156"/>
      <c r="E57" s="156"/>
      <c r="F57" s="157"/>
      <c r="G57" s="166">
        <v>2022</v>
      </c>
      <c r="H57" s="167">
        <v>96</v>
      </c>
      <c r="I57" s="160"/>
      <c r="J57" s="211"/>
      <c r="K57" s="164">
        <v>1</v>
      </c>
      <c r="L57" s="91"/>
      <c r="M57" s="92"/>
    </row>
    <row r="58" spans="1:13" s="45" customFormat="1" ht="8.5500000000000007" customHeight="1" x14ac:dyDescent="0.2">
      <c r="A58" s="98"/>
      <c r="B58" s="158"/>
      <c r="C58" s="158"/>
      <c r="D58" s="158"/>
      <c r="E58" s="158"/>
      <c r="F58" s="159"/>
      <c r="G58" s="166"/>
      <c r="H58" s="168"/>
      <c r="I58" s="161"/>
      <c r="J58" s="168"/>
      <c r="K58" s="165"/>
      <c r="L58" s="91"/>
      <c r="M58" s="92"/>
    </row>
    <row r="59" spans="1:13" s="45" customFormat="1" ht="8.5500000000000007" customHeight="1" x14ac:dyDescent="0.2">
      <c r="A59" s="98"/>
      <c r="B59" s="170" t="s">
        <v>794</v>
      </c>
      <c r="C59" s="170"/>
      <c r="D59" s="170"/>
      <c r="E59" s="170"/>
      <c r="F59" s="170"/>
      <c r="G59" s="47"/>
      <c r="H59" s="47"/>
      <c r="I59" s="48"/>
      <c r="J59" s="104"/>
      <c r="K59" s="224">
        <v>29</v>
      </c>
      <c r="L59" s="230">
        <f>+K59</f>
        <v>29</v>
      </c>
      <c r="M59" s="92"/>
    </row>
    <row r="60" spans="1:13" s="45" customFormat="1" ht="8.5500000000000007" customHeight="1" x14ac:dyDescent="0.2">
      <c r="A60" s="98"/>
      <c r="B60" s="171"/>
      <c r="C60" s="171"/>
      <c r="D60" s="171"/>
      <c r="E60" s="171"/>
      <c r="F60" s="171"/>
      <c r="G60" s="54"/>
      <c r="H60" s="54"/>
      <c r="I60" s="49"/>
      <c r="J60" s="105"/>
      <c r="K60" s="225"/>
      <c r="L60" s="231"/>
      <c r="M60" s="92"/>
    </row>
    <row r="61" spans="1:13" s="45" customFormat="1" ht="8.5500000000000007" customHeight="1" x14ac:dyDescent="0.2">
      <c r="A61" s="98"/>
      <c r="B61" s="218" t="s">
        <v>162</v>
      </c>
      <c r="C61" s="218"/>
      <c r="D61" s="218"/>
      <c r="E61" s="218"/>
      <c r="F61" s="218"/>
      <c r="G61" s="47"/>
      <c r="H61" s="47"/>
      <c r="I61" s="48"/>
      <c r="J61" s="104"/>
      <c r="K61" s="222"/>
      <c r="L61" s="91"/>
      <c r="M61" s="92"/>
    </row>
    <row r="62" spans="1:13" s="45" customFormat="1" ht="8.5500000000000007" customHeight="1" x14ac:dyDescent="0.2">
      <c r="A62" s="98"/>
      <c r="B62" s="219"/>
      <c r="C62" s="219"/>
      <c r="D62" s="219"/>
      <c r="E62" s="219"/>
      <c r="F62" s="219"/>
      <c r="G62" s="54"/>
      <c r="H62" s="54"/>
      <c r="I62" s="49"/>
      <c r="J62" s="105"/>
      <c r="K62" s="165"/>
      <c r="L62" s="91"/>
      <c r="M62" s="92"/>
    </row>
    <row r="63" spans="1:13" s="45" customFormat="1" ht="8.5500000000000007" customHeight="1" x14ac:dyDescent="0.2">
      <c r="A63" s="98"/>
      <c r="B63" s="156" t="s">
        <v>1484</v>
      </c>
      <c r="C63" s="156"/>
      <c r="D63" s="156"/>
      <c r="E63" s="156"/>
      <c r="F63" s="157"/>
      <c r="G63" s="166">
        <v>1989</v>
      </c>
      <c r="H63" s="267">
        <v>96</v>
      </c>
      <c r="I63" s="56"/>
      <c r="J63" s="249" t="s">
        <v>26</v>
      </c>
      <c r="K63" s="164">
        <v>3</v>
      </c>
      <c r="L63" s="91"/>
      <c r="M63" s="92"/>
    </row>
    <row r="64" spans="1:13" s="45" customFormat="1" ht="8.5500000000000007" customHeight="1" x14ac:dyDescent="0.2">
      <c r="A64" s="98"/>
      <c r="B64" s="158"/>
      <c r="C64" s="158"/>
      <c r="D64" s="158"/>
      <c r="E64" s="158"/>
      <c r="F64" s="159"/>
      <c r="G64" s="166"/>
      <c r="H64" s="316"/>
      <c r="I64" s="57"/>
      <c r="J64" s="250"/>
      <c r="K64" s="165"/>
      <c r="L64" s="91"/>
      <c r="M64" s="92"/>
    </row>
    <row r="65" spans="1:13" s="45" customFormat="1" ht="8.5500000000000007" customHeight="1" x14ac:dyDescent="0.2">
      <c r="A65" s="98"/>
      <c r="B65" s="156" t="s">
        <v>1485</v>
      </c>
      <c r="C65" s="156"/>
      <c r="D65" s="156"/>
      <c r="E65" s="156"/>
      <c r="F65" s="157"/>
      <c r="G65" s="166">
        <v>1996</v>
      </c>
      <c r="H65" s="267"/>
      <c r="I65" s="56"/>
      <c r="J65" s="249"/>
      <c r="K65" s="164">
        <v>2</v>
      </c>
      <c r="L65" s="91"/>
      <c r="M65" s="92"/>
    </row>
    <row r="66" spans="1:13" s="45" customFormat="1" ht="8.5500000000000007" customHeight="1" x14ac:dyDescent="0.2">
      <c r="A66" s="98"/>
      <c r="B66" s="158"/>
      <c r="C66" s="158"/>
      <c r="D66" s="158"/>
      <c r="E66" s="158"/>
      <c r="F66" s="159"/>
      <c r="G66" s="166"/>
      <c r="H66" s="316"/>
      <c r="I66" s="57"/>
      <c r="J66" s="250"/>
      <c r="K66" s="165"/>
      <c r="L66" s="91"/>
      <c r="M66" s="92"/>
    </row>
    <row r="67" spans="1:13" s="45" customFormat="1" ht="8.5500000000000007" customHeight="1" x14ac:dyDescent="0.2">
      <c r="A67" s="98"/>
      <c r="B67" s="170" t="s">
        <v>1532</v>
      </c>
      <c r="C67" s="170"/>
      <c r="D67" s="170"/>
      <c r="E67" s="170"/>
      <c r="F67" s="170"/>
      <c r="G67" s="77"/>
      <c r="H67" s="77"/>
      <c r="I67" s="62"/>
      <c r="J67" s="115"/>
      <c r="K67" s="164"/>
      <c r="L67" s="91"/>
      <c r="M67" s="92"/>
    </row>
    <row r="68" spans="1:13" s="45" customFormat="1" ht="8.5500000000000007" customHeight="1" x14ac:dyDescent="0.2">
      <c r="A68" s="98"/>
      <c r="B68" s="171"/>
      <c r="C68" s="171"/>
      <c r="D68" s="171"/>
      <c r="E68" s="171"/>
      <c r="F68" s="171"/>
      <c r="G68" s="78"/>
      <c r="H68" s="78"/>
      <c r="I68" s="63"/>
      <c r="J68" s="116"/>
      <c r="K68" s="165"/>
      <c r="L68" s="91"/>
      <c r="M68" s="92"/>
    </row>
    <row r="69" spans="1:13" s="45" customFormat="1" ht="8.5500000000000007" customHeight="1" x14ac:dyDescent="0.2">
      <c r="A69" s="98"/>
      <c r="B69" s="156" t="s">
        <v>1486</v>
      </c>
      <c r="C69" s="156"/>
      <c r="D69" s="156"/>
      <c r="E69" s="156"/>
      <c r="F69" s="157"/>
      <c r="G69" s="166">
        <v>2009</v>
      </c>
      <c r="H69" s="267">
        <v>91</v>
      </c>
      <c r="I69" s="56"/>
      <c r="J69" s="249"/>
      <c r="K69" s="164">
        <v>2</v>
      </c>
      <c r="L69" s="91"/>
      <c r="M69" s="92"/>
    </row>
    <row r="70" spans="1:13" s="45" customFormat="1" ht="8.5500000000000007" customHeight="1" x14ac:dyDescent="0.2">
      <c r="A70" s="98"/>
      <c r="B70" s="158"/>
      <c r="C70" s="158"/>
      <c r="D70" s="158"/>
      <c r="E70" s="158"/>
      <c r="F70" s="159"/>
      <c r="G70" s="166"/>
      <c r="H70" s="316"/>
      <c r="I70" s="57"/>
      <c r="J70" s="250"/>
      <c r="K70" s="165"/>
      <c r="L70" s="91"/>
      <c r="M70" s="92"/>
    </row>
    <row r="71" spans="1:13" s="45" customFormat="1" ht="8.5500000000000007" customHeight="1" x14ac:dyDescent="0.2">
      <c r="A71" s="98"/>
      <c r="B71" s="156" t="s">
        <v>549</v>
      </c>
      <c r="C71" s="156"/>
      <c r="D71" s="156"/>
      <c r="E71" s="156"/>
      <c r="F71" s="157"/>
      <c r="G71" s="166">
        <v>2005</v>
      </c>
      <c r="H71" s="167">
        <v>86</v>
      </c>
      <c r="I71" s="160">
        <v>92</v>
      </c>
      <c r="J71" s="328"/>
      <c r="K71" s="164">
        <v>1</v>
      </c>
      <c r="L71" s="91"/>
      <c r="M71" s="92"/>
    </row>
    <row r="72" spans="1:13" s="45" customFormat="1" ht="8.5500000000000007" customHeight="1" x14ac:dyDescent="0.2">
      <c r="A72" s="98"/>
      <c r="B72" s="158"/>
      <c r="C72" s="158"/>
      <c r="D72" s="158"/>
      <c r="E72" s="158"/>
      <c r="F72" s="159"/>
      <c r="G72" s="166"/>
      <c r="H72" s="168"/>
      <c r="I72" s="161"/>
      <c r="J72" s="329"/>
      <c r="K72" s="165"/>
      <c r="L72" s="91"/>
      <c r="M72" s="92"/>
    </row>
    <row r="73" spans="1:13" s="45" customFormat="1" ht="8.5500000000000007" customHeight="1" x14ac:dyDescent="0.2">
      <c r="A73" s="98"/>
      <c r="B73" s="201" t="s">
        <v>549</v>
      </c>
      <c r="C73" s="201"/>
      <c r="D73" s="201"/>
      <c r="E73" s="201"/>
      <c r="F73" s="157"/>
      <c r="G73" s="189">
        <v>2006</v>
      </c>
      <c r="H73" s="167">
        <v>86</v>
      </c>
      <c r="I73" s="160">
        <v>90</v>
      </c>
      <c r="J73" s="334"/>
      <c r="K73" s="232">
        <v>4</v>
      </c>
      <c r="L73" s="91"/>
      <c r="M73" s="92"/>
    </row>
    <row r="74" spans="1:13" s="45" customFormat="1" ht="8.5500000000000007" customHeight="1" x14ac:dyDescent="0.2">
      <c r="A74" s="98"/>
      <c r="B74" s="158"/>
      <c r="C74" s="158"/>
      <c r="D74" s="158"/>
      <c r="E74" s="158"/>
      <c r="F74" s="159"/>
      <c r="G74" s="190"/>
      <c r="H74" s="168"/>
      <c r="I74" s="161"/>
      <c r="J74" s="335"/>
      <c r="K74" s="233"/>
      <c r="L74" s="91"/>
      <c r="M74" s="92"/>
    </row>
    <row r="75" spans="1:13" s="45" customFormat="1" ht="8.5500000000000007" customHeight="1" x14ac:dyDescent="0.2">
      <c r="A75" s="98"/>
      <c r="B75" s="156" t="s">
        <v>1307</v>
      </c>
      <c r="C75" s="156"/>
      <c r="D75" s="156"/>
      <c r="E75" s="156"/>
      <c r="F75" s="157"/>
      <c r="G75" s="166">
        <v>2009</v>
      </c>
      <c r="H75" s="267" t="s">
        <v>1568</v>
      </c>
      <c r="I75" s="56"/>
      <c r="J75" s="249" t="s">
        <v>1562</v>
      </c>
      <c r="K75" s="164">
        <v>1</v>
      </c>
      <c r="L75" s="91"/>
      <c r="M75" s="92"/>
    </row>
    <row r="76" spans="1:13" s="45" customFormat="1" ht="8.5500000000000007" customHeight="1" x14ac:dyDescent="0.2">
      <c r="A76" s="98"/>
      <c r="B76" s="158"/>
      <c r="C76" s="158"/>
      <c r="D76" s="158"/>
      <c r="E76" s="158"/>
      <c r="F76" s="159"/>
      <c r="G76" s="166"/>
      <c r="H76" s="316"/>
      <c r="I76" s="57"/>
      <c r="J76" s="250"/>
      <c r="K76" s="165"/>
      <c r="L76" s="91"/>
      <c r="M76" s="92"/>
    </row>
    <row r="77" spans="1:13" s="45" customFormat="1" ht="8.5500000000000007" customHeight="1" x14ac:dyDescent="0.2">
      <c r="A77" s="98"/>
      <c r="B77" s="156" t="s">
        <v>1453</v>
      </c>
      <c r="C77" s="156"/>
      <c r="D77" s="156"/>
      <c r="E77" s="156"/>
      <c r="F77" s="157"/>
      <c r="G77" s="166">
        <v>2017</v>
      </c>
      <c r="H77" s="267"/>
      <c r="I77" s="56"/>
      <c r="J77" s="249"/>
      <c r="K77" s="164">
        <v>1</v>
      </c>
      <c r="L77" s="91"/>
      <c r="M77" s="92"/>
    </row>
    <row r="78" spans="1:13" s="45" customFormat="1" ht="8.5500000000000007" customHeight="1" x14ac:dyDescent="0.2">
      <c r="A78" s="98"/>
      <c r="B78" s="158"/>
      <c r="C78" s="158"/>
      <c r="D78" s="158"/>
      <c r="E78" s="158"/>
      <c r="F78" s="159"/>
      <c r="G78" s="166"/>
      <c r="H78" s="316"/>
      <c r="I78" s="57"/>
      <c r="J78" s="250"/>
      <c r="K78" s="165"/>
      <c r="L78" s="91"/>
      <c r="M78" s="92"/>
    </row>
    <row r="79" spans="1:13" s="45" customFormat="1" ht="8.5500000000000007" customHeight="1" x14ac:dyDescent="0.2">
      <c r="A79" s="98"/>
      <c r="B79" s="201" t="s">
        <v>1999</v>
      </c>
      <c r="C79" s="201"/>
      <c r="D79" s="201"/>
      <c r="E79" s="201"/>
      <c r="F79" s="157"/>
      <c r="G79" s="189">
        <v>2018</v>
      </c>
      <c r="H79" s="167"/>
      <c r="I79" s="160"/>
      <c r="J79" s="255"/>
      <c r="K79" s="234">
        <v>2</v>
      </c>
      <c r="L79" s="91"/>
      <c r="M79" s="92"/>
    </row>
    <row r="80" spans="1:13" s="45" customFormat="1" ht="8.5500000000000007" customHeight="1" x14ac:dyDescent="0.2">
      <c r="A80" s="98"/>
      <c r="B80" s="158"/>
      <c r="C80" s="158"/>
      <c r="D80" s="158"/>
      <c r="E80" s="158"/>
      <c r="F80" s="159"/>
      <c r="G80" s="190"/>
      <c r="H80" s="168"/>
      <c r="I80" s="161"/>
      <c r="J80" s="256"/>
      <c r="K80" s="235"/>
      <c r="L80" s="91"/>
      <c r="M80" s="92"/>
    </row>
    <row r="81" spans="1:13" s="45" customFormat="1" ht="8.5500000000000007" customHeight="1" x14ac:dyDescent="0.2">
      <c r="A81" s="98"/>
      <c r="B81" s="170" t="s">
        <v>795</v>
      </c>
      <c r="C81" s="170"/>
      <c r="D81" s="170"/>
      <c r="E81" s="170"/>
      <c r="F81" s="170"/>
      <c r="G81" s="47"/>
      <c r="H81" s="47"/>
      <c r="I81" s="48"/>
      <c r="J81" s="104"/>
      <c r="K81" s="224">
        <v>16</v>
      </c>
      <c r="L81" s="230">
        <f>+K81</f>
        <v>16</v>
      </c>
      <c r="M81" s="92"/>
    </row>
    <row r="82" spans="1:13" s="45" customFormat="1" ht="8.5500000000000007" customHeight="1" x14ac:dyDescent="0.2">
      <c r="A82" s="98"/>
      <c r="B82" s="171"/>
      <c r="C82" s="171"/>
      <c r="D82" s="171"/>
      <c r="E82" s="171"/>
      <c r="F82" s="171"/>
      <c r="G82" s="54"/>
      <c r="H82" s="54"/>
      <c r="I82" s="49"/>
      <c r="J82" s="105"/>
      <c r="K82" s="225"/>
      <c r="L82" s="231"/>
      <c r="M82" s="92"/>
    </row>
    <row r="83" spans="1:13" s="45" customFormat="1" ht="8.5500000000000007" customHeight="1" x14ac:dyDescent="0.2">
      <c r="A83" s="98"/>
      <c r="B83" s="218" t="s">
        <v>89</v>
      </c>
      <c r="C83" s="218"/>
      <c r="D83" s="218"/>
      <c r="E83" s="218"/>
      <c r="F83" s="218"/>
      <c r="G83" s="47"/>
      <c r="H83" s="47"/>
      <c r="I83" s="48"/>
      <c r="J83" s="104"/>
      <c r="K83" s="222"/>
      <c r="L83" s="91"/>
      <c r="M83" s="92"/>
    </row>
    <row r="84" spans="1:13" s="45" customFormat="1" ht="8.5500000000000007" customHeight="1" x14ac:dyDescent="0.2">
      <c r="A84" s="98"/>
      <c r="B84" s="219"/>
      <c r="C84" s="219"/>
      <c r="D84" s="219"/>
      <c r="E84" s="219"/>
      <c r="F84" s="219"/>
      <c r="G84" s="54"/>
      <c r="H84" s="54"/>
      <c r="I84" s="49"/>
      <c r="J84" s="105"/>
      <c r="K84" s="165"/>
      <c r="L84" s="91"/>
      <c r="M84" s="92"/>
    </row>
    <row r="85" spans="1:13" s="45" customFormat="1" ht="8.5500000000000007" customHeight="1" x14ac:dyDescent="0.2">
      <c r="A85" s="98"/>
      <c r="B85" s="156" t="s">
        <v>898</v>
      </c>
      <c r="C85" s="156"/>
      <c r="D85" s="156"/>
      <c r="E85" s="156"/>
      <c r="F85" s="157"/>
      <c r="G85" s="166">
        <v>2002</v>
      </c>
      <c r="H85" s="167">
        <v>90</v>
      </c>
      <c r="I85" s="160"/>
      <c r="J85" s="328"/>
      <c r="K85" s="164">
        <v>1</v>
      </c>
      <c r="L85" s="91"/>
      <c r="M85" s="92"/>
    </row>
    <row r="86" spans="1:13" s="45" customFormat="1" ht="8.5500000000000007" customHeight="1" x14ac:dyDescent="0.2">
      <c r="A86" s="98"/>
      <c r="B86" s="158"/>
      <c r="C86" s="158"/>
      <c r="D86" s="158"/>
      <c r="E86" s="158"/>
      <c r="F86" s="159"/>
      <c r="G86" s="166"/>
      <c r="H86" s="168"/>
      <c r="I86" s="161"/>
      <c r="J86" s="329"/>
      <c r="K86" s="165"/>
      <c r="L86" s="91"/>
      <c r="M86" s="92"/>
    </row>
    <row r="87" spans="1:13" s="45" customFormat="1" ht="8.5500000000000007" customHeight="1" x14ac:dyDescent="0.2">
      <c r="A87" s="98"/>
      <c r="B87" s="156" t="s">
        <v>1155</v>
      </c>
      <c r="C87" s="156"/>
      <c r="D87" s="156"/>
      <c r="E87" s="156"/>
      <c r="F87" s="157"/>
      <c r="G87" s="166">
        <v>1996</v>
      </c>
      <c r="H87" s="167">
        <v>93</v>
      </c>
      <c r="I87" s="160"/>
      <c r="J87" s="328"/>
      <c r="K87" s="164">
        <v>1</v>
      </c>
      <c r="L87" s="91"/>
      <c r="M87" s="92"/>
    </row>
    <row r="88" spans="1:13" s="45" customFormat="1" ht="8.5500000000000007" customHeight="1" x14ac:dyDescent="0.2">
      <c r="A88" s="98"/>
      <c r="B88" s="158"/>
      <c r="C88" s="158"/>
      <c r="D88" s="158"/>
      <c r="E88" s="158"/>
      <c r="F88" s="159"/>
      <c r="G88" s="166"/>
      <c r="H88" s="168"/>
      <c r="I88" s="161"/>
      <c r="J88" s="329"/>
      <c r="K88" s="165"/>
      <c r="L88" s="91"/>
      <c r="M88" s="92"/>
    </row>
    <row r="89" spans="1:13" s="45" customFormat="1" ht="8.5500000000000007" customHeight="1" x14ac:dyDescent="0.2">
      <c r="A89" s="98"/>
      <c r="B89" s="156" t="s">
        <v>1155</v>
      </c>
      <c r="C89" s="156"/>
      <c r="D89" s="156"/>
      <c r="E89" s="156"/>
      <c r="F89" s="157"/>
      <c r="G89" s="166">
        <v>2004</v>
      </c>
      <c r="H89" s="167">
        <v>95</v>
      </c>
      <c r="I89" s="160"/>
      <c r="J89" s="328" t="s">
        <v>248</v>
      </c>
      <c r="K89" s="164">
        <v>1</v>
      </c>
      <c r="L89" s="91"/>
      <c r="M89" s="92"/>
    </row>
    <row r="90" spans="1:13" s="45" customFormat="1" ht="8.5500000000000007" customHeight="1" x14ac:dyDescent="0.2">
      <c r="A90" s="98"/>
      <c r="B90" s="158"/>
      <c r="C90" s="158"/>
      <c r="D90" s="158"/>
      <c r="E90" s="158"/>
      <c r="F90" s="159"/>
      <c r="G90" s="166"/>
      <c r="H90" s="168"/>
      <c r="I90" s="161"/>
      <c r="J90" s="329"/>
      <c r="K90" s="165"/>
      <c r="L90" s="91"/>
      <c r="M90" s="92"/>
    </row>
    <row r="91" spans="1:13" s="45" customFormat="1" ht="8.5500000000000007" customHeight="1" x14ac:dyDescent="0.2">
      <c r="A91" s="98"/>
      <c r="B91" s="156" t="s">
        <v>899</v>
      </c>
      <c r="C91" s="156"/>
      <c r="D91" s="156"/>
      <c r="E91" s="156"/>
      <c r="F91" s="157"/>
      <c r="G91" s="166">
        <v>2010</v>
      </c>
      <c r="H91" s="167">
        <v>90</v>
      </c>
      <c r="I91" s="160"/>
      <c r="J91" s="328" t="s">
        <v>1025</v>
      </c>
      <c r="K91" s="164">
        <v>1</v>
      </c>
      <c r="L91" s="91"/>
      <c r="M91" s="92"/>
    </row>
    <row r="92" spans="1:13" s="45" customFormat="1" ht="8.5500000000000007" customHeight="1" x14ac:dyDescent="0.2">
      <c r="A92" s="98"/>
      <c r="B92" s="158"/>
      <c r="C92" s="158"/>
      <c r="D92" s="158"/>
      <c r="E92" s="158"/>
      <c r="F92" s="159"/>
      <c r="G92" s="166"/>
      <c r="H92" s="168"/>
      <c r="I92" s="161"/>
      <c r="J92" s="329"/>
      <c r="K92" s="165"/>
      <c r="L92" s="91"/>
      <c r="M92" s="92"/>
    </row>
    <row r="93" spans="1:13" s="45" customFormat="1" ht="8.5500000000000007" customHeight="1" x14ac:dyDescent="0.2">
      <c r="A93" s="98"/>
      <c r="B93" s="156" t="s">
        <v>751</v>
      </c>
      <c r="C93" s="156"/>
      <c r="D93" s="156"/>
      <c r="E93" s="156"/>
      <c r="F93" s="157"/>
      <c r="G93" s="166">
        <v>1993</v>
      </c>
      <c r="H93" s="167">
        <v>98</v>
      </c>
      <c r="I93" s="160"/>
      <c r="J93" s="328"/>
      <c r="K93" s="164">
        <v>1</v>
      </c>
      <c r="L93" s="92"/>
      <c r="M93" s="92"/>
    </row>
    <row r="94" spans="1:13" s="45" customFormat="1" ht="8.5500000000000007" customHeight="1" x14ac:dyDescent="0.2">
      <c r="A94" s="98"/>
      <c r="B94" s="158"/>
      <c r="C94" s="158"/>
      <c r="D94" s="158"/>
      <c r="E94" s="158"/>
      <c r="F94" s="159"/>
      <c r="G94" s="166"/>
      <c r="H94" s="168"/>
      <c r="I94" s="161"/>
      <c r="J94" s="329"/>
      <c r="K94" s="165"/>
      <c r="L94" s="92"/>
      <c r="M94" s="92"/>
    </row>
    <row r="95" spans="1:13" s="45" customFormat="1" ht="8.5500000000000007" customHeight="1" x14ac:dyDescent="0.2">
      <c r="A95" s="98"/>
      <c r="B95" s="156" t="s">
        <v>751</v>
      </c>
      <c r="C95" s="156"/>
      <c r="D95" s="156"/>
      <c r="E95" s="156"/>
      <c r="F95" s="157"/>
      <c r="G95" s="166">
        <v>1994</v>
      </c>
      <c r="H95" s="167">
        <v>98</v>
      </c>
      <c r="I95" s="160"/>
      <c r="J95" s="328"/>
      <c r="K95" s="164">
        <v>1</v>
      </c>
      <c r="L95" s="92"/>
      <c r="M95" s="92"/>
    </row>
    <row r="96" spans="1:13" s="45" customFormat="1" ht="8.5500000000000007" customHeight="1" x14ac:dyDescent="0.2">
      <c r="A96" s="98"/>
      <c r="B96" s="158"/>
      <c r="C96" s="158"/>
      <c r="D96" s="158"/>
      <c r="E96" s="158"/>
      <c r="F96" s="159"/>
      <c r="G96" s="166"/>
      <c r="H96" s="168"/>
      <c r="I96" s="161"/>
      <c r="J96" s="329"/>
      <c r="K96" s="165"/>
      <c r="L96" s="92"/>
      <c r="M96" s="92"/>
    </row>
    <row r="97" spans="1:13" s="45" customFormat="1" ht="8.5500000000000007" customHeight="1" x14ac:dyDescent="0.2">
      <c r="A97" s="98"/>
      <c r="B97" s="156" t="s">
        <v>1067</v>
      </c>
      <c r="C97" s="156"/>
      <c r="D97" s="156"/>
      <c r="E97" s="156"/>
      <c r="F97" s="157"/>
      <c r="G97" s="166">
        <v>1995</v>
      </c>
      <c r="H97" s="167">
        <v>93</v>
      </c>
      <c r="I97" s="160"/>
      <c r="J97" s="328"/>
      <c r="K97" s="164">
        <v>1</v>
      </c>
      <c r="L97" s="92"/>
      <c r="M97" s="92"/>
    </row>
    <row r="98" spans="1:13" s="45" customFormat="1" ht="8.5500000000000007" customHeight="1" x14ac:dyDescent="0.2">
      <c r="A98" s="98"/>
      <c r="B98" s="158"/>
      <c r="C98" s="158"/>
      <c r="D98" s="158"/>
      <c r="E98" s="158"/>
      <c r="F98" s="159"/>
      <c r="G98" s="166"/>
      <c r="H98" s="168"/>
      <c r="I98" s="161"/>
      <c r="J98" s="329"/>
      <c r="K98" s="165"/>
      <c r="L98" s="92"/>
      <c r="M98" s="92"/>
    </row>
    <row r="99" spans="1:13" s="45" customFormat="1" ht="8.5500000000000007" customHeight="1" x14ac:dyDescent="0.2">
      <c r="A99" s="98"/>
      <c r="B99" s="156" t="s">
        <v>1068</v>
      </c>
      <c r="C99" s="156"/>
      <c r="D99" s="156"/>
      <c r="E99" s="156"/>
      <c r="F99" s="157"/>
      <c r="G99" s="166">
        <v>1995</v>
      </c>
      <c r="H99" s="167"/>
      <c r="I99" s="160"/>
      <c r="J99" s="328"/>
      <c r="K99" s="164">
        <v>1</v>
      </c>
      <c r="L99" s="92"/>
      <c r="M99" s="92"/>
    </row>
    <row r="100" spans="1:13" s="45" customFormat="1" ht="8.5500000000000007" customHeight="1" x14ac:dyDescent="0.2">
      <c r="A100" s="98"/>
      <c r="B100" s="158"/>
      <c r="C100" s="158"/>
      <c r="D100" s="158"/>
      <c r="E100" s="158"/>
      <c r="F100" s="159"/>
      <c r="G100" s="166"/>
      <c r="H100" s="168"/>
      <c r="I100" s="161"/>
      <c r="J100" s="329"/>
      <c r="K100" s="165"/>
      <c r="L100" s="92"/>
      <c r="M100" s="92"/>
    </row>
    <row r="101" spans="1:13" s="45" customFormat="1" ht="8.5500000000000007" customHeight="1" x14ac:dyDescent="0.2">
      <c r="A101" s="98"/>
      <c r="B101" s="156" t="s">
        <v>1570</v>
      </c>
      <c r="C101" s="156"/>
      <c r="D101" s="156"/>
      <c r="E101" s="156"/>
      <c r="F101" s="157"/>
      <c r="G101" s="166">
        <v>2004</v>
      </c>
      <c r="H101" s="167"/>
      <c r="I101" s="160"/>
      <c r="J101" s="328"/>
      <c r="K101" s="164">
        <v>1</v>
      </c>
      <c r="L101" s="92"/>
      <c r="M101" s="92"/>
    </row>
    <row r="102" spans="1:13" s="45" customFormat="1" ht="8.5500000000000007" customHeight="1" x14ac:dyDescent="0.2">
      <c r="A102" s="98"/>
      <c r="B102" s="158"/>
      <c r="C102" s="158"/>
      <c r="D102" s="158"/>
      <c r="E102" s="158"/>
      <c r="F102" s="159"/>
      <c r="G102" s="166"/>
      <c r="H102" s="168"/>
      <c r="I102" s="161"/>
      <c r="J102" s="329"/>
      <c r="K102" s="165"/>
      <c r="L102" s="92"/>
      <c r="M102" s="92"/>
    </row>
    <row r="103" spans="1:13" s="45" customFormat="1" ht="8.5500000000000007" customHeight="1" x14ac:dyDescent="0.2">
      <c r="A103" s="98"/>
      <c r="B103" s="156" t="s">
        <v>1069</v>
      </c>
      <c r="C103" s="156"/>
      <c r="D103" s="156"/>
      <c r="E103" s="156"/>
      <c r="F103" s="157"/>
      <c r="G103" s="166">
        <v>2011</v>
      </c>
      <c r="H103" s="330" t="s">
        <v>841</v>
      </c>
      <c r="I103" s="160"/>
      <c r="J103" s="328"/>
      <c r="K103" s="164">
        <v>1</v>
      </c>
      <c r="L103" s="92"/>
      <c r="M103" s="92"/>
    </row>
    <row r="104" spans="1:13" s="45" customFormat="1" ht="8.5500000000000007" customHeight="1" x14ac:dyDescent="0.2">
      <c r="A104" s="98"/>
      <c r="B104" s="158"/>
      <c r="C104" s="158"/>
      <c r="D104" s="158"/>
      <c r="E104" s="158"/>
      <c r="F104" s="159"/>
      <c r="G104" s="166"/>
      <c r="H104" s="331"/>
      <c r="I104" s="161"/>
      <c r="J104" s="329"/>
      <c r="K104" s="165"/>
      <c r="L104" s="92"/>
      <c r="M104" s="92"/>
    </row>
    <row r="105" spans="1:13" s="45" customFormat="1" ht="8.5500000000000007" customHeight="1" x14ac:dyDescent="0.2">
      <c r="A105" s="98"/>
      <c r="B105" s="156" t="s">
        <v>1069</v>
      </c>
      <c r="C105" s="156"/>
      <c r="D105" s="156"/>
      <c r="E105" s="156"/>
      <c r="F105" s="157"/>
      <c r="G105" s="166">
        <v>2014</v>
      </c>
      <c r="H105" s="167">
        <v>95</v>
      </c>
      <c r="I105" s="160"/>
      <c r="J105" s="328" t="s">
        <v>1563</v>
      </c>
      <c r="K105" s="164">
        <v>1</v>
      </c>
      <c r="L105" s="92"/>
      <c r="M105" s="92"/>
    </row>
    <row r="106" spans="1:13" s="45" customFormat="1" ht="8.5500000000000007" customHeight="1" x14ac:dyDescent="0.2">
      <c r="A106" s="98"/>
      <c r="B106" s="158"/>
      <c r="C106" s="158"/>
      <c r="D106" s="158"/>
      <c r="E106" s="158"/>
      <c r="F106" s="159"/>
      <c r="G106" s="166"/>
      <c r="H106" s="168"/>
      <c r="I106" s="161"/>
      <c r="J106" s="329"/>
      <c r="K106" s="165"/>
      <c r="L106" s="92"/>
      <c r="M106" s="92"/>
    </row>
    <row r="107" spans="1:13" s="45" customFormat="1" ht="8.5500000000000007" customHeight="1" x14ac:dyDescent="0.2">
      <c r="A107" s="98"/>
      <c r="B107" s="156" t="s">
        <v>1757</v>
      </c>
      <c r="C107" s="156"/>
      <c r="D107" s="156"/>
      <c r="E107" s="156"/>
      <c r="F107" s="157"/>
      <c r="G107" s="166">
        <v>2017</v>
      </c>
      <c r="H107" s="167">
        <v>93</v>
      </c>
      <c r="I107" s="160"/>
      <c r="J107" s="328" t="s">
        <v>1758</v>
      </c>
      <c r="K107" s="164">
        <v>1</v>
      </c>
      <c r="L107" s="92"/>
      <c r="M107" s="92"/>
    </row>
    <row r="108" spans="1:13" s="45" customFormat="1" ht="8.5500000000000007" customHeight="1" x14ac:dyDescent="0.2">
      <c r="A108" s="98"/>
      <c r="B108" s="158"/>
      <c r="C108" s="158"/>
      <c r="D108" s="158"/>
      <c r="E108" s="158"/>
      <c r="F108" s="159"/>
      <c r="G108" s="166"/>
      <c r="H108" s="168"/>
      <c r="I108" s="161"/>
      <c r="J108" s="329"/>
      <c r="K108" s="165"/>
      <c r="L108" s="92"/>
      <c r="M108" s="92"/>
    </row>
    <row r="109" spans="1:13" s="45" customFormat="1" ht="8.5500000000000007" customHeight="1" x14ac:dyDescent="0.2">
      <c r="A109" s="98"/>
      <c r="B109" s="156" t="s">
        <v>1062</v>
      </c>
      <c r="C109" s="156"/>
      <c r="D109" s="156"/>
      <c r="E109" s="156"/>
      <c r="F109" s="157"/>
      <c r="G109" s="166">
        <v>2009</v>
      </c>
      <c r="H109" s="167">
        <v>92</v>
      </c>
      <c r="I109" s="160"/>
      <c r="J109" s="328"/>
      <c r="K109" s="164">
        <v>1</v>
      </c>
      <c r="L109" s="92"/>
      <c r="M109" s="92"/>
    </row>
    <row r="110" spans="1:13" s="45" customFormat="1" ht="8.5500000000000007" customHeight="1" x14ac:dyDescent="0.2">
      <c r="A110" s="98"/>
      <c r="B110" s="158"/>
      <c r="C110" s="158"/>
      <c r="D110" s="158"/>
      <c r="E110" s="158"/>
      <c r="F110" s="159"/>
      <c r="G110" s="166"/>
      <c r="H110" s="168"/>
      <c r="I110" s="161"/>
      <c r="J110" s="329"/>
      <c r="K110" s="165"/>
      <c r="L110" s="92"/>
      <c r="M110" s="92"/>
    </row>
    <row r="111" spans="1:13" s="45" customFormat="1" ht="8.5500000000000007" customHeight="1" x14ac:dyDescent="0.2">
      <c r="A111" s="98"/>
      <c r="B111" s="156" t="s">
        <v>1061</v>
      </c>
      <c r="C111" s="156"/>
      <c r="D111" s="156"/>
      <c r="E111" s="156"/>
      <c r="F111" s="157"/>
      <c r="G111" s="166">
        <v>2009</v>
      </c>
      <c r="H111" s="167"/>
      <c r="I111" s="160"/>
      <c r="J111" s="328"/>
      <c r="K111" s="164">
        <v>4</v>
      </c>
      <c r="L111" s="92"/>
      <c r="M111" s="92"/>
    </row>
    <row r="112" spans="1:13" s="45" customFormat="1" ht="8.5500000000000007" customHeight="1" x14ac:dyDescent="0.2">
      <c r="A112" s="98"/>
      <c r="B112" s="158"/>
      <c r="C112" s="158"/>
      <c r="D112" s="158"/>
      <c r="E112" s="158"/>
      <c r="F112" s="159"/>
      <c r="G112" s="166"/>
      <c r="H112" s="168"/>
      <c r="I112" s="161"/>
      <c r="J112" s="329"/>
      <c r="K112" s="165"/>
      <c r="L112" s="92"/>
      <c r="M112" s="92"/>
    </row>
    <row r="113" spans="1:13" s="45" customFormat="1" ht="8.5500000000000007" customHeight="1" x14ac:dyDescent="0.2">
      <c r="A113" s="98"/>
      <c r="B113" s="156" t="s">
        <v>1851</v>
      </c>
      <c r="C113" s="156"/>
      <c r="D113" s="156"/>
      <c r="E113" s="156"/>
      <c r="F113" s="157"/>
      <c r="G113" s="166">
        <v>2020</v>
      </c>
      <c r="H113" s="167"/>
      <c r="I113" s="160"/>
      <c r="J113" s="328"/>
      <c r="K113" s="164">
        <v>2</v>
      </c>
      <c r="L113" s="92"/>
      <c r="M113" s="92"/>
    </row>
    <row r="114" spans="1:13" s="45" customFormat="1" ht="8.5500000000000007" customHeight="1" x14ac:dyDescent="0.2">
      <c r="A114" s="98"/>
      <c r="B114" s="158"/>
      <c r="C114" s="158"/>
      <c r="D114" s="158"/>
      <c r="E114" s="158"/>
      <c r="F114" s="159"/>
      <c r="G114" s="166"/>
      <c r="H114" s="168"/>
      <c r="I114" s="161"/>
      <c r="J114" s="329"/>
      <c r="K114" s="165"/>
      <c r="L114" s="92"/>
      <c r="M114" s="92"/>
    </row>
    <row r="115" spans="1:13" s="45" customFormat="1" ht="8.5500000000000007" customHeight="1" x14ac:dyDescent="0.2">
      <c r="A115" s="98"/>
      <c r="B115" s="156" t="s">
        <v>1850</v>
      </c>
      <c r="C115" s="156"/>
      <c r="D115" s="156"/>
      <c r="E115" s="156"/>
      <c r="F115" s="157"/>
      <c r="G115" s="166">
        <v>2020</v>
      </c>
      <c r="H115" s="167"/>
      <c r="I115" s="160"/>
      <c r="J115" s="328"/>
      <c r="K115" s="164">
        <v>2</v>
      </c>
      <c r="L115" s="92"/>
      <c r="M115" s="92"/>
    </row>
    <row r="116" spans="1:13" s="45" customFormat="1" ht="8.5500000000000007" customHeight="1" x14ac:dyDescent="0.2">
      <c r="A116" s="98"/>
      <c r="B116" s="158"/>
      <c r="C116" s="158"/>
      <c r="D116" s="158"/>
      <c r="E116" s="158"/>
      <c r="F116" s="159"/>
      <c r="G116" s="166"/>
      <c r="H116" s="168"/>
      <c r="I116" s="161"/>
      <c r="J116" s="329"/>
      <c r="K116" s="165"/>
      <c r="L116" s="92"/>
      <c r="M116" s="92"/>
    </row>
    <row r="117" spans="1:13" s="45" customFormat="1" ht="8.5500000000000007" customHeight="1" x14ac:dyDescent="0.2">
      <c r="A117" s="98"/>
      <c r="B117" s="170" t="s">
        <v>796</v>
      </c>
      <c r="C117" s="170"/>
      <c r="D117" s="170"/>
      <c r="E117" s="170"/>
      <c r="F117" s="170"/>
      <c r="G117" s="47"/>
      <c r="H117" s="47"/>
      <c r="I117" s="48"/>
      <c r="J117" s="104"/>
      <c r="K117" s="224">
        <v>21</v>
      </c>
      <c r="L117" s="230">
        <f>+K117</f>
        <v>21</v>
      </c>
      <c r="M117" s="92"/>
    </row>
    <row r="118" spans="1:13" s="45" customFormat="1" ht="8.5500000000000007" customHeight="1" x14ac:dyDescent="0.2">
      <c r="A118" s="98"/>
      <c r="B118" s="171"/>
      <c r="C118" s="171"/>
      <c r="D118" s="171"/>
      <c r="E118" s="171"/>
      <c r="F118" s="171"/>
      <c r="G118" s="54"/>
      <c r="H118" s="54"/>
      <c r="I118" s="49"/>
      <c r="J118" s="105"/>
      <c r="K118" s="225"/>
      <c r="L118" s="231"/>
      <c r="M118" s="92"/>
    </row>
    <row r="119" spans="1:13" s="45" customFormat="1" ht="8.5500000000000007" customHeight="1" x14ac:dyDescent="0.2">
      <c r="A119" s="98"/>
      <c r="B119" s="218" t="s">
        <v>1722</v>
      </c>
      <c r="C119" s="218"/>
      <c r="D119" s="218"/>
      <c r="E119" s="218"/>
      <c r="F119" s="218"/>
      <c r="G119" s="77"/>
      <c r="H119" s="77"/>
      <c r="I119" s="62"/>
      <c r="J119" s="115"/>
      <c r="K119" s="164"/>
      <c r="L119" s="91"/>
      <c r="M119" s="92"/>
    </row>
    <row r="120" spans="1:13" s="45" customFormat="1" ht="8.5500000000000007" customHeight="1" x14ac:dyDescent="0.2">
      <c r="A120" s="98"/>
      <c r="B120" s="219"/>
      <c r="C120" s="219"/>
      <c r="D120" s="219"/>
      <c r="E120" s="219"/>
      <c r="F120" s="219"/>
      <c r="G120" s="78"/>
      <c r="H120" s="78"/>
      <c r="I120" s="63"/>
      <c r="J120" s="116"/>
      <c r="K120" s="165"/>
      <c r="L120" s="91"/>
      <c r="M120" s="92"/>
    </row>
    <row r="121" spans="1:13" s="45" customFormat="1" ht="8.5500000000000007" customHeight="1" x14ac:dyDescent="0.2">
      <c r="A121" s="98"/>
      <c r="B121" s="156" t="s">
        <v>1448</v>
      </c>
      <c r="C121" s="156"/>
      <c r="D121" s="156"/>
      <c r="E121" s="156"/>
      <c r="F121" s="157"/>
      <c r="G121" s="166">
        <v>1978</v>
      </c>
      <c r="H121" s="167"/>
      <c r="I121" s="160"/>
      <c r="J121" s="328"/>
      <c r="K121" s="164">
        <v>2</v>
      </c>
      <c r="L121" s="92"/>
      <c r="M121" s="92"/>
    </row>
    <row r="122" spans="1:13" s="45" customFormat="1" ht="8.5500000000000007" customHeight="1" x14ac:dyDescent="0.2">
      <c r="A122" s="98"/>
      <c r="B122" s="158"/>
      <c r="C122" s="158"/>
      <c r="D122" s="158"/>
      <c r="E122" s="158"/>
      <c r="F122" s="159"/>
      <c r="G122" s="166"/>
      <c r="H122" s="168"/>
      <c r="I122" s="161"/>
      <c r="J122" s="329"/>
      <c r="K122" s="165"/>
      <c r="L122" s="92"/>
      <c r="M122" s="92"/>
    </row>
    <row r="123" spans="1:13" s="45" customFormat="1" ht="8.5500000000000007" customHeight="1" x14ac:dyDescent="0.2">
      <c r="A123" s="98"/>
      <c r="B123" s="170" t="s">
        <v>1855</v>
      </c>
      <c r="C123" s="170"/>
      <c r="D123" s="170"/>
      <c r="E123" s="170"/>
      <c r="F123" s="170"/>
      <c r="G123" s="77"/>
      <c r="H123" s="77"/>
      <c r="I123" s="62"/>
      <c r="J123" s="115"/>
      <c r="K123" s="164"/>
      <c r="L123" s="91"/>
      <c r="M123" s="92"/>
    </row>
    <row r="124" spans="1:13" s="45" customFormat="1" ht="8.5500000000000007" customHeight="1" x14ac:dyDescent="0.2">
      <c r="A124" s="98"/>
      <c r="B124" s="171"/>
      <c r="C124" s="171"/>
      <c r="D124" s="171"/>
      <c r="E124" s="171"/>
      <c r="F124" s="171"/>
      <c r="G124" s="78"/>
      <c r="H124" s="78"/>
      <c r="I124" s="63"/>
      <c r="J124" s="116"/>
      <c r="K124" s="165"/>
      <c r="L124" s="91"/>
      <c r="M124" s="92"/>
    </row>
    <row r="125" spans="1:13" s="45" customFormat="1" ht="8.5500000000000007" customHeight="1" x14ac:dyDescent="0.2">
      <c r="A125" s="98"/>
      <c r="B125" s="156" t="s">
        <v>1779</v>
      </c>
      <c r="C125" s="156"/>
      <c r="D125" s="156"/>
      <c r="E125" s="156"/>
      <c r="F125" s="157"/>
      <c r="G125" s="166">
        <v>2011</v>
      </c>
      <c r="H125" s="167"/>
      <c r="I125" s="160"/>
      <c r="J125" s="328"/>
      <c r="K125" s="164">
        <v>1</v>
      </c>
      <c r="L125" s="92"/>
      <c r="M125" s="92"/>
    </row>
    <row r="126" spans="1:13" s="45" customFormat="1" ht="8.5500000000000007" customHeight="1" x14ac:dyDescent="0.2">
      <c r="A126" s="98"/>
      <c r="B126" s="158"/>
      <c r="C126" s="158"/>
      <c r="D126" s="158"/>
      <c r="E126" s="158"/>
      <c r="F126" s="159"/>
      <c r="G126" s="166"/>
      <c r="H126" s="168"/>
      <c r="I126" s="161"/>
      <c r="J126" s="329"/>
      <c r="K126" s="165"/>
      <c r="L126" s="92"/>
      <c r="M126" s="92"/>
    </row>
    <row r="127" spans="1:13" s="45" customFormat="1" ht="8.5500000000000007" customHeight="1" x14ac:dyDescent="0.2">
      <c r="A127" s="98"/>
      <c r="B127" s="172" t="s">
        <v>1723</v>
      </c>
      <c r="C127" s="172"/>
      <c r="D127" s="172"/>
      <c r="E127" s="172"/>
      <c r="F127" s="173"/>
      <c r="G127" s="196">
        <v>2002</v>
      </c>
      <c r="H127" s="312"/>
      <c r="I127" s="130"/>
      <c r="J127" s="314"/>
      <c r="K127" s="228">
        <v>3</v>
      </c>
      <c r="L127" s="91"/>
      <c r="M127" s="92"/>
    </row>
    <row r="128" spans="1:13" s="45" customFormat="1" ht="8.5500000000000007" customHeight="1" x14ac:dyDescent="0.2">
      <c r="A128" s="98"/>
      <c r="B128" s="174"/>
      <c r="C128" s="174"/>
      <c r="D128" s="174"/>
      <c r="E128" s="174"/>
      <c r="F128" s="175"/>
      <c r="G128" s="196"/>
      <c r="H128" s="313"/>
      <c r="I128" s="131"/>
      <c r="J128" s="315"/>
      <c r="K128" s="229"/>
      <c r="L128" s="91"/>
      <c r="M128" s="92"/>
    </row>
    <row r="129" spans="1:13" s="45" customFormat="1" ht="8.5500000000000007" customHeight="1" x14ac:dyDescent="0.2">
      <c r="A129" s="98"/>
      <c r="B129" s="170" t="s">
        <v>1736</v>
      </c>
      <c r="C129" s="170"/>
      <c r="D129" s="170"/>
      <c r="E129" s="170"/>
      <c r="F129" s="170"/>
      <c r="G129" s="47"/>
      <c r="H129" s="47"/>
      <c r="I129" s="48"/>
      <c r="J129" s="104"/>
      <c r="K129" s="224">
        <v>6</v>
      </c>
      <c r="L129" s="230">
        <f>+K129</f>
        <v>6</v>
      </c>
      <c r="M129" s="92"/>
    </row>
    <row r="130" spans="1:13" s="45" customFormat="1" ht="8.5500000000000007" customHeight="1" x14ac:dyDescent="0.2">
      <c r="A130" s="98"/>
      <c r="B130" s="171"/>
      <c r="C130" s="171"/>
      <c r="D130" s="171"/>
      <c r="E130" s="171"/>
      <c r="F130" s="171"/>
      <c r="G130" s="54"/>
      <c r="H130" s="54"/>
      <c r="I130" s="49"/>
      <c r="J130" s="105"/>
      <c r="K130" s="225"/>
      <c r="L130" s="231"/>
      <c r="M130" s="92"/>
    </row>
    <row r="131" spans="1:13" s="45" customFormat="1" ht="8.5500000000000007" customHeight="1" x14ac:dyDescent="0.2">
      <c r="A131" s="98"/>
      <c r="B131" s="170" t="s">
        <v>1031</v>
      </c>
      <c r="C131" s="170"/>
      <c r="D131" s="170"/>
      <c r="E131" s="170"/>
      <c r="F131" s="170"/>
      <c r="G131" s="47"/>
      <c r="H131" s="47"/>
      <c r="I131" s="48"/>
      <c r="J131" s="104"/>
      <c r="K131" s="224">
        <v>72</v>
      </c>
      <c r="L131" s="230">
        <f>SUM(L11:L130)</f>
        <v>72</v>
      </c>
      <c r="M131" s="92"/>
    </row>
    <row r="132" spans="1:13" s="45" customFormat="1" ht="8.5500000000000007" customHeight="1" x14ac:dyDescent="0.2">
      <c r="A132" s="98"/>
      <c r="B132" s="171"/>
      <c r="C132" s="171"/>
      <c r="D132" s="171"/>
      <c r="E132" s="171"/>
      <c r="F132" s="171"/>
      <c r="G132" s="54"/>
      <c r="H132" s="54"/>
      <c r="I132" s="49"/>
      <c r="J132" s="105"/>
      <c r="K132" s="225"/>
      <c r="L132" s="231"/>
      <c r="M132" s="92"/>
    </row>
    <row r="133" spans="1:13" s="45" customFormat="1" ht="8.5500000000000007" customHeight="1" x14ac:dyDescent="0.2">
      <c r="A133" s="98"/>
      <c r="B133" s="170"/>
      <c r="C133" s="170"/>
      <c r="D133" s="170"/>
      <c r="E133" s="170"/>
      <c r="F133" s="170"/>
      <c r="G133" s="307"/>
      <c r="H133" s="304"/>
      <c r="I133" s="305"/>
      <c r="J133" s="302"/>
      <c r="K133" s="311"/>
      <c r="L133" s="91"/>
      <c r="M133" s="92"/>
    </row>
    <row r="134" spans="1:13" s="45" customFormat="1" ht="8.5500000000000007" customHeight="1" x14ac:dyDescent="0.2">
      <c r="A134" s="98"/>
      <c r="B134" s="171"/>
      <c r="C134" s="171"/>
      <c r="D134" s="171"/>
      <c r="E134" s="171"/>
      <c r="F134" s="171"/>
      <c r="G134" s="307"/>
      <c r="H134" s="303"/>
      <c r="I134" s="306"/>
      <c r="J134" s="303"/>
      <c r="K134" s="311"/>
      <c r="L134" s="91"/>
      <c r="M134" s="92"/>
    </row>
    <row r="135" spans="1:13" ht="8.5500000000000007" customHeight="1" x14ac:dyDescent="0.25">
      <c r="B135" s="31"/>
      <c r="C135" s="31"/>
      <c r="D135" s="31"/>
      <c r="E135" s="31"/>
      <c r="F135" s="31"/>
      <c r="G135" s="32"/>
      <c r="H135" s="29"/>
      <c r="I135" s="33"/>
      <c r="J135" s="29"/>
      <c r="L135" s="230">
        <f>SUM(K11:K130)-L131</f>
        <v>72</v>
      </c>
    </row>
    <row r="136" spans="1:13" ht="16.2" x14ac:dyDescent="0.25">
      <c r="B136" s="3"/>
      <c r="L136" s="231"/>
    </row>
    <row r="137" spans="1:13" ht="16.2" x14ac:dyDescent="0.25">
      <c r="A137" s="8"/>
      <c r="B137" s="3"/>
      <c r="L137" s="1"/>
      <c r="M137" s="1"/>
    </row>
  </sheetData>
  <mergeCells count="334">
    <mergeCell ref="B55:F56"/>
    <mergeCell ref="G55:G56"/>
    <mergeCell ref="H55:H56"/>
    <mergeCell ref="I55:I56"/>
    <mergeCell ref="J55:J56"/>
    <mergeCell ref="K55:K56"/>
    <mergeCell ref="B121:F122"/>
    <mergeCell ref="G121:G122"/>
    <mergeCell ref="H121:H122"/>
    <mergeCell ref="I121:I122"/>
    <mergeCell ref="J121:J122"/>
    <mergeCell ref="K121:K122"/>
    <mergeCell ref="B119:F120"/>
    <mergeCell ref="K119:K120"/>
    <mergeCell ref="B75:F76"/>
    <mergeCell ref="G75:G76"/>
    <mergeCell ref="H75:H76"/>
    <mergeCell ref="J75:J76"/>
    <mergeCell ref="K75:K76"/>
    <mergeCell ref="B115:F116"/>
    <mergeCell ref="G115:G116"/>
    <mergeCell ref="B101:F102"/>
    <mergeCell ref="G101:G102"/>
    <mergeCell ref="H101:H102"/>
    <mergeCell ref="I101:I102"/>
    <mergeCell ref="J101:J102"/>
    <mergeCell ref="K101:K102"/>
    <mergeCell ref="B97:F98"/>
    <mergeCell ref="J99:J100"/>
    <mergeCell ref="K99:K100"/>
    <mergeCell ref="K97:K98"/>
    <mergeCell ref="B99:F100"/>
    <mergeCell ref="G99:G100"/>
    <mergeCell ref="H99:H100"/>
    <mergeCell ref="I99:I100"/>
    <mergeCell ref="G97:G98"/>
    <mergeCell ref="B93:F94"/>
    <mergeCell ref="G93:G94"/>
    <mergeCell ref="H93:H94"/>
    <mergeCell ref="K95:K96"/>
    <mergeCell ref="B95:F96"/>
    <mergeCell ref="G95:G96"/>
    <mergeCell ref="B91:F92"/>
    <mergeCell ref="G91:G92"/>
    <mergeCell ref="I93:I94"/>
    <mergeCell ref="J93:J94"/>
    <mergeCell ref="K93:K94"/>
    <mergeCell ref="B87:F88"/>
    <mergeCell ref="G87:G88"/>
    <mergeCell ref="H87:H88"/>
    <mergeCell ref="I87:I88"/>
    <mergeCell ref="J87:J88"/>
    <mergeCell ref="K87:K88"/>
    <mergeCell ref="K91:K92"/>
    <mergeCell ref="H91:H92"/>
    <mergeCell ref="I91:I92"/>
    <mergeCell ref="J91:J92"/>
    <mergeCell ref="I89:I90"/>
    <mergeCell ref="J89:J90"/>
    <mergeCell ref="K89:K90"/>
    <mergeCell ref="B89:F90"/>
    <mergeCell ref="G89:G90"/>
    <mergeCell ref="H89:H90"/>
    <mergeCell ref="B79:F80"/>
    <mergeCell ref="G79:G80"/>
    <mergeCell ref="H79:H80"/>
    <mergeCell ref="J79:J80"/>
    <mergeCell ref="K79:K80"/>
    <mergeCell ref="K133:K134"/>
    <mergeCell ref="L135:L136"/>
    <mergeCell ref="B133:F134"/>
    <mergeCell ref="G133:G134"/>
    <mergeCell ref="H133:H134"/>
    <mergeCell ref="I133:I134"/>
    <mergeCell ref="J133:J134"/>
    <mergeCell ref="B129:F130"/>
    <mergeCell ref="K129:K130"/>
    <mergeCell ref="H95:H96"/>
    <mergeCell ref="I95:I96"/>
    <mergeCell ref="J95:J96"/>
    <mergeCell ref="H97:H98"/>
    <mergeCell ref="I97:I98"/>
    <mergeCell ref="J97:J98"/>
    <mergeCell ref="L129:L130"/>
    <mergeCell ref="B131:F132"/>
    <mergeCell ref="K131:K132"/>
    <mergeCell ref="L131:L132"/>
    <mergeCell ref="B125:F126"/>
    <mergeCell ref="G125:G126"/>
    <mergeCell ref="H125:H126"/>
    <mergeCell ref="I125:I126"/>
    <mergeCell ref="J125:J126"/>
    <mergeCell ref="K125:K126"/>
    <mergeCell ref="B127:F128"/>
    <mergeCell ref="G127:G128"/>
    <mergeCell ref="H127:H128"/>
    <mergeCell ref="J127:J128"/>
    <mergeCell ref="K127:K128"/>
    <mergeCell ref="B123:F124"/>
    <mergeCell ref="K123:K124"/>
    <mergeCell ref="L81:L82"/>
    <mergeCell ref="B83:F84"/>
    <mergeCell ref="K83:K84"/>
    <mergeCell ref="B85:F86"/>
    <mergeCell ref="G85:G86"/>
    <mergeCell ref="H85:H86"/>
    <mergeCell ref="I85:I86"/>
    <mergeCell ref="J85:J86"/>
    <mergeCell ref="K85:K86"/>
    <mergeCell ref="B81:F82"/>
    <mergeCell ref="K81:K82"/>
    <mergeCell ref="J107:J108"/>
    <mergeCell ref="K107:K108"/>
    <mergeCell ref="B105:F106"/>
    <mergeCell ref="G105:G106"/>
    <mergeCell ref="H105:H106"/>
    <mergeCell ref="I105:I106"/>
    <mergeCell ref="J105:J106"/>
    <mergeCell ref="K105:K106"/>
    <mergeCell ref="L117:L118"/>
    <mergeCell ref="B109:F110"/>
    <mergeCell ref="G109:G110"/>
    <mergeCell ref="L59:L60"/>
    <mergeCell ref="B61:F62"/>
    <mergeCell ref="K61:K62"/>
    <mergeCell ref="K73:K74"/>
    <mergeCell ref="B71:F72"/>
    <mergeCell ref="G71:G72"/>
    <mergeCell ref="H71:H72"/>
    <mergeCell ref="I71:I72"/>
    <mergeCell ref="J71:J72"/>
    <mergeCell ref="K71:K72"/>
    <mergeCell ref="B59:F60"/>
    <mergeCell ref="K59:K60"/>
    <mergeCell ref="B73:F74"/>
    <mergeCell ref="G73:G74"/>
    <mergeCell ref="H73:H74"/>
    <mergeCell ref="I73:I74"/>
    <mergeCell ref="J73:J74"/>
    <mergeCell ref="K63:K64"/>
    <mergeCell ref="B63:F64"/>
    <mergeCell ref="G63:G64"/>
    <mergeCell ref="H63:H64"/>
    <mergeCell ref="J63:J64"/>
    <mergeCell ref="B65:F66"/>
    <mergeCell ref="G65:G66"/>
    <mergeCell ref="K51:K52"/>
    <mergeCell ref="B53:F54"/>
    <mergeCell ref="G53:G54"/>
    <mergeCell ref="H53:H54"/>
    <mergeCell ref="I53:I54"/>
    <mergeCell ref="J53:J54"/>
    <mergeCell ref="K53:K54"/>
    <mergeCell ref="B51:F52"/>
    <mergeCell ref="G51:G52"/>
    <mergeCell ref="H51:H52"/>
    <mergeCell ref="I51:I52"/>
    <mergeCell ref="J51:J52"/>
    <mergeCell ref="I57:I58"/>
    <mergeCell ref="J57:J58"/>
    <mergeCell ref="K57:K58"/>
    <mergeCell ref="B57:F58"/>
    <mergeCell ref="G57:G58"/>
    <mergeCell ref="H57:H58"/>
    <mergeCell ref="K45:K46"/>
    <mergeCell ref="B49:F50"/>
    <mergeCell ref="G49:G50"/>
    <mergeCell ref="H49:H50"/>
    <mergeCell ref="I49:I50"/>
    <mergeCell ref="J49:J50"/>
    <mergeCell ref="K49:K50"/>
    <mergeCell ref="B45:F46"/>
    <mergeCell ref="G45:G46"/>
    <mergeCell ref="H45:H46"/>
    <mergeCell ref="I45:I46"/>
    <mergeCell ref="J45:J46"/>
    <mergeCell ref="B47:F48"/>
    <mergeCell ref="G47:G48"/>
    <mergeCell ref="H47:H48"/>
    <mergeCell ref="I47:I48"/>
    <mergeCell ref="J47:J48"/>
    <mergeCell ref="K47:K48"/>
    <mergeCell ref="B43:F44"/>
    <mergeCell ref="G43:G44"/>
    <mergeCell ref="H43:H44"/>
    <mergeCell ref="I43:I44"/>
    <mergeCell ref="J43:J44"/>
    <mergeCell ref="K43:K44"/>
    <mergeCell ref="K37:K38"/>
    <mergeCell ref="B41:F42"/>
    <mergeCell ref="G41:G42"/>
    <mergeCell ref="H41:H42"/>
    <mergeCell ref="I41:I42"/>
    <mergeCell ref="J41:J42"/>
    <mergeCell ref="K41:K42"/>
    <mergeCell ref="B37:F38"/>
    <mergeCell ref="G37:G38"/>
    <mergeCell ref="H37:H38"/>
    <mergeCell ref="I37:I38"/>
    <mergeCell ref="J37:J38"/>
    <mergeCell ref="B39:F40"/>
    <mergeCell ref="G39:G40"/>
    <mergeCell ref="H39:H40"/>
    <mergeCell ref="I39:I40"/>
    <mergeCell ref="J39:J40"/>
    <mergeCell ref="K39:K40"/>
    <mergeCell ref="G35:G36"/>
    <mergeCell ref="H35:H36"/>
    <mergeCell ref="I35:I36"/>
    <mergeCell ref="J35:J36"/>
    <mergeCell ref="K35:K36"/>
    <mergeCell ref="B33:F34"/>
    <mergeCell ref="G33:G34"/>
    <mergeCell ref="H33:H34"/>
    <mergeCell ref="I33:I34"/>
    <mergeCell ref="J33:J34"/>
    <mergeCell ref="K33:K34"/>
    <mergeCell ref="B35:F36"/>
    <mergeCell ref="B25:F26"/>
    <mergeCell ref="G25:G26"/>
    <mergeCell ref="H25:H26"/>
    <mergeCell ref="I25:I26"/>
    <mergeCell ref="J25:J26"/>
    <mergeCell ref="K25:K26"/>
    <mergeCell ref="B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B19:F20"/>
    <mergeCell ref="G19:G20"/>
    <mergeCell ref="H19:H20"/>
    <mergeCell ref="I19:I20"/>
    <mergeCell ref="J19:J20"/>
    <mergeCell ref="K19:K20"/>
    <mergeCell ref="B21:F22"/>
    <mergeCell ref="C3:J5"/>
    <mergeCell ref="D6:J7"/>
    <mergeCell ref="B9:F10"/>
    <mergeCell ref="G9:G10"/>
    <mergeCell ref="H9:H10"/>
    <mergeCell ref="I9:I10"/>
    <mergeCell ref="K13:K14"/>
    <mergeCell ref="B13:F14"/>
    <mergeCell ref="G13:G14"/>
    <mergeCell ref="H13:H14"/>
    <mergeCell ref="I13:I14"/>
    <mergeCell ref="J13:J14"/>
    <mergeCell ref="K9:K10"/>
    <mergeCell ref="B11:F12"/>
    <mergeCell ref="K15:K16"/>
    <mergeCell ref="B17:F18"/>
    <mergeCell ref="G17:G18"/>
    <mergeCell ref="H17:H18"/>
    <mergeCell ref="I17:I18"/>
    <mergeCell ref="J17:J18"/>
    <mergeCell ref="K17:K18"/>
    <mergeCell ref="B15:F16"/>
    <mergeCell ref="G15:G16"/>
    <mergeCell ref="H15:H16"/>
    <mergeCell ref="I15:I16"/>
    <mergeCell ref="J15:J16"/>
    <mergeCell ref="B27:F28"/>
    <mergeCell ref="G27:G28"/>
    <mergeCell ref="H27:H28"/>
    <mergeCell ref="I27:I28"/>
    <mergeCell ref="J27:J28"/>
    <mergeCell ref="K27:K28"/>
    <mergeCell ref="K29:K30"/>
    <mergeCell ref="B31:F32"/>
    <mergeCell ref="G31:G32"/>
    <mergeCell ref="H31:H32"/>
    <mergeCell ref="I31:I32"/>
    <mergeCell ref="J31:J32"/>
    <mergeCell ref="K31:K32"/>
    <mergeCell ref="B29:F30"/>
    <mergeCell ref="G29:G30"/>
    <mergeCell ref="H29:H30"/>
    <mergeCell ref="I29:I30"/>
    <mergeCell ref="J29:J30"/>
    <mergeCell ref="H65:H66"/>
    <mergeCell ref="J65:J66"/>
    <mergeCell ref="K65:K66"/>
    <mergeCell ref="B69:F70"/>
    <mergeCell ref="G69:G70"/>
    <mergeCell ref="H69:H70"/>
    <mergeCell ref="J69:J70"/>
    <mergeCell ref="K69:K70"/>
    <mergeCell ref="B67:F68"/>
    <mergeCell ref="K67:K68"/>
    <mergeCell ref="H109:H110"/>
    <mergeCell ref="I109:I110"/>
    <mergeCell ref="J109:J110"/>
    <mergeCell ref="K109:K110"/>
    <mergeCell ref="B103:F104"/>
    <mergeCell ref="B113:F114"/>
    <mergeCell ref="G113:G114"/>
    <mergeCell ref="H113:H114"/>
    <mergeCell ref="I113:I114"/>
    <mergeCell ref="J113:J114"/>
    <mergeCell ref="K113:K114"/>
    <mergeCell ref="G107:G108"/>
    <mergeCell ref="H107:H108"/>
    <mergeCell ref="I107:I108"/>
    <mergeCell ref="B117:F118"/>
    <mergeCell ref="K117:K118"/>
    <mergeCell ref="H115:H116"/>
    <mergeCell ref="I115:I116"/>
    <mergeCell ref="J115:J116"/>
    <mergeCell ref="K115:K116"/>
    <mergeCell ref="B77:F78"/>
    <mergeCell ref="G77:G78"/>
    <mergeCell ref="H77:H78"/>
    <mergeCell ref="J77:J78"/>
    <mergeCell ref="K77:K78"/>
    <mergeCell ref="I79:I80"/>
    <mergeCell ref="B111:F112"/>
    <mergeCell ref="G111:G112"/>
    <mergeCell ref="H111:H112"/>
    <mergeCell ref="I111:I112"/>
    <mergeCell ref="J111:J112"/>
    <mergeCell ref="K111:K112"/>
    <mergeCell ref="G103:G104"/>
    <mergeCell ref="H103:H104"/>
    <mergeCell ref="I103:I104"/>
    <mergeCell ref="J103:J104"/>
    <mergeCell ref="K103:K104"/>
    <mergeCell ref="B107:F108"/>
  </mergeCells>
  <printOptions horizontalCentered="1"/>
  <pageMargins left="0" right="0" top="0.51181102362204722" bottom="0.23622047244094491" header="0" footer="0"/>
  <pageSetup paperSize="9" scale="95" fitToWidth="0" fitToHeight="0" orientation="portrait" r:id="rId1"/>
  <headerFooter>
    <oddFooter>&amp;L&amp;D&amp;R&amp;P/&amp;N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8"/>
  <dimension ref="A1:N1020"/>
  <sheetViews>
    <sheetView showGridLines="0" view="pageBreakPreview" topLeftCell="A864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9.109375" style="89"/>
    <col min="13" max="13" width="9.109375" style="90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433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3" s="45" customFormat="1" ht="8.5500000000000007" customHeight="1" x14ac:dyDescent="0.2">
      <c r="A11" s="43"/>
      <c r="B11" s="347" t="s">
        <v>812</v>
      </c>
      <c r="C11" s="347"/>
      <c r="D11" s="347"/>
      <c r="E11" s="347"/>
      <c r="F11" s="347"/>
      <c r="G11" s="47"/>
      <c r="H11" s="47"/>
      <c r="I11" s="48"/>
      <c r="J11" s="48"/>
      <c r="K11" s="164"/>
      <c r="L11" s="91"/>
      <c r="M11" s="92"/>
    </row>
    <row r="12" spans="1:13" s="45" customFormat="1" ht="8.5500000000000007" customHeight="1" x14ac:dyDescent="0.2">
      <c r="A12" s="43"/>
      <c r="B12" s="348"/>
      <c r="C12" s="348"/>
      <c r="D12" s="348"/>
      <c r="E12" s="348"/>
      <c r="F12" s="348"/>
      <c r="G12" s="54"/>
      <c r="H12" s="54"/>
      <c r="I12" s="49"/>
      <c r="J12" s="49"/>
      <c r="K12" s="165"/>
      <c r="L12" s="91"/>
      <c r="M12" s="92"/>
    </row>
    <row r="13" spans="1:13" s="45" customFormat="1" ht="8.5500000000000007" customHeight="1" x14ac:dyDescent="0.2">
      <c r="A13" s="43"/>
      <c r="B13" s="339" t="s">
        <v>813</v>
      </c>
      <c r="C13" s="339"/>
      <c r="D13" s="339"/>
      <c r="E13" s="339"/>
      <c r="F13" s="339"/>
      <c r="G13" s="47"/>
      <c r="H13" s="47"/>
      <c r="I13" s="48"/>
      <c r="J13" s="48"/>
      <c r="K13" s="164"/>
      <c r="L13" s="91"/>
      <c r="M13" s="92"/>
    </row>
    <row r="14" spans="1:13" s="45" customFormat="1" ht="8.5500000000000007" customHeight="1" x14ac:dyDescent="0.2">
      <c r="A14" s="43"/>
      <c r="B14" s="340"/>
      <c r="C14" s="340"/>
      <c r="D14" s="340"/>
      <c r="E14" s="340"/>
      <c r="F14" s="340"/>
      <c r="G14" s="54"/>
      <c r="H14" s="54"/>
      <c r="I14" s="49"/>
      <c r="J14" s="49"/>
      <c r="K14" s="165"/>
      <c r="L14" s="91"/>
      <c r="M14" s="92"/>
    </row>
    <row r="15" spans="1:13" s="45" customFormat="1" ht="8.5500000000000007" customHeight="1" x14ac:dyDescent="0.2">
      <c r="A15" s="43"/>
      <c r="B15" s="281" t="s">
        <v>738</v>
      </c>
      <c r="C15" s="281"/>
      <c r="D15" s="281"/>
      <c r="E15" s="281"/>
      <c r="F15" s="184"/>
      <c r="G15" s="251">
        <v>1941</v>
      </c>
      <c r="H15" s="304"/>
      <c r="I15" s="305"/>
      <c r="J15" s="302"/>
      <c r="K15" s="164">
        <v>1</v>
      </c>
      <c r="L15" s="91"/>
      <c r="M15" s="92"/>
    </row>
    <row r="16" spans="1:13" s="45" customFormat="1" ht="8.5500000000000007" customHeight="1" x14ac:dyDescent="0.2">
      <c r="A16" s="43"/>
      <c r="B16" s="185"/>
      <c r="C16" s="185"/>
      <c r="D16" s="185"/>
      <c r="E16" s="185"/>
      <c r="F16" s="186"/>
      <c r="G16" s="252"/>
      <c r="H16" s="303"/>
      <c r="I16" s="306"/>
      <c r="J16" s="338"/>
      <c r="K16" s="165"/>
      <c r="L16" s="91"/>
      <c r="M16" s="92"/>
    </row>
    <row r="17" spans="1:13" s="45" customFormat="1" ht="8.5500000000000007" customHeight="1" x14ac:dyDescent="0.2">
      <c r="A17" s="43"/>
      <c r="B17" s="281" t="s">
        <v>738</v>
      </c>
      <c r="C17" s="281"/>
      <c r="D17" s="281"/>
      <c r="E17" s="281"/>
      <c r="F17" s="184"/>
      <c r="G17" s="251">
        <v>1945</v>
      </c>
      <c r="H17" s="304"/>
      <c r="I17" s="305"/>
      <c r="J17" s="302"/>
      <c r="K17" s="164">
        <v>1</v>
      </c>
      <c r="L17" s="91"/>
      <c r="M17" s="92"/>
    </row>
    <row r="18" spans="1:13" s="45" customFormat="1" ht="8.5500000000000007" customHeight="1" x14ac:dyDescent="0.2">
      <c r="A18" s="43"/>
      <c r="B18" s="185"/>
      <c r="C18" s="185"/>
      <c r="D18" s="185"/>
      <c r="E18" s="185"/>
      <c r="F18" s="186"/>
      <c r="G18" s="252"/>
      <c r="H18" s="303"/>
      <c r="I18" s="306"/>
      <c r="J18" s="338"/>
      <c r="K18" s="165"/>
      <c r="L18" s="91"/>
      <c r="M18" s="92"/>
    </row>
    <row r="19" spans="1:13" s="45" customFormat="1" ht="8.5500000000000007" customHeight="1" x14ac:dyDescent="0.2">
      <c r="A19" s="43"/>
      <c r="B19" s="281" t="s">
        <v>738</v>
      </c>
      <c r="C19" s="281"/>
      <c r="D19" s="281"/>
      <c r="E19" s="281"/>
      <c r="F19" s="184"/>
      <c r="G19" s="251">
        <v>1970</v>
      </c>
      <c r="H19" s="304">
        <v>90</v>
      </c>
      <c r="I19" s="305"/>
      <c r="J19" s="302"/>
      <c r="K19" s="164">
        <v>1</v>
      </c>
      <c r="L19" s="91"/>
      <c r="M19" s="92"/>
    </row>
    <row r="20" spans="1:13" s="45" customFormat="1" ht="8.5500000000000007" customHeight="1" x14ac:dyDescent="0.2">
      <c r="A20" s="43"/>
      <c r="B20" s="185"/>
      <c r="C20" s="185"/>
      <c r="D20" s="185"/>
      <c r="E20" s="185"/>
      <c r="F20" s="186"/>
      <c r="G20" s="252"/>
      <c r="H20" s="303"/>
      <c r="I20" s="306"/>
      <c r="J20" s="338"/>
      <c r="K20" s="165"/>
      <c r="L20" s="91"/>
      <c r="M20" s="92"/>
    </row>
    <row r="21" spans="1:13" s="45" customFormat="1" ht="8.5500000000000007" customHeight="1" x14ac:dyDescent="0.2">
      <c r="A21" s="43"/>
      <c r="B21" s="281" t="s">
        <v>738</v>
      </c>
      <c r="C21" s="281"/>
      <c r="D21" s="281"/>
      <c r="E21" s="281"/>
      <c r="F21" s="184"/>
      <c r="G21" s="251">
        <v>1974</v>
      </c>
      <c r="H21" s="304">
        <v>95</v>
      </c>
      <c r="I21" s="305"/>
      <c r="J21" s="302"/>
      <c r="K21" s="164">
        <v>1</v>
      </c>
      <c r="L21" s="91"/>
      <c r="M21" s="92"/>
    </row>
    <row r="22" spans="1:13" s="45" customFormat="1" ht="8.5500000000000007" customHeight="1" x14ac:dyDescent="0.2">
      <c r="A22" s="43"/>
      <c r="B22" s="185"/>
      <c r="C22" s="185"/>
      <c r="D22" s="185"/>
      <c r="E22" s="185"/>
      <c r="F22" s="186"/>
      <c r="G22" s="252"/>
      <c r="H22" s="303"/>
      <c r="I22" s="306"/>
      <c r="J22" s="338"/>
      <c r="K22" s="165"/>
      <c r="L22" s="91"/>
      <c r="M22" s="92"/>
    </row>
    <row r="23" spans="1:13" s="45" customFormat="1" ht="8.5500000000000007" customHeight="1" x14ac:dyDescent="0.2">
      <c r="A23" s="43"/>
      <c r="B23" s="281" t="s">
        <v>478</v>
      </c>
      <c r="C23" s="281"/>
      <c r="D23" s="281"/>
      <c r="E23" s="281"/>
      <c r="F23" s="184"/>
      <c r="G23" s="251">
        <v>1988</v>
      </c>
      <c r="H23" s="304">
        <v>94</v>
      </c>
      <c r="I23" s="305"/>
      <c r="J23" s="302"/>
      <c r="K23" s="164">
        <v>1</v>
      </c>
      <c r="L23" s="91"/>
      <c r="M23" s="92"/>
    </row>
    <row r="24" spans="1:13" s="45" customFormat="1" ht="8.5500000000000007" customHeight="1" x14ac:dyDescent="0.2">
      <c r="A24" s="43"/>
      <c r="B24" s="185"/>
      <c r="C24" s="185"/>
      <c r="D24" s="185"/>
      <c r="E24" s="185"/>
      <c r="F24" s="186"/>
      <c r="G24" s="252"/>
      <c r="H24" s="303"/>
      <c r="I24" s="306"/>
      <c r="J24" s="338"/>
      <c r="K24" s="165"/>
      <c r="L24" s="91"/>
      <c r="M24" s="92"/>
    </row>
    <row r="25" spans="1:13" s="45" customFormat="1" ht="8.5500000000000007" customHeight="1" x14ac:dyDescent="0.2">
      <c r="A25" s="43"/>
      <c r="B25" s="281" t="s">
        <v>478</v>
      </c>
      <c r="C25" s="281"/>
      <c r="D25" s="281"/>
      <c r="E25" s="281"/>
      <c r="F25" s="184"/>
      <c r="G25" s="251">
        <v>1990</v>
      </c>
      <c r="H25" s="304">
        <v>98</v>
      </c>
      <c r="I25" s="305"/>
      <c r="J25" s="302" t="s">
        <v>266</v>
      </c>
      <c r="K25" s="164">
        <v>3</v>
      </c>
      <c r="L25" s="91"/>
      <c r="M25" s="92"/>
    </row>
    <row r="26" spans="1:13" s="45" customFormat="1" ht="8.5500000000000007" customHeight="1" x14ac:dyDescent="0.2">
      <c r="A26" s="43"/>
      <c r="B26" s="185"/>
      <c r="C26" s="185"/>
      <c r="D26" s="185"/>
      <c r="E26" s="185"/>
      <c r="F26" s="186"/>
      <c r="G26" s="252"/>
      <c r="H26" s="303"/>
      <c r="I26" s="306"/>
      <c r="J26" s="338"/>
      <c r="K26" s="165"/>
      <c r="L26" s="91"/>
      <c r="M26" s="92"/>
    </row>
    <row r="27" spans="1:13" s="45" customFormat="1" ht="8.5500000000000007" customHeight="1" x14ac:dyDescent="0.2">
      <c r="A27" s="43"/>
      <c r="B27" s="281" t="s">
        <v>478</v>
      </c>
      <c r="C27" s="281"/>
      <c r="D27" s="281"/>
      <c r="E27" s="281"/>
      <c r="F27" s="184"/>
      <c r="G27" s="251">
        <v>1996</v>
      </c>
      <c r="H27" s="304">
        <v>96</v>
      </c>
      <c r="I27" s="305">
        <v>97</v>
      </c>
      <c r="J27" s="302" t="s">
        <v>249</v>
      </c>
      <c r="K27" s="164">
        <v>3</v>
      </c>
      <c r="L27" s="91"/>
      <c r="M27" s="92"/>
    </row>
    <row r="28" spans="1:13" s="45" customFormat="1" ht="8.5500000000000007" customHeight="1" x14ac:dyDescent="0.2">
      <c r="A28" s="43"/>
      <c r="B28" s="185"/>
      <c r="C28" s="185"/>
      <c r="D28" s="185"/>
      <c r="E28" s="185"/>
      <c r="F28" s="186"/>
      <c r="G28" s="252"/>
      <c r="H28" s="303"/>
      <c r="I28" s="306"/>
      <c r="J28" s="338"/>
      <c r="K28" s="165"/>
      <c r="L28" s="91"/>
      <c r="M28" s="92"/>
    </row>
    <row r="29" spans="1:13" s="45" customFormat="1" ht="8.5500000000000007" customHeight="1" x14ac:dyDescent="0.2">
      <c r="A29" s="43"/>
      <c r="B29" s="281" t="s">
        <v>478</v>
      </c>
      <c r="C29" s="281"/>
      <c r="D29" s="281"/>
      <c r="E29" s="281"/>
      <c r="F29" s="184"/>
      <c r="G29" s="251">
        <v>1997</v>
      </c>
      <c r="H29" s="304">
        <v>98</v>
      </c>
      <c r="I29" s="305">
        <v>96</v>
      </c>
      <c r="J29" s="302" t="s">
        <v>62</v>
      </c>
      <c r="K29" s="164">
        <v>2</v>
      </c>
      <c r="L29" s="91"/>
      <c r="M29" s="92"/>
    </row>
    <row r="30" spans="1:13" s="45" customFormat="1" ht="8.5500000000000007" customHeight="1" x14ac:dyDescent="0.2">
      <c r="A30" s="43"/>
      <c r="B30" s="185"/>
      <c r="C30" s="185"/>
      <c r="D30" s="185"/>
      <c r="E30" s="185"/>
      <c r="F30" s="186"/>
      <c r="G30" s="252"/>
      <c r="H30" s="303"/>
      <c r="I30" s="306"/>
      <c r="J30" s="338"/>
      <c r="K30" s="165"/>
      <c r="L30" s="91"/>
      <c r="M30" s="92"/>
    </row>
    <row r="31" spans="1:13" s="45" customFormat="1" ht="8.5500000000000007" customHeight="1" x14ac:dyDescent="0.2">
      <c r="A31" s="43"/>
      <c r="B31" s="281" t="s">
        <v>478</v>
      </c>
      <c r="C31" s="281"/>
      <c r="D31" s="281"/>
      <c r="E31" s="281"/>
      <c r="F31" s="184"/>
      <c r="G31" s="251">
        <v>1998</v>
      </c>
      <c r="H31" s="304">
        <v>97</v>
      </c>
      <c r="I31" s="305">
        <v>94</v>
      </c>
      <c r="J31" s="302" t="s">
        <v>683</v>
      </c>
      <c r="K31" s="164">
        <v>1</v>
      </c>
      <c r="L31" s="91"/>
      <c r="M31" s="92"/>
    </row>
    <row r="32" spans="1:13" s="45" customFormat="1" ht="8.5500000000000007" customHeight="1" x14ac:dyDescent="0.2">
      <c r="A32" s="43"/>
      <c r="B32" s="185"/>
      <c r="C32" s="185"/>
      <c r="D32" s="185"/>
      <c r="E32" s="185"/>
      <c r="F32" s="186"/>
      <c r="G32" s="252"/>
      <c r="H32" s="303"/>
      <c r="I32" s="306"/>
      <c r="J32" s="338"/>
      <c r="K32" s="165"/>
      <c r="L32" s="91"/>
      <c r="M32" s="92"/>
    </row>
    <row r="33" spans="1:13" s="45" customFormat="1" ht="8.5500000000000007" customHeight="1" x14ac:dyDescent="0.2">
      <c r="A33" s="43"/>
      <c r="B33" s="281" t="s">
        <v>478</v>
      </c>
      <c r="C33" s="281"/>
      <c r="D33" s="281"/>
      <c r="E33" s="281"/>
      <c r="F33" s="184"/>
      <c r="G33" s="251">
        <v>1999</v>
      </c>
      <c r="H33" s="304">
        <v>98</v>
      </c>
      <c r="I33" s="305"/>
      <c r="J33" s="302" t="s">
        <v>684</v>
      </c>
      <c r="K33" s="164">
        <v>1</v>
      </c>
      <c r="L33" s="91"/>
      <c r="M33" s="92"/>
    </row>
    <row r="34" spans="1:13" s="45" customFormat="1" ht="8.5500000000000007" customHeight="1" x14ac:dyDescent="0.2">
      <c r="A34" s="43"/>
      <c r="B34" s="185"/>
      <c r="C34" s="185"/>
      <c r="D34" s="185"/>
      <c r="E34" s="185"/>
      <c r="F34" s="186"/>
      <c r="G34" s="252"/>
      <c r="H34" s="303"/>
      <c r="I34" s="306"/>
      <c r="J34" s="338"/>
      <c r="K34" s="165"/>
      <c r="L34" s="91"/>
      <c r="M34" s="92"/>
    </row>
    <row r="35" spans="1:13" s="45" customFormat="1" ht="8.5500000000000007" customHeight="1" x14ac:dyDescent="0.2">
      <c r="A35" s="43"/>
      <c r="B35" s="281" t="s">
        <v>478</v>
      </c>
      <c r="C35" s="281"/>
      <c r="D35" s="281"/>
      <c r="E35" s="281"/>
      <c r="F35" s="184"/>
      <c r="G35" s="251">
        <v>2000</v>
      </c>
      <c r="H35" s="304">
        <v>97</v>
      </c>
      <c r="I35" s="305">
        <v>96</v>
      </c>
      <c r="J35" s="302" t="s">
        <v>227</v>
      </c>
      <c r="K35" s="164">
        <v>3</v>
      </c>
      <c r="L35" s="91"/>
      <c r="M35" s="92"/>
    </row>
    <row r="36" spans="1:13" s="45" customFormat="1" ht="8.5500000000000007" customHeight="1" x14ac:dyDescent="0.2">
      <c r="A36" s="43"/>
      <c r="B36" s="185"/>
      <c r="C36" s="185"/>
      <c r="D36" s="185"/>
      <c r="E36" s="185"/>
      <c r="F36" s="186"/>
      <c r="G36" s="252"/>
      <c r="H36" s="303"/>
      <c r="I36" s="306"/>
      <c r="J36" s="338"/>
      <c r="K36" s="165"/>
      <c r="L36" s="91"/>
      <c r="M36" s="92"/>
    </row>
    <row r="37" spans="1:13" s="45" customFormat="1" ht="8.5500000000000007" customHeight="1" x14ac:dyDescent="0.2">
      <c r="A37" s="43"/>
      <c r="B37" s="281" t="s">
        <v>478</v>
      </c>
      <c r="C37" s="281"/>
      <c r="D37" s="281"/>
      <c r="E37" s="281"/>
      <c r="F37" s="184"/>
      <c r="G37" s="251">
        <v>2001</v>
      </c>
      <c r="H37" s="304">
        <v>98</v>
      </c>
      <c r="I37" s="305">
        <v>95</v>
      </c>
      <c r="J37" s="302" t="s">
        <v>479</v>
      </c>
      <c r="K37" s="164">
        <v>4</v>
      </c>
      <c r="L37" s="91"/>
      <c r="M37" s="92"/>
    </row>
    <row r="38" spans="1:13" s="45" customFormat="1" ht="8.5500000000000007" customHeight="1" x14ac:dyDescent="0.2">
      <c r="A38" s="43"/>
      <c r="B38" s="185"/>
      <c r="C38" s="185"/>
      <c r="D38" s="185"/>
      <c r="E38" s="185"/>
      <c r="F38" s="186"/>
      <c r="G38" s="252"/>
      <c r="H38" s="303"/>
      <c r="I38" s="306"/>
      <c r="J38" s="338"/>
      <c r="K38" s="165"/>
      <c r="L38" s="91"/>
      <c r="M38" s="92"/>
    </row>
    <row r="39" spans="1:13" s="45" customFormat="1" ht="8.5500000000000007" customHeight="1" x14ac:dyDescent="0.2">
      <c r="A39" s="43"/>
      <c r="B39" s="281" t="s">
        <v>478</v>
      </c>
      <c r="C39" s="281"/>
      <c r="D39" s="281"/>
      <c r="E39" s="281"/>
      <c r="F39" s="184"/>
      <c r="G39" s="251">
        <v>2002</v>
      </c>
      <c r="H39" s="304">
        <v>98</v>
      </c>
      <c r="I39" s="305">
        <v>98</v>
      </c>
      <c r="J39" s="302" t="s">
        <v>480</v>
      </c>
      <c r="K39" s="164">
        <v>6</v>
      </c>
      <c r="L39" s="91"/>
      <c r="M39" s="92"/>
    </row>
    <row r="40" spans="1:13" s="45" customFormat="1" ht="8.5500000000000007" customHeight="1" x14ac:dyDescent="0.2">
      <c r="A40" s="43"/>
      <c r="B40" s="185"/>
      <c r="C40" s="185"/>
      <c r="D40" s="185"/>
      <c r="E40" s="185"/>
      <c r="F40" s="186"/>
      <c r="G40" s="252"/>
      <c r="H40" s="303"/>
      <c r="I40" s="306"/>
      <c r="J40" s="338"/>
      <c r="K40" s="165"/>
      <c r="L40" s="91"/>
      <c r="M40" s="92"/>
    </row>
    <row r="41" spans="1:13" s="45" customFormat="1" ht="8.5500000000000007" customHeight="1" x14ac:dyDescent="0.2">
      <c r="A41" s="43"/>
      <c r="B41" s="281" t="s">
        <v>478</v>
      </c>
      <c r="C41" s="281"/>
      <c r="D41" s="281"/>
      <c r="E41" s="281"/>
      <c r="F41" s="184"/>
      <c r="G41" s="251">
        <v>2004</v>
      </c>
      <c r="H41" s="304">
        <v>100</v>
      </c>
      <c r="I41" s="305"/>
      <c r="J41" s="302" t="s">
        <v>685</v>
      </c>
      <c r="K41" s="164">
        <v>3</v>
      </c>
      <c r="L41" s="91"/>
      <c r="M41" s="92"/>
    </row>
    <row r="42" spans="1:13" s="45" customFormat="1" ht="8.5500000000000007" customHeight="1" x14ac:dyDescent="0.2">
      <c r="A42" s="43"/>
      <c r="B42" s="185"/>
      <c r="C42" s="185"/>
      <c r="D42" s="185"/>
      <c r="E42" s="185"/>
      <c r="F42" s="186"/>
      <c r="G42" s="252"/>
      <c r="H42" s="303"/>
      <c r="I42" s="306"/>
      <c r="J42" s="338"/>
      <c r="K42" s="165"/>
      <c r="L42" s="91"/>
      <c r="M42" s="92"/>
    </row>
    <row r="43" spans="1:13" s="45" customFormat="1" ht="8.5500000000000007" customHeight="1" x14ac:dyDescent="0.2">
      <c r="A43" s="43"/>
      <c r="B43" s="201" t="s">
        <v>493</v>
      </c>
      <c r="C43" s="201"/>
      <c r="D43" s="201"/>
      <c r="E43" s="201"/>
      <c r="F43" s="157"/>
      <c r="G43" s="251">
        <v>1990</v>
      </c>
      <c r="H43" s="304">
        <v>97</v>
      </c>
      <c r="I43" s="305"/>
      <c r="J43" s="302" t="s">
        <v>225</v>
      </c>
      <c r="K43" s="164">
        <v>4</v>
      </c>
      <c r="L43" s="91"/>
      <c r="M43" s="92"/>
    </row>
    <row r="44" spans="1:13" s="45" customFormat="1" ht="8.5500000000000007" customHeight="1" x14ac:dyDescent="0.2">
      <c r="A44" s="43"/>
      <c r="B44" s="158"/>
      <c r="C44" s="158"/>
      <c r="D44" s="158"/>
      <c r="E44" s="158"/>
      <c r="F44" s="159"/>
      <c r="G44" s="252"/>
      <c r="H44" s="303"/>
      <c r="I44" s="306"/>
      <c r="J44" s="338"/>
      <c r="K44" s="165"/>
      <c r="L44" s="91"/>
      <c r="M44" s="92"/>
    </row>
    <row r="45" spans="1:13" s="45" customFormat="1" ht="8.5500000000000007" customHeight="1" x14ac:dyDescent="0.2">
      <c r="A45" s="43"/>
      <c r="B45" s="201" t="s">
        <v>493</v>
      </c>
      <c r="C45" s="201"/>
      <c r="D45" s="201"/>
      <c r="E45" s="201"/>
      <c r="F45" s="157"/>
      <c r="G45" s="251">
        <v>1999</v>
      </c>
      <c r="H45" s="304">
        <v>94</v>
      </c>
      <c r="I45" s="305"/>
      <c r="J45" s="302" t="s">
        <v>408</v>
      </c>
      <c r="K45" s="164">
        <v>2</v>
      </c>
      <c r="L45" s="91"/>
      <c r="M45" s="92"/>
    </row>
    <row r="46" spans="1:13" s="45" customFormat="1" ht="8.5500000000000007" customHeight="1" x14ac:dyDescent="0.2">
      <c r="A46" s="43"/>
      <c r="B46" s="158"/>
      <c r="C46" s="158"/>
      <c r="D46" s="158"/>
      <c r="E46" s="158"/>
      <c r="F46" s="159"/>
      <c r="G46" s="252"/>
      <c r="H46" s="303"/>
      <c r="I46" s="306"/>
      <c r="J46" s="338"/>
      <c r="K46" s="165"/>
      <c r="L46" s="91"/>
      <c r="M46" s="92"/>
    </row>
    <row r="47" spans="1:13" s="45" customFormat="1" ht="8.5500000000000007" customHeight="1" x14ac:dyDescent="0.2">
      <c r="A47" s="43"/>
      <c r="B47" s="201" t="s">
        <v>493</v>
      </c>
      <c r="C47" s="201"/>
      <c r="D47" s="201"/>
      <c r="E47" s="201"/>
      <c r="F47" s="157"/>
      <c r="G47" s="251">
        <v>2001</v>
      </c>
      <c r="H47" s="304" t="s">
        <v>625</v>
      </c>
      <c r="I47" s="305">
        <v>91</v>
      </c>
      <c r="J47" s="302" t="s">
        <v>500</v>
      </c>
      <c r="K47" s="164">
        <v>1</v>
      </c>
      <c r="L47" s="91"/>
      <c r="M47" s="92"/>
    </row>
    <row r="48" spans="1:13" s="45" customFormat="1" ht="8.5500000000000007" customHeight="1" x14ac:dyDescent="0.2">
      <c r="A48" s="43"/>
      <c r="B48" s="158"/>
      <c r="C48" s="158"/>
      <c r="D48" s="158"/>
      <c r="E48" s="158"/>
      <c r="F48" s="159"/>
      <c r="G48" s="252"/>
      <c r="H48" s="303"/>
      <c r="I48" s="306"/>
      <c r="J48" s="338"/>
      <c r="K48" s="165"/>
      <c r="L48" s="91"/>
      <c r="M48" s="92"/>
    </row>
    <row r="49" spans="1:13" s="45" customFormat="1" ht="8.5500000000000007" customHeight="1" x14ac:dyDescent="0.2">
      <c r="A49" s="43"/>
      <c r="B49" s="201" t="s">
        <v>493</v>
      </c>
      <c r="C49" s="201"/>
      <c r="D49" s="201"/>
      <c r="E49" s="201"/>
      <c r="F49" s="157"/>
      <c r="G49" s="251">
        <v>2005</v>
      </c>
      <c r="H49" s="304" t="s">
        <v>623</v>
      </c>
      <c r="I49" s="305">
        <v>91</v>
      </c>
      <c r="J49" s="302" t="s">
        <v>321</v>
      </c>
      <c r="K49" s="164">
        <v>2</v>
      </c>
      <c r="L49" s="91"/>
      <c r="M49" s="92"/>
    </row>
    <row r="50" spans="1:13" s="45" customFormat="1" ht="8.5500000000000007" customHeight="1" x14ac:dyDescent="0.2">
      <c r="A50" s="43"/>
      <c r="B50" s="158"/>
      <c r="C50" s="158"/>
      <c r="D50" s="158"/>
      <c r="E50" s="158"/>
      <c r="F50" s="159"/>
      <c r="G50" s="252"/>
      <c r="H50" s="303"/>
      <c r="I50" s="306"/>
      <c r="J50" s="338"/>
      <c r="K50" s="165"/>
      <c r="L50" s="91"/>
      <c r="M50" s="92"/>
    </row>
    <row r="51" spans="1:13" s="45" customFormat="1" ht="8.5500000000000007" customHeight="1" x14ac:dyDescent="0.2">
      <c r="A51" s="43"/>
      <c r="B51" s="201" t="s">
        <v>493</v>
      </c>
      <c r="C51" s="201"/>
      <c r="D51" s="201"/>
      <c r="E51" s="201"/>
      <c r="F51" s="157"/>
      <c r="G51" s="251">
        <v>2007</v>
      </c>
      <c r="H51" s="304" t="s">
        <v>1571</v>
      </c>
      <c r="I51" s="305"/>
      <c r="J51" s="302" t="s">
        <v>718</v>
      </c>
      <c r="K51" s="164">
        <v>2</v>
      </c>
      <c r="L51" s="91"/>
      <c r="M51" s="92"/>
    </row>
    <row r="52" spans="1:13" s="45" customFormat="1" ht="8.5500000000000007" customHeight="1" x14ac:dyDescent="0.2">
      <c r="A52" s="43"/>
      <c r="B52" s="158"/>
      <c r="C52" s="158"/>
      <c r="D52" s="158"/>
      <c r="E52" s="158"/>
      <c r="F52" s="159"/>
      <c r="G52" s="252"/>
      <c r="H52" s="303"/>
      <c r="I52" s="306"/>
      <c r="J52" s="338"/>
      <c r="K52" s="165"/>
      <c r="L52" s="91"/>
      <c r="M52" s="92"/>
    </row>
    <row r="53" spans="1:13" s="45" customFormat="1" ht="8.5500000000000007" customHeight="1" x14ac:dyDescent="0.2">
      <c r="A53" s="43"/>
      <c r="B53" s="201" t="s">
        <v>1383</v>
      </c>
      <c r="C53" s="201"/>
      <c r="D53" s="201"/>
      <c r="E53" s="201"/>
      <c r="F53" s="157"/>
      <c r="G53" s="251">
        <v>1955</v>
      </c>
      <c r="H53" s="304"/>
      <c r="I53" s="305"/>
      <c r="J53" s="302"/>
      <c r="K53" s="164">
        <v>1</v>
      </c>
      <c r="L53" s="91"/>
      <c r="M53" s="92"/>
    </row>
    <row r="54" spans="1:13" s="45" customFormat="1" ht="8.5500000000000007" customHeight="1" x14ac:dyDescent="0.2">
      <c r="A54" s="43"/>
      <c r="B54" s="158"/>
      <c r="C54" s="158"/>
      <c r="D54" s="158"/>
      <c r="E54" s="158"/>
      <c r="F54" s="159"/>
      <c r="G54" s="252"/>
      <c r="H54" s="303"/>
      <c r="I54" s="306"/>
      <c r="J54" s="338"/>
      <c r="K54" s="165"/>
      <c r="L54" s="91"/>
      <c r="M54" s="92"/>
    </row>
    <row r="55" spans="1:13" s="45" customFormat="1" ht="8.5500000000000007" customHeight="1" x14ac:dyDescent="0.2">
      <c r="A55" s="43"/>
      <c r="B55" s="201" t="s">
        <v>1383</v>
      </c>
      <c r="C55" s="201"/>
      <c r="D55" s="201"/>
      <c r="E55" s="201"/>
      <c r="F55" s="157"/>
      <c r="G55" s="251">
        <v>1958</v>
      </c>
      <c r="H55" s="304"/>
      <c r="I55" s="305"/>
      <c r="J55" s="302"/>
      <c r="K55" s="164">
        <v>1</v>
      </c>
      <c r="L55" s="91"/>
      <c r="M55" s="92"/>
    </row>
    <row r="56" spans="1:13" s="45" customFormat="1" ht="8.5500000000000007" customHeight="1" x14ac:dyDescent="0.2">
      <c r="A56" s="43"/>
      <c r="B56" s="158"/>
      <c r="C56" s="158"/>
      <c r="D56" s="158"/>
      <c r="E56" s="158"/>
      <c r="F56" s="159"/>
      <c r="G56" s="252"/>
      <c r="H56" s="303"/>
      <c r="I56" s="306"/>
      <c r="J56" s="338"/>
      <c r="K56" s="165"/>
      <c r="L56" s="91"/>
      <c r="M56" s="92"/>
    </row>
    <row r="57" spans="1:13" s="45" customFormat="1" ht="8.5500000000000007" customHeight="1" x14ac:dyDescent="0.2">
      <c r="A57" s="43"/>
      <c r="B57" s="201" t="s">
        <v>737</v>
      </c>
      <c r="C57" s="201"/>
      <c r="D57" s="201"/>
      <c r="E57" s="201"/>
      <c r="F57" s="157"/>
      <c r="G57" s="251">
        <v>1964</v>
      </c>
      <c r="H57" s="304">
        <v>98</v>
      </c>
      <c r="I57" s="305"/>
      <c r="J57" s="302"/>
      <c r="K57" s="164">
        <v>1</v>
      </c>
      <c r="L57" s="91"/>
      <c r="M57" s="92"/>
    </row>
    <row r="58" spans="1:13" s="45" customFormat="1" ht="8.5500000000000007" customHeight="1" x14ac:dyDescent="0.2">
      <c r="A58" s="43"/>
      <c r="B58" s="158"/>
      <c r="C58" s="158"/>
      <c r="D58" s="158"/>
      <c r="E58" s="158"/>
      <c r="F58" s="159"/>
      <c r="G58" s="252"/>
      <c r="H58" s="303"/>
      <c r="I58" s="306"/>
      <c r="J58" s="338"/>
      <c r="K58" s="165"/>
      <c r="L58" s="91"/>
      <c r="M58" s="92"/>
    </row>
    <row r="59" spans="1:13" s="45" customFormat="1" ht="8.5500000000000007" customHeight="1" x14ac:dyDescent="0.2">
      <c r="A59" s="43"/>
      <c r="B59" s="201" t="s">
        <v>618</v>
      </c>
      <c r="C59" s="201"/>
      <c r="D59" s="201"/>
      <c r="E59" s="201"/>
      <c r="F59" s="157"/>
      <c r="G59" s="251">
        <v>1982</v>
      </c>
      <c r="H59" s="304">
        <v>98</v>
      </c>
      <c r="I59" s="305"/>
      <c r="J59" s="302" t="s">
        <v>460</v>
      </c>
      <c r="K59" s="164">
        <v>1</v>
      </c>
      <c r="L59" s="91"/>
      <c r="M59" s="92"/>
    </row>
    <row r="60" spans="1:13" s="45" customFormat="1" ht="8.5500000000000007" customHeight="1" x14ac:dyDescent="0.2">
      <c r="A60" s="43"/>
      <c r="B60" s="158"/>
      <c r="C60" s="158"/>
      <c r="D60" s="158"/>
      <c r="E60" s="158"/>
      <c r="F60" s="159"/>
      <c r="G60" s="252"/>
      <c r="H60" s="303"/>
      <c r="I60" s="306"/>
      <c r="J60" s="338"/>
      <c r="K60" s="165"/>
      <c r="L60" s="91"/>
      <c r="M60" s="92"/>
    </row>
    <row r="61" spans="1:13" s="45" customFormat="1" ht="8.5500000000000007" customHeight="1" x14ac:dyDescent="0.2">
      <c r="A61" s="43"/>
      <c r="B61" s="201" t="s">
        <v>618</v>
      </c>
      <c r="C61" s="201"/>
      <c r="D61" s="201"/>
      <c r="E61" s="201"/>
      <c r="F61" s="157"/>
      <c r="G61" s="251">
        <v>1990</v>
      </c>
      <c r="H61" s="304">
        <v>92</v>
      </c>
      <c r="I61" s="305"/>
      <c r="J61" s="302" t="s">
        <v>256</v>
      </c>
      <c r="K61" s="164">
        <v>2</v>
      </c>
      <c r="L61" s="91"/>
      <c r="M61" s="92"/>
    </row>
    <row r="62" spans="1:13" s="45" customFormat="1" ht="8.5500000000000007" customHeight="1" x14ac:dyDescent="0.2">
      <c r="A62" s="43"/>
      <c r="B62" s="158"/>
      <c r="C62" s="158"/>
      <c r="D62" s="158"/>
      <c r="E62" s="158"/>
      <c r="F62" s="159"/>
      <c r="G62" s="252"/>
      <c r="H62" s="303"/>
      <c r="I62" s="306"/>
      <c r="J62" s="338"/>
      <c r="K62" s="165"/>
      <c r="L62" s="91"/>
      <c r="M62" s="92"/>
    </row>
    <row r="63" spans="1:13" s="45" customFormat="1" ht="8.5500000000000007" customHeight="1" x14ac:dyDescent="0.2">
      <c r="A63" s="43"/>
      <c r="B63" s="201" t="s">
        <v>1384</v>
      </c>
      <c r="C63" s="201"/>
      <c r="D63" s="201"/>
      <c r="E63" s="201"/>
      <c r="F63" s="157"/>
      <c r="G63" s="251">
        <v>1985</v>
      </c>
      <c r="H63" s="320"/>
      <c r="I63" s="305"/>
      <c r="J63" s="302"/>
      <c r="K63" s="164">
        <v>1</v>
      </c>
      <c r="L63" s="91"/>
      <c r="M63" s="92"/>
    </row>
    <row r="64" spans="1:13" s="45" customFormat="1" ht="8.5500000000000007" customHeight="1" x14ac:dyDescent="0.2">
      <c r="A64" s="43"/>
      <c r="B64" s="158"/>
      <c r="C64" s="158"/>
      <c r="D64" s="158"/>
      <c r="E64" s="158"/>
      <c r="F64" s="159"/>
      <c r="G64" s="252"/>
      <c r="H64" s="346"/>
      <c r="I64" s="306"/>
      <c r="J64" s="338"/>
      <c r="K64" s="165"/>
      <c r="L64" s="91"/>
      <c r="M64" s="92"/>
    </row>
    <row r="65" spans="1:13" s="45" customFormat="1" ht="8.5500000000000007" customHeight="1" x14ac:dyDescent="0.2">
      <c r="A65" s="43"/>
      <c r="B65" s="201" t="s">
        <v>1384</v>
      </c>
      <c r="C65" s="201"/>
      <c r="D65" s="201"/>
      <c r="E65" s="201"/>
      <c r="F65" s="157"/>
      <c r="G65" s="251">
        <v>1986</v>
      </c>
      <c r="H65" s="304">
        <v>97</v>
      </c>
      <c r="I65" s="305">
        <v>93</v>
      </c>
      <c r="J65" s="302" t="s">
        <v>359</v>
      </c>
      <c r="K65" s="164">
        <v>1</v>
      </c>
      <c r="L65" s="91"/>
      <c r="M65" s="92"/>
    </row>
    <row r="66" spans="1:13" s="45" customFormat="1" ht="8.5500000000000007" customHeight="1" x14ac:dyDescent="0.2">
      <c r="A66" s="43"/>
      <c r="B66" s="158"/>
      <c r="C66" s="158"/>
      <c r="D66" s="158"/>
      <c r="E66" s="158"/>
      <c r="F66" s="159"/>
      <c r="G66" s="252"/>
      <c r="H66" s="303"/>
      <c r="I66" s="306"/>
      <c r="J66" s="338"/>
      <c r="K66" s="165"/>
      <c r="L66" s="91"/>
      <c r="M66" s="92"/>
    </row>
    <row r="67" spans="1:13" s="45" customFormat="1" ht="8.5500000000000007" customHeight="1" x14ac:dyDescent="0.2">
      <c r="A67" s="43"/>
      <c r="B67" s="339" t="s">
        <v>814</v>
      </c>
      <c r="C67" s="339"/>
      <c r="D67" s="339"/>
      <c r="E67" s="339"/>
      <c r="F67" s="339"/>
      <c r="G67" s="81"/>
      <c r="H67" s="47"/>
      <c r="I67" s="48"/>
      <c r="J67" s="48"/>
      <c r="K67" s="164"/>
      <c r="L67" s="91"/>
      <c r="M67" s="92"/>
    </row>
    <row r="68" spans="1:13" s="45" customFormat="1" ht="8.5500000000000007" customHeight="1" x14ac:dyDescent="0.2">
      <c r="A68" s="43"/>
      <c r="B68" s="340"/>
      <c r="C68" s="340"/>
      <c r="D68" s="340"/>
      <c r="E68" s="340"/>
      <c r="F68" s="340"/>
      <c r="G68" s="82"/>
      <c r="H68" s="54"/>
      <c r="I68" s="49"/>
      <c r="J68" s="49"/>
      <c r="K68" s="165"/>
      <c r="L68" s="91"/>
      <c r="M68" s="92"/>
    </row>
    <row r="69" spans="1:13" s="45" customFormat="1" ht="8.5500000000000007" customHeight="1" x14ac:dyDescent="0.2">
      <c r="A69" s="43"/>
      <c r="B69" s="201" t="s">
        <v>1384</v>
      </c>
      <c r="C69" s="201"/>
      <c r="D69" s="201"/>
      <c r="E69" s="201"/>
      <c r="F69" s="157"/>
      <c r="G69" s="251">
        <v>1989</v>
      </c>
      <c r="H69" s="304">
        <v>97</v>
      </c>
      <c r="I69" s="305">
        <v>96</v>
      </c>
      <c r="J69" s="302" t="s">
        <v>225</v>
      </c>
      <c r="K69" s="164">
        <v>2</v>
      </c>
      <c r="L69" s="91"/>
      <c r="M69" s="92"/>
    </row>
    <row r="70" spans="1:13" s="45" customFormat="1" ht="8.5500000000000007" customHeight="1" x14ac:dyDescent="0.2">
      <c r="A70" s="43"/>
      <c r="B70" s="158"/>
      <c r="C70" s="158"/>
      <c r="D70" s="158"/>
      <c r="E70" s="158"/>
      <c r="F70" s="159"/>
      <c r="G70" s="252"/>
      <c r="H70" s="303"/>
      <c r="I70" s="306"/>
      <c r="J70" s="338"/>
      <c r="K70" s="165"/>
      <c r="L70" s="91"/>
      <c r="M70" s="92"/>
    </row>
    <row r="71" spans="1:13" s="45" customFormat="1" ht="8.5500000000000007" customHeight="1" x14ac:dyDescent="0.2">
      <c r="A71" s="43"/>
      <c r="B71" s="201" t="s">
        <v>1384</v>
      </c>
      <c r="C71" s="201"/>
      <c r="D71" s="201"/>
      <c r="E71" s="201"/>
      <c r="F71" s="157"/>
      <c r="G71" s="251">
        <v>1996</v>
      </c>
      <c r="H71" s="304">
        <v>98</v>
      </c>
      <c r="I71" s="305">
        <v>95</v>
      </c>
      <c r="J71" s="302" t="s">
        <v>53</v>
      </c>
      <c r="K71" s="164">
        <v>2</v>
      </c>
      <c r="L71" s="91"/>
      <c r="M71" s="92"/>
    </row>
    <row r="72" spans="1:13" s="45" customFormat="1" ht="8.5500000000000007" customHeight="1" x14ac:dyDescent="0.2">
      <c r="A72" s="43"/>
      <c r="B72" s="158"/>
      <c r="C72" s="158"/>
      <c r="D72" s="158"/>
      <c r="E72" s="158"/>
      <c r="F72" s="159"/>
      <c r="G72" s="252"/>
      <c r="H72" s="303"/>
      <c r="I72" s="306"/>
      <c r="J72" s="338"/>
      <c r="K72" s="165"/>
      <c r="L72" s="91"/>
      <c r="M72" s="92"/>
    </row>
    <row r="73" spans="1:13" s="45" customFormat="1" ht="8.5500000000000007" customHeight="1" x14ac:dyDescent="0.2">
      <c r="A73" s="43"/>
      <c r="B73" s="281" t="s">
        <v>1385</v>
      </c>
      <c r="C73" s="281"/>
      <c r="D73" s="281"/>
      <c r="E73" s="281"/>
      <c r="F73" s="184"/>
      <c r="G73" s="251">
        <v>1996</v>
      </c>
      <c r="H73" s="304">
        <v>98</v>
      </c>
      <c r="I73" s="305">
        <v>95</v>
      </c>
      <c r="J73" s="302" t="s">
        <v>53</v>
      </c>
      <c r="K73" s="164">
        <v>1</v>
      </c>
      <c r="L73" s="91"/>
      <c r="M73" s="92"/>
    </row>
    <row r="74" spans="1:13" s="45" customFormat="1" ht="8.5500000000000007" customHeight="1" x14ac:dyDescent="0.2">
      <c r="A74" s="43"/>
      <c r="B74" s="185"/>
      <c r="C74" s="185"/>
      <c r="D74" s="185"/>
      <c r="E74" s="185"/>
      <c r="F74" s="186"/>
      <c r="G74" s="252"/>
      <c r="H74" s="303"/>
      <c r="I74" s="306"/>
      <c r="J74" s="338"/>
      <c r="K74" s="165"/>
      <c r="L74" s="91"/>
      <c r="M74" s="92"/>
    </row>
    <row r="75" spans="1:13" s="45" customFormat="1" ht="8.5500000000000007" customHeight="1" x14ac:dyDescent="0.2">
      <c r="A75" s="43"/>
      <c r="B75" s="201" t="s">
        <v>1384</v>
      </c>
      <c r="C75" s="201"/>
      <c r="D75" s="201"/>
      <c r="E75" s="201"/>
      <c r="F75" s="157"/>
      <c r="G75" s="251">
        <v>1999</v>
      </c>
      <c r="H75" s="304">
        <v>96</v>
      </c>
      <c r="I75" s="305"/>
      <c r="J75" s="302" t="s">
        <v>1070</v>
      </c>
      <c r="K75" s="164">
        <v>1</v>
      </c>
      <c r="L75" s="91"/>
      <c r="M75" s="92"/>
    </row>
    <row r="76" spans="1:13" s="45" customFormat="1" ht="8.5500000000000007" customHeight="1" x14ac:dyDescent="0.2">
      <c r="A76" s="43"/>
      <c r="B76" s="158"/>
      <c r="C76" s="158"/>
      <c r="D76" s="158"/>
      <c r="E76" s="158"/>
      <c r="F76" s="159"/>
      <c r="G76" s="252"/>
      <c r="H76" s="303"/>
      <c r="I76" s="306"/>
      <c r="J76" s="338"/>
      <c r="K76" s="165"/>
      <c r="L76" s="91"/>
      <c r="M76" s="92"/>
    </row>
    <row r="77" spans="1:13" s="45" customFormat="1" ht="8.5500000000000007" customHeight="1" x14ac:dyDescent="0.2">
      <c r="A77" s="43"/>
      <c r="B77" s="201" t="s">
        <v>1384</v>
      </c>
      <c r="C77" s="201"/>
      <c r="D77" s="201"/>
      <c r="E77" s="201"/>
      <c r="F77" s="157"/>
      <c r="G77" s="251">
        <v>2000</v>
      </c>
      <c r="H77" s="304">
        <v>96</v>
      </c>
      <c r="I77" s="305"/>
      <c r="J77" s="302" t="s">
        <v>137</v>
      </c>
      <c r="K77" s="164">
        <v>2</v>
      </c>
      <c r="L77" s="91"/>
      <c r="M77" s="92"/>
    </row>
    <row r="78" spans="1:13" s="45" customFormat="1" ht="8.5500000000000007" customHeight="1" x14ac:dyDescent="0.2">
      <c r="A78" s="43"/>
      <c r="B78" s="158"/>
      <c r="C78" s="158"/>
      <c r="D78" s="158"/>
      <c r="E78" s="158"/>
      <c r="F78" s="159"/>
      <c r="G78" s="252"/>
      <c r="H78" s="303"/>
      <c r="I78" s="306"/>
      <c r="J78" s="338"/>
      <c r="K78" s="165"/>
      <c r="L78" s="91"/>
      <c r="M78" s="92"/>
    </row>
    <row r="79" spans="1:13" s="45" customFormat="1" ht="8.5500000000000007" customHeight="1" x14ac:dyDescent="0.2">
      <c r="A79" s="43"/>
      <c r="B79" s="201" t="s">
        <v>1384</v>
      </c>
      <c r="C79" s="201"/>
      <c r="D79" s="201"/>
      <c r="E79" s="201"/>
      <c r="F79" s="157"/>
      <c r="G79" s="251">
        <v>2001</v>
      </c>
      <c r="H79" s="304">
        <v>97</v>
      </c>
      <c r="I79" s="305">
        <v>97</v>
      </c>
      <c r="J79" s="302" t="s">
        <v>415</v>
      </c>
      <c r="K79" s="164">
        <v>2</v>
      </c>
      <c r="L79" s="91"/>
      <c r="M79" s="92"/>
    </row>
    <row r="80" spans="1:13" s="45" customFormat="1" ht="8.5500000000000007" customHeight="1" x14ac:dyDescent="0.2">
      <c r="A80" s="43"/>
      <c r="B80" s="158"/>
      <c r="C80" s="158"/>
      <c r="D80" s="158"/>
      <c r="E80" s="158"/>
      <c r="F80" s="159"/>
      <c r="G80" s="252"/>
      <c r="H80" s="303"/>
      <c r="I80" s="306"/>
      <c r="J80" s="338"/>
      <c r="K80" s="165"/>
      <c r="L80" s="91"/>
      <c r="M80" s="92"/>
    </row>
    <row r="81" spans="1:13" s="45" customFormat="1" ht="8.5500000000000007" customHeight="1" x14ac:dyDescent="0.2">
      <c r="A81" s="43"/>
      <c r="B81" s="201" t="s">
        <v>1384</v>
      </c>
      <c r="C81" s="201"/>
      <c r="D81" s="201"/>
      <c r="E81" s="201"/>
      <c r="F81" s="157"/>
      <c r="G81" s="251">
        <v>2004</v>
      </c>
      <c r="H81" s="304">
        <v>98</v>
      </c>
      <c r="I81" s="305">
        <v>96</v>
      </c>
      <c r="J81" s="302" t="s">
        <v>324</v>
      </c>
      <c r="K81" s="164">
        <v>1</v>
      </c>
      <c r="L81" s="91"/>
      <c r="M81" s="92"/>
    </row>
    <row r="82" spans="1:13" s="45" customFormat="1" ht="8.5500000000000007" customHeight="1" x14ac:dyDescent="0.2">
      <c r="A82" s="43"/>
      <c r="B82" s="158"/>
      <c r="C82" s="158"/>
      <c r="D82" s="158"/>
      <c r="E82" s="158"/>
      <c r="F82" s="159"/>
      <c r="G82" s="252"/>
      <c r="H82" s="303"/>
      <c r="I82" s="306"/>
      <c r="J82" s="338"/>
      <c r="K82" s="165"/>
      <c r="L82" s="91"/>
      <c r="M82" s="92"/>
    </row>
    <row r="83" spans="1:13" s="45" customFormat="1" ht="8.5500000000000007" customHeight="1" x14ac:dyDescent="0.2">
      <c r="A83" s="43"/>
      <c r="B83" s="201" t="s">
        <v>1384</v>
      </c>
      <c r="C83" s="201"/>
      <c r="D83" s="201"/>
      <c r="E83" s="201"/>
      <c r="F83" s="157"/>
      <c r="G83" s="251">
        <v>2005</v>
      </c>
      <c r="H83" s="304" t="s">
        <v>620</v>
      </c>
      <c r="I83" s="305"/>
      <c r="J83" s="302" t="s">
        <v>216</v>
      </c>
      <c r="K83" s="164">
        <v>2</v>
      </c>
      <c r="L83" s="91"/>
      <c r="M83" s="92"/>
    </row>
    <row r="84" spans="1:13" s="45" customFormat="1" ht="8.5500000000000007" customHeight="1" x14ac:dyDescent="0.2">
      <c r="A84" s="43"/>
      <c r="B84" s="158"/>
      <c r="C84" s="158"/>
      <c r="D84" s="158"/>
      <c r="E84" s="158"/>
      <c r="F84" s="159"/>
      <c r="G84" s="252"/>
      <c r="H84" s="303"/>
      <c r="I84" s="306"/>
      <c r="J84" s="338"/>
      <c r="K84" s="165"/>
      <c r="L84" s="91"/>
      <c r="M84" s="92"/>
    </row>
    <row r="85" spans="1:13" s="45" customFormat="1" ht="8.5500000000000007" customHeight="1" x14ac:dyDescent="0.2">
      <c r="A85" s="43"/>
      <c r="B85" s="201" t="s">
        <v>1471</v>
      </c>
      <c r="C85" s="201"/>
      <c r="D85" s="201"/>
      <c r="E85" s="201"/>
      <c r="F85" s="157"/>
      <c r="G85" s="251">
        <v>2000</v>
      </c>
      <c r="H85" s="304">
        <v>96</v>
      </c>
      <c r="I85" s="305"/>
      <c r="J85" s="302" t="s">
        <v>124</v>
      </c>
      <c r="K85" s="164">
        <v>2</v>
      </c>
      <c r="L85" s="91"/>
      <c r="M85" s="92"/>
    </row>
    <row r="86" spans="1:13" s="45" customFormat="1" ht="8.5500000000000007" customHeight="1" x14ac:dyDescent="0.2">
      <c r="A86" s="43"/>
      <c r="B86" s="158"/>
      <c r="C86" s="158"/>
      <c r="D86" s="158"/>
      <c r="E86" s="158"/>
      <c r="F86" s="159"/>
      <c r="G86" s="252"/>
      <c r="H86" s="303"/>
      <c r="I86" s="306"/>
      <c r="J86" s="338"/>
      <c r="K86" s="165"/>
      <c r="L86" s="91"/>
      <c r="M86" s="92"/>
    </row>
    <row r="87" spans="1:13" s="45" customFormat="1" ht="8.5500000000000007" customHeight="1" x14ac:dyDescent="0.2">
      <c r="A87" s="43"/>
      <c r="B87" s="201" t="s">
        <v>499</v>
      </c>
      <c r="C87" s="201"/>
      <c r="D87" s="201"/>
      <c r="E87" s="201"/>
      <c r="F87" s="157"/>
      <c r="G87" s="251">
        <v>1982</v>
      </c>
      <c r="H87" s="304">
        <v>94</v>
      </c>
      <c r="I87" s="305"/>
      <c r="J87" s="302" t="s">
        <v>38</v>
      </c>
      <c r="K87" s="164">
        <v>1</v>
      </c>
      <c r="L87" s="91"/>
      <c r="M87" s="92"/>
    </row>
    <row r="88" spans="1:13" s="45" customFormat="1" ht="8.5500000000000007" customHeight="1" x14ac:dyDescent="0.2">
      <c r="A88" s="43"/>
      <c r="B88" s="158"/>
      <c r="C88" s="158"/>
      <c r="D88" s="158"/>
      <c r="E88" s="158"/>
      <c r="F88" s="159"/>
      <c r="G88" s="252"/>
      <c r="H88" s="303"/>
      <c r="I88" s="306"/>
      <c r="J88" s="338"/>
      <c r="K88" s="165"/>
      <c r="L88" s="91"/>
      <c r="M88" s="92"/>
    </row>
    <row r="89" spans="1:13" s="45" customFormat="1" ht="8.5500000000000007" customHeight="1" x14ac:dyDescent="0.2">
      <c r="A89" s="43"/>
      <c r="B89" s="201" t="s">
        <v>499</v>
      </c>
      <c r="C89" s="201"/>
      <c r="D89" s="201"/>
      <c r="E89" s="201"/>
      <c r="F89" s="157"/>
      <c r="G89" s="251">
        <v>1985</v>
      </c>
      <c r="H89" s="304">
        <v>95</v>
      </c>
      <c r="I89" s="305"/>
      <c r="J89" s="302" t="s">
        <v>38</v>
      </c>
      <c r="K89" s="164">
        <v>1</v>
      </c>
      <c r="L89" s="91"/>
      <c r="M89" s="92"/>
    </row>
    <row r="90" spans="1:13" s="45" customFormat="1" ht="8.5500000000000007" customHeight="1" x14ac:dyDescent="0.2">
      <c r="A90" s="43"/>
      <c r="B90" s="158"/>
      <c r="C90" s="158"/>
      <c r="D90" s="158"/>
      <c r="E90" s="158"/>
      <c r="F90" s="159"/>
      <c r="G90" s="252"/>
      <c r="H90" s="303"/>
      <c r="I90" s="306"/>
      <c r="J90" s="338"/>
      <c r="K90" s="165"/>
      <c r="L90" s="91"/>
      <c r="M90" s="92"/>
    </row>
    <row r="91" spans="1:13" s="45" customFormat="1" ht="8.5500000000000007" customHeight="1" x14ac:dyDescent="0.2">
      <c r="A91" s="43"/>
      <c r="B91" s="201" t="s">
        <v>499</v>
      </c>
      <c r="C91" s="201"/>
      <c r="D91" s="201"/>
      <c r="E91" s="201"/>
      <c r="F91" s="157"/>
      <c r="G91" s="251">
        <v>1990</v>
      </c>
      <c r="H91" s="304">
        <v>98</v>
      </c>
      <c r="I91" s="305"/>
      <c r="J91" s="302" t="s">
        <v>256</v>
      </c>
      <c r="K91" s="164">
        <v>2</v>
      </c>
      <c r="L91" s="91"/>
      <c r="M91" s="92"/>
    </row>
    <row r="92" spans="1:13" s="45" customFormat="1" ht="8.5500000000000007" customHeight="1" x14ac:dyDescent="0.2">
      <c r="A92" s="43"/>
      <c r="B92" s="158"/>
      <c r="C92" s="158"/>
      <c r="D92" s="158"/>
      <c r="E92" s="158"/>
      <c r="F92" s="159"/>
      <c r="G92" s="252"/>
      <c r="H92" s="303"/>
      <c r="I92" s="306"/>
      <c r="J92" s="338"/>
      <c r="K92" s="165"/>
      <c r="L92" s="91"/>
      <c r="M92" s="92"/>
    </row>
    <row r="93" spans="1:13" s="45" customFormat="1" ht="8.5500000000000007" customHeight="1" x14ac:dyDescent="0.2">
      <c r="A93" s="43"/>
      <c r="B93" s="201" t="s">
        <v>499</v>
      </c>
      <c r="C93" s="201"/>
      <c r="D93" s="201"/>
      <c r="E93" s="201"/>
      <c r="F93" s="157"/>
      <c r="G93" s="251">
        <v>1999</v>
      </c>
      <c r="H93" s="304">
        <v>95</v>
      </c>
      <c r="I93" s="305"/>
      <c r="J93" s="302" t="s">
        <v>34</v>
      </c>
      <c r="K93" s="164">
        <v>1</v>
      </c>
      <c r="L93" s="91"/>
      <c r="M93" s="92"/>
    </row>
    <row r="94" spans="1:13" s="45" customFormat="1" ht="8.5500000000000007" customHeight="1" x14ac:dyDescent="0.2">
      <c r="A94" s="43"/>
      <c r="B94" s="158"/>
      <c r="C94" s="158"/>
      <c r="D94" s="158"/>
      <c r="E94" s="158"/>
      <c r="F94" s="159"/>
      <c r="G94" s="252"/>
      <c r="H94" s="303"/>
      <c r="I94" s="306"/>
      <c r="J94" s="338"/>
      <c r="K94" s="165"/>
      <c r="L94" s="91"/>
      <c r="M94" s="92"/>
    </row>
    <row r="95" spans="1:13" s="45" customFormat="1" ht="8.5500000000000007" customHeight="1" x14ac:dyDescent="0.2">
      <c r="A95" s="43"/>
      <c r="B95" s="201" t="s">
        <v>499</v>
      </c>
      <c r="C95" s="201"/>
      <c r="D95" s="201"/>
      <c r="E95" s="201"/>
      <c r="F95" s="157"/>
      <c r="G95" s="251">
        <v>2001</v>
      </c>
      <c r="H95" s="304">
        <v>95</v>
      </c>
      <c r="I95" s="305"/>
      <c r="J95" s="302" t="s">
        <v>965</v>
      </c>
      <c r="K95" s="164">
        <v>1</v>
      </c>
      <c r="L95" s="91"/>
      <c r="M95" s="92"/>
    </row>
    <row r="96" spans="1:13" s="45" customFormat="1" ht="8.5500000000000007" customHeight="1" x14ac:dyDescent="0.2">
      <c r="A96" s="43"/>
      <c r="B96" s="158"/>
      <c r="C96" s="158"/>
      <c r="D96" s="158"/>
      <c r="E96" s="158"/>
      <c r="F96" s="159"/>
      <c r="G96" s="252"/>
      <c r="H96" s="303"/>
      <c r="I96" s="306"/>
      <c r="J96" s="338"/>
      <c r="K96" s="165"/>
      <c r="L96" s="91"/>
      <c r="M96" s="92"/>
    </row>
    <row r="97" spans="1:13" s="45" customFormat="1" ht="8.5500000000000007" customHeight="1" x14ac:dyDescent="0.2">
      <c r="A97" s="43"/>
      <c r="B97" s="201" t="s">
        <v>499</v>
      </c>
      <c r="C97" s="201"/>
      <c r="D97" s="201"/>
      <c r="E97" s="201"/>
      <c r="F97" s="157"/>
      <c r="G97" s="251">
        <v>2003</v>
      </c>
      <c r="H97" s="304">
        <v>93</v>
      </c>
      <c r="I97" s="305"/>
      <c r="J97" s="302"/>
      <c r="K97" s="164">
        <v>3</v>
      </c>
      <c r="L97" s="91"/>
      <c r="M97" s="92"/>
    </row>
    <row r="98" spans="1:13" s="45" customFormat="1" ht="8.5500000000000007" customHeight="1" x14ac:dyDescent="0.2">
      <c r="A98" s="43"/>
      <c r="B98" s="158"/>
      <c r="C98" s="158"/>
      <c r="D98" s="158"/>
      <c r="E98" s="158"/>
      <c r="F98" s="159"/>
      <c r="G98" s="252"/>
      <c r="H98" s="303"/>
      <c r="I98" s="306"/>
      <c r="J98" s="338"/>
      <c r="K98" s="165"/>
      <c r="L98" s="91"/>
      <c r="M98" s="92"/>
    </row>
    <row r="99" spans="1:13" s="45" customFormat="1" ht="8.5500000000000007" customHeight="1" x14ac:dyDescent="0.2">
      <c r="A99" s="43"/>
      <c r="B99" s="201" t="s">
        <v>499</v>
      </c>
      <c r="C99" s="201"/>
      <c r="D99" s="201"/>
      <c r="E99" s="201"/>
      <c r="F99" s="157"/>
      <c r="G99" s="251">
        <v>2005</v>
      </c>
      <c r="H99" s="304">
        <v>95</v>
      </c>
      <c r="I99" s="305">
        <v>92</v>
      </c>
      <c r="J99" s="302" t="s">
        <v>236</v>
      </c>
      <c r="K99" s="164">
        <v>3</v>
      </c>
      <c r="L99" s="91"/>
      <c r="M99" s="92"/>
    </row>
    <row r="100" spans="1:13" s="45" customFormat="1" ht="8.5500000000000007" customHeight="1" x14ac:dyDescent="0.2">
      <c r="A100" s="43"/>
      <c r="B100" s="158"/>
      <c r="C100" s="158"/>
      <c r="D100" s="158"/>
      <c r="E100" s="158"/>
      <c r="F100" s="159"/>
      <c r="G100" s="252"/>
      <c r="H100" s="303"/>
      <c r="I100" s="306"/>
      <c r="J100" s="338"/>
      <c r="K100" s="165"/>
      <c r="L100" s="91"/>
      <c r="M100" s="92"/>
    </row>
    <row r="101" spans="1:13" s="45" customFormat="1" ht="8.5500000000000007" customHeight="1" x14ac:dyDescent="0.2">
      <c r="A101" s="43"/>
      <c r="B101" s="201" t="s">
        <v>499</v>
      </c>
      <c r="C101" s="201"/>
      <c r="D101" s="201"/>
      <c r="E101" s="201"/>
      <c r="F101" s="157"/>
      <c r="G101" s="251">
        <v>2007</v>
      </c>
      <c r="H101" s="304">
        <v>97</v>
      </c>
      <c r="I101" s="305"/>
      <c r="J101" s="302"/>
      <c r="K101" s="164">
        <v>1</v>
      </c>
      <c r="L101" s="91"/>
      <c r="M101" s="92"/>
    </row>
    <row r="102" spans="1:13" s="45" customFormat="1" ht="8.5500000000000007" customHeight="1" x14ac:dyDescent="0.2">
      <c r="A102" s="43"/>
      <c r="B102" s="158"/>
      <c r="C102" s="158"/>
      <c r="D102" s="158"/>
      <c r="E102" s="158"/>
      <c r="F102" s="159"/>
      <c r="G102" s="252"/>
      <c r="H102" s="303"/>
      <c r="I102" s="306"/>
      <c r="J102" s="338"/>
      <c r="K102" s="165"/>
      <c r="L102" s="91"/>
      <c r="M102" s="92"/>
    </row>
    <row r="103" spans="1:13" s="45" customFormat="1" ht="8.5500000000000007" customHeight="1" x14ac:dyDescent="0.2">
      <c r="A103" s="43"/>
      <c r="B103" s="201" t="s">
        <v>885</v>
      </c>
      <c r="C103" s="201"/>
      <c r="D103" s="201"/>
      <c r="E103" s="201"/>
      <c r="F103" s="157"/>
      <c r="G103" s="251">
        <v>1993</v>
      </c>
      <c r="H103" s="304">
        <v>92</v>
      </c>
      <c r="I103" s="305">
        <v>88</v>
      </c>
      <c r="J103" s="302" t="s">
        <v>687</v>
      </c>
      <c r="K103" s="164">
        <v>2</v>
      </c>
      <c r="L103" s="91"/>
      <c r="M103" s="92"/>
    </row>
    <row r="104" spans="1:13" s="45" customFormat="1" ht="8.5500000000000007" customHeight="1" x14ac:dyDescent="0.2">
      <c r="A104" s="43"/>
      <c r="B104" s="158"/>
      <c r="C104" s="158"/>
      <c r="D104" s="158"/>
      <c r="E104" s="158"/>
      <c r="F104" s="159"/>
      <c r="G104" s="252"/>
      <c r="H104" s="303"/>
      <c r="I104" s="306"/>
      <c r="J104" s="338"/>
      <c r="K104" s="165"/>
      <c r="L104" s="91"/>
      <c r="M104" s="92"/>
    </row>
    <row r="105" spans="1:13" s="45" customFormat="1" ht="8.5500000000000007" customHeight="1" x14ac:dyDescent="0.2">
      <c r="A105" s="43"/>
      <c r="B105" s="201" t="s">
        <v>885</v>
      </c>
      <c r="C105" s="201"/>
      <c r="D105" s="201"/>
      <c r="E105" s="201"/>
      <c r="F105" s="157"/>
      <c r="G105" s="251">
        <v>1997</v>
      </c>
      <c r="H105" s="304">
        <v>97</v>
      </c>
      <c r="I105" s="305">
        <v>92</v>
      </c>
      <c r="J105" s="302" t="s">
        <v>46</v>
      </c>
      <c r="K105" s="164">
        <v>3</v>
      </c>
      <c r="L105" s="91"/>
      <c r="M105" s="92"/>
    </row>
    <row r="106" spans="1:13" s="45" customFormat="1" ht="8.5500000000000007" customHeight="1" x14ac:dyDescent="0.2">
      <c r="A106" s="43"/>
      <c r="B106" s="158"/>
      <c r="C106" s="158"/>
      <c r="D106" s="158"/>
      <c r="E106" s="158"/>
      <c r="F106" s="159"/>
      <c r="G106" s="252"/>
      <c r="H106" s="303"/>
      <c r="I106" s="306"/>
      <c r="J106" s="338"/>
      <c r="K106" s="165"/>
      <c r="L106" s="91"/>
      <c r="M106" s="92"/>
    </row>
    <row r="107" spans="1:13" s="45" customFormat="1" ht="8.5500000000000007" customHeight="1" x14ac:dyDescent="0.2">
      <c r="A107" s="43"/>
      <c r="B107" s="201" t="s">
        <v>885</v>
      </c>
      <c r="C107" s="201"/>
      <c r="D107" s="201"/>
      <c r="E107" s="201"/>
      <c r="F107" s="157"/>
      <c r="G107" s="251">
        <v>2001</v>
      </c>
      <c r="H107" s="304">
        <v>97</v>
      </c>
      <c r="I107" s="64"/>
      <c r="J107" s="302" t="s">
        <v>500</v>
      </c>
      <c r="K107" s="164">
        <v>4</v>
      </c>
      <c r="L107" s="91"/>
      <c r="M107" s="92"/>
    </row>
    <row r="108" spans="1:13" s="45" customFormat="1" ht="8.5500000000000007" customHeight="1" x14ac:dyDescent="0.2">
      <c r="A108" s="43"/>
      <c r="B108" s="158"/>
      <c r="C108" s="158"/>
      <c r="D108" s="158"/>
      <c r="E108" s="158"/>
      <c r="F108" s="159"/>
      <c r="G108" s="252"/>
      <c r="H108" s="303"/>
      <c r="I108" s="95"/>
      <c r="J108" s="338"/>
      <c r="K108" s="165"/>
      <c r="L108" s="91"/>
      <c r="M108" s="92"/>
    </row>
    <row r="109" spans="1:13" s="45" customFormat="1" ht="8.5500000000000007" customHeight="1" x14ac:dyDescent="0.2">
      <c r="A109" s="43"/>
      <c r="B109" s="201" t="s">
        <v>1497</v>
      </c>
      <c r="C109" s="201"/>
      <c r="D109" s="201"/>
      <c r="E109" s="201"/>
      <c r="F109" s="157"/>
      <c r="G109" s="251">
        <v>2003</v>
      </c>
      <c r="H109" s="304">
        <v>90</v>
      </c>
      <c r="I109" s="64"/>
      <c r="J109" s="302"/>
      <c r="K109" s="164">
        <v>3</v>
      </c>
      <c r="L109" s="91"/>
      <c r="M109" s="92"/>
    </row>
    <row r="110" spans="1:13" s="45" customFormat="1" ht="8.5500000000000007" customHeight="1" x14ac:dyDescent="0.2">
      <c r="A110" s="43"/>
      <c r="B110" s="158"/>
      <c r="C110" s="158"/>
      <c r="D110" s="158"/>
      <c r="E110" s="158"/>
      <c r="F110" s="159"/>
      <c r="G110" s="252"/>
      <c r="H110" s="303"/>
      <c r="I110" s="95"/>
      <c r="J110" s="338"/>
      <c r="K110" s="165"/>
      <c r="L110" s="91"/>
      <c r="M110" s="92"/>
    </row>
    <row r="111" spans="1:13" s="45" customFormat="1" ht="8.5500000000000007" customHeight="1" x14ac:dyDescent="0.2">
      <c r="A111" s="43"/>
      <c r="B111" s="201" t="s">
        <v>559</v>
      </c>
      <c r="C111" s="201"/>
      <c r="D111" s="201"/>
      <c r="E111" s="201"/>
      <c r="F111" s="157"/>
      <c r="G111" s="251">
        <v>1968</v>
      </c>
      <c r="H111" s="305"/>
      <c r="I111" s="305"/>
      <c r="J111" s="305"/>
      <c r="K111" s="164">
        <v>1</v>
      </c>
      <c r="L111" s="91"/>
      <c r="M111" s="92"/>
    </row>
    <row r="112" spans="1:13" s="45" customFormat="1" ht="8.5500000000000007" customHeight="1" x14ac:dyDescent="0.2">
      <c r="A112" s="43"/>
      <c r="B112" s="158"/>
      <c r="C112" s="158"/>
      <c r="D112" s="158"/>
      <c r="E112" s="158"/>
      <c r="F112" s="159"/>
      <c r="G112" s="252"/>
      <c r="H112" s="306"/>
      <c r="I112" s="306"/>
      <c r="J112" s="306"/>
      <c r="K112" s="165"/>
      <c r="L112" s="91"/>
      <c r="M112" s="92"/>
    </row>
    <row r="113" spans="1:13" s="45" customFormat="1" ht="8.5500000000000007" customHeight="1" x14ac:dyDescent="0.2">
      <c r="A113" s="43"/>
      <c r="B113" s="201" t="s">
        <v>559</v>
      </c>
      <c r="C113" s="201"/>
      <c r="D113" s="201"/>
      <c r="E113" s="201"/>
      <c r="F113" s="157"/>
      <c r="G113" s="251">
        <v>1982</v>
      </c>
      <c r="H113" s="305"/>
      <c r="I113" s="305"/>
      <c r="J113" s="305"/>
      <c r="K113" s="164">
        <v>1</v>
      </c>
      <c r="L113" s="91"/>
      <c r="M113" s="92"/>
    </row>
    <row r="114" spans="1:13" s="45" customFormat="1" ht="8.5500000000000007" customHeight="1" x14ac:dyDescent="0.2">
      <c r="A114" s="43"/>
      <c r="B114" s="158"/>
      <c r="C114" s="158"/>
      <c r="D114" s="158"/>
      <c r="E114" s="158"/>
      <c r="F114" s="159"/>
      <c r="G114" s="252"/>
      <c r="H114" s="306"/>
      <c r="I114" s="306"/>
      <c r="J114" s="306"/>
      <c r="K114" s="165"/>
      <c r="L114" s="91"/>
      <c r="M114" s="92"/>
    </row>
    <row r="115" spans="1:13" s="45" customFormat="1" ht="8.5500000000000007" customHeight="1" x14ac:dyDescent="0.2">
      <c r="A115" s="43"/>
      <c r="B115" s="201" t="s">
        <v>559</v>
      </c>
      <c r="C115" s="201"/>
      <c r="D115" s="201"/>
      <c r="E115" s="201"/>
      <c r="F115" s="157"/>
      <c r="G115" s="251">
        <v>1985</v>
      </c>
      <c r="H115" s="304">
        <v>95</v>
      </c>
      <c r="I115" s="305"/>
      <c r="J115" s="332" t="s">
        <v>132</v>
      </c>
      <c r="K115" s="164">
        <v>2</v>
      </c>
      <c r="L115" s="91"/>
      <c r="M115" s="92"/>
    </row>
    <row r="116" spans="1:13" s="45" customFormat="1" ht="8.5500000000000007" customHeight="1" x14ac:dyDescent="0.2">
      <c r="A116" s="43"/>
      <c r="B116" s="158"/>
      <c r="C116" s="158"/>
      <c r="D116" s="158"/>
      <c r="E116" s="158"/>
      <c r="F116" s="159"/>
      <c r="G116" s="252"/>
      <c r="H116" s="303"/>
      <c r="I116" s="306"/>
      <c r="J116" s="349"/>
      <c r="K116" s="165"/>
      <c r="L116" s="91"/>
      <c r="M116" s="92"/>
    </row>
    <row r="117" spans="1:13" s="45" customFormat="1" ht="8.5500000000000007" customHeight="1" x14ac:dyDescent="0.2">
      <c r="A117" s="43"/>
      <c r="B117" s="201" t="s">
        <v>559</v>
      </c>
      <c r="C117" s="201"/>
      <c r="D117" s="201"/>
      <c r="E117" s="201"/>
      <c r="F117" s="157"/>
      <c r="G117" s="251">
        <v>1990</v>
      </c>
      <c r="H117" s="304">
        <v>94</v>
      </c>
      <c r="I117" s="305"/>
      <c r="J117" s="302" t="s">
        <v>256</v>
      </c>
      <c r="K117" s="164">
        <v>2</v>
      </c>
      <c r="L117" s="91"/>
      <c r="M117" s="92"/>
    </row>
    <row r="118" spans="1:13" s="45" customFormat="1" ht="8.5500000000000007" customHeight="1" x14ac:dyDescent="0.2">
      <c r="A118" s="43"/>
      <c r="B118" s="158"/>
      <c r="C118" s="158"/>
      <c r="D118" s="158"/>
      <c r="E118" s="158"/>
      <c r="F118" s="159"/>
      <c r="G118" s="252"/>
      <c r="H118" s="303"/>
      <c r="I118" s="306"/>
      <c r="J118" s="338"/>
      <c r="K118" s="165"/>
      <c r="L118" s="91"/>
      <c r="M118" s="92"/>
    </row>
    <row r="119" spans="1:13" s="45" customFormat="1" ht="8.5500000000000007" customHeight="1" x14ac:dyDescent="0.2">
      <c r="A119" s="43"/>
      <c r="B119" s="201" t="s">
        <v>559</v>
      </c>
      <c r="C119" s="201"/>
      <c r="D119" s="201"/>
      <c r="E119" s="201"/>
      <c r="F119" s="157"/>
      <c r="G119" s="251">
        <v>1997</v>
      </c>
      <c r="H119" s="304">
        <v>94</v>
      </c>
      <c r="I119" s="305"/>
      <c r="J119" s="302" t="s">
        <v>62</v>
      </c>
      <c r="K119" s="164">
        <v>1</v>
      </c>
      <c r="L119" s="91"/>
      <c r="M119" s="92"/>
    </row>
    <row r="120" spans="1:13" s="45" customFormat="1" ht="8.5500000000000007" customHeight="1" x14ac:dyDescent="0.2">
      <c r="A120" s="43"/>
      <c r="B120" s="158"/>
      <c r="C120" s="158"/>
      <c r="D120" s="158"/>
      <c r="E120" s="158"/>
      <c r="F120" s="159"/>
      <c r="G120" s="252"/>
      <c r="H120" s="303"/>
      <c r="I120" s="306"/>
      <c r="J120" s="338"/>
      <c r="K120" s="165"/>
      <c r="L120" s="91"/>
      <c r="M120" s="92"/>
    </row>
    <row r="121" spans="1:13" s="45" customFormat="1" ht="8.5500000000000007" customHeight="1" x14ac:dyDescent="0.2">
      <c r="A121" s="43"/>
      <c r="B121" s="201" t="s">
        <v>559</v>
      </c>
      <c r="C121" s="201"/>
      <c r="D121" s="201"/>
      <c r="E121" s="201"/>
      <c r="F121" s="157"/>
      <c r="G121" s="251">
        <v>1998</v>
      </c>
      <c r="H121" s="304" t="s">
        <v>304</v>
      </c>
      <c r="I121" s="305"/>
      <c r="J121" s="302" t="s">
        <v>346</v>
      </c>
      <c r="K121" s="164">
        <v>1</v>
      </c>
      <c r="L121" s="91"/>
      <c r="M121" s="92"/>
    </row>
    <row r="122" spans="1:13" s="45" customFormat="1" ht="8.5500000000000007" customHeight="1" x14ac:dyDescent="0.2">
      <c r="A122" s="43"/>
      <c r="B122" s="158"/>
      <c r="C122" s="158"/>
      <c r="D122" s="158"/>
      <c r="E122" s="158"/>
      <c r="F122" s="159"/>
      <c r="G122" s="252"/>
      <c r="H122" s="303"/>
      <c r="I122" s="306"/>
      <c r="J122" s="338"/>
      <c r="K122" s="165"/>
      <c r="L122" s="91"/>
      <c r="M122" s="92"/>
    </row>
    <row r="123" spans="1:13" s="45" customFormat="1" ht="8.5500000000000007" customHeight="1" x14ac:dyDescent="0.2">
      <c r="A123" s="43"/>
      <c r="B123" s="339" t="s">
        <v>814</v>
      </c>
      <c r="C123" s="339"/>
      <c r="D123" s="339"/>
      <c r="E123" s="339"/>
      <c r="F123" s="339"/>
      <c r="G123" s="79"/>
      <c r="H123" s="47"/>
      <c r="I123" s="96"/>
      <c r="J123" s="48"/>
      <c r="K123" s="164"/>
      <c r="L123" s="91"/>
      <c r="M123" s="92"/>
    </row>
    <row r="124" spans="1:13" s="45" customFormat="1" ht="8.5500000000000007" customHeight="1" x14ac:dyDescent="0.2">
      <c r="A124" s="43"/>
      <c r="B124" s="340"/>
      <c r="C124" s="340"/>
      <c r="D124" s="340"/>
      <c r="E124" s="340"/>
      <c r="F124" s="340"/>
      <c r="G124" s="80"/>
      <c r="H124" s="54"/>
      <c r="I124" s="49"/>
      <c r="J124" s="49"/>
      <c r="K124" s="165"/>
      <c r="L124" s="91"/>
      <c r="M124" s="92"/>
    </row>
    <row r="125" spans="1:13" s="45" customFormat="1" ht="8.5500000000000007" customHeight="1" x14ac:dyDescent="0.2">
      <c r="A125" s="43"/>
      <c r="B125" s="201" t="s">
        <v>559</v>
      </c>
      <c r="C125" s="201"/>
      <c r="D125" s="201"/>
      <c r="E125" s="201"/>
      <c r="F125" s="157"/>
      <c r="G125" s="251">
        <v>1999</v>
      </c>
      <c r="H125" s="304">
        <v>93</v>
      </c>
      <c r="I125" s="305">
        <v>93</v>
      </c>
      <c r="J125" s="302" t="s">
        <v>408</v>
      </c>
      <c r="K125" s="164">
        <v>1</v>
      </c>
      <c r="L125" s="91"/>
      <c r="M125" s="92"/>
    </row>
    <row r="126" spans="1:13" s="45" customFormat="1" ht="8.5500000000000007" customHeight="1" x14ac:dyDescent="0.2">
      <c r="A126" s="43"/>
      <c r="B126" s="158"/>
      <c r="C126" s="158"/>
      <c r="D126" s="158"/>
      <c r="E126" s="158"/>
      <c r="F126" s="159"/>
      <c r="G126" s="252"/>
      <c r="H126" s="303"/>
      <c r="I126" s="306"/>
      <c r="J126" s="338"/>
      <c r="K126" s="165"/>
      <c r="L126" s="91"/>
      <c r="M126" s="92"/>
    </row>
    <row r="127" spans="1:13" s="45" customFormat="1" ht="8.5500000000000007" customHeight="1" x14ac:dyDescent="0.2">
      <c r="A127" s="43"/>
      <c r="B127" s="201" t="s">
        <v>559</v>
      </c>
      <c r="C127" s="201"/>
      <c r="D127" s="201"/>
      <c r="E127" s="201"/>
      <c r="F127" s="157"/>
      <c r="G127" s="251">
        <v>2001</v>
      </c>
      <c r="H127" s="304">
        <v>92</v>
      </c>
      <c r="I127" s="305"/>
      <c r="J127" s="302"/>
      <c r="K127" s="164">
        <v>2</v>
      </c>
      <c r="L127" s="91"/>
      <c r="M127" s="92"/>
    </row>
    <row r="128" spans="1:13" s="45" customFormat="1" ht="8.5500000000000007" customHeight="1" x14ac:dyDescent="0.2">
      <c r="A128" s="43"/>
      <c r="B128" s="158"/>
      <c r="C128" s="158"/>
      <c r="D128" s="158"/>
      <c r="E128" s="158"/>
      <c r="F128" s="159"/>
      <c r="G128" s="252"/>
      <c r="H128" s="303"/>
      <c r="I128" s="306"/>
      <c r="J128" s="338"/>
      <c r="K128" s="165"/>
      <c r="L128" s="91"/>
      <c r="M128" s="92"/>
    </row>
    <row r="129" spans="1:13" s="45" customFormat="1" ht="8.5500000000000007" customHeight="1" x14ac:dyDescent="0.2">
      <c r="A129" s="43"/>
      <c r="B129" s="201" t="s">
        <v>559</v>
      </c>
      <c r="C129" s="201"/>
      <c r="D129" s="201"/>
      <c r="E129" s="201"/>
      <c r="F129" s="157"/>
      <c r="G129" s="251">
        <v>2004</v>
      </c>
      <c r="H129" s="304">
        <v>95</v>
      </c>
      <c r="I129" s="305"/>
      <c r="J129" s="302" t="s">
        <v>45</v>
      </c>
      <c r="K129" s="164">
        <v>2</v>
      </c>
      <c r="L129" s="91"/>
      <c r="M129" s="92"/>
    </row>
    <row r="130" spans="1:13" s="45" customFormat="1" ht="8.5500000000000007" customHeight="1" x14ac:dyDescent="0.2">
      <c r="A130" s="43"/>
      <c r="B130" s="158"/>
      <c r="C130" s="158"/>
      <c r="D130" s="158"/>
      <c r="E130" s="158"/>
      <c r="F130" s="159"/>
      <c r="G130" s="252"/>
      <c r="H130" s="303"/>
      <c r="I130" s="306"/>
      <c r="J130" s="338"/>
      <c r="K130" s="165"/>
      <c r="L130" s="91"/>
      <c r="M130" s="92"/>
    </row>
    <row r="131" spans="1:13" s="45" customFormat="1" ht="8.5500000000000007" customHeight="1" x14ac:dyDescent="0.2">
      <c r="A131" s="43"/>
      <c r="B131" s="201" t="s">
        <v>559</v>
      </c>
      <c r="C131" s="201"/>
      <c r="D131" s="201"/>
      <c r="E131" s="201"/>
      <c r="F131" s="157"/>
      <c r="G131" s="251">
        <v>2005</v>
      </c>
      <c r="H131" s="304">
        <v>95</v>
      </c>
      <c r="I131" s="305"/>
      <c r="J131" s="305"/>
      <c r="K131" s="164">
        <v>2</v>
      </c>
      <c r="L131" s="91"/>
      <c r="M131" s="92"/>
    </row>
    <row r="132" spans="1:13" s="45" customFormat="1" ht="8.5500000000000007" customHeight="1" x14ac:dyDescent="0.2">
      <c r="A132" s="43"/>
      <c r="B132" s="158"/>
      <c r="C132" s="158"/>
      <c r="D132" s="158"/>
      <c r="E132" s="158"/>
      <c r="F132" s="159"/>
      <c r="G132" s="252"/>
      <c r="H132" s="303"/>
      <c r="I132" s="306"/>
      <c r="J132" s="306"/>
      <c r="K132" s="165"/>
      <c r="L132" s="91"/>
      <c r="M132" s="92"/>
    </row>
    <row r="133" spans="1:13" s="45" customFormat="1" ht="8.5500000000000007" customHeight="1" x14ac:dyDescent="0.2">
      <c r="A133" s="43"/>
      <c r="B133" s="201" t="s">
        <v>559</v>
      </c>
      <c r="C133" s="201"/>
      <c r="D133" s="201"/>
      <c r="E133" s="201"/>
      <c r="F133" s="157"/>
      <c r="G133" s="251">
        <v>2007</v>
      </c>
      <c r="H133" s="304">
        <v>96</v>
      </c>
      <c r="I133" s="305"/>
      <c r="J133" s="345" t="s">
        <v>718</v>
      </c>
      <c r="K133" s="164">
        <v>4</v>
      </c>
      <c r="L133" s="91"/>
      <c r="M133" s="92"/>
    </row>
    <row r="134" spans="1:13" s="45" customFormat="1" ht="8.5500000000000007" customHeight="1" x14ac:dyDescent="0.2">
      <c r="A134" s="43"/>
      <c r="B134" s="158"/>
      <c r="C134" s="158"/>
      <c r="D134" s="158"/>
      <c r="E134" s="158"/>
      <c r="F134" s="159"/>
      <c r="G134" s="252"/>
      <c r="H134" s="303"/>
      <c r="I134" s="306"/>
      <c r="J134" s="306"/>
      <c r="K134" s="165"/>
      <c r="L134" s="91"/>
      <c r="M134" s="92"/>
    </row>
    <row r="135" spans="1:13" s="45" customFormat="1" ht="8.5500000000000007" customHeight="1" x14ac:dyDescent="0.2">
      <c r="A135" s="43"/>
      <c r="B135" s="201" t="s">
        <v>484</v>
      </c>
      <c r="C135" s="201"/>
      <c r="D135" s="201"/>
      <c r="E135" s="201"/>
      <c r="F135" s="157"/>
      <c r="G135" s="251">
        <v>1999</v>
      </c>
      <c r="H135" s="304">
        <v>93</v>
      </c>
      <c r="I135" s="305">
        <v>95</v>
      </c>
      <c r="J135" s="302" t="s">
        <v>413</v>
      </c>
      <c r="K135" s="164">
        <v>2</v>
      </c>
      <c r="L135" s="91"/>
      <c r="M135" s="92"/>
    </row>
    <row r="136" spans="1:13" s="45" customFormat="1" ht="8.5500000000000007" customHeight="1" x14ac:dyDescent="0.2">
      <c r="A136" s="43"/>
      <c r="B136" s="158"/>
      <c r="C136" s="158"/>
      <c r="D136" s="158"/>
      <c r="E136" s="158"/>
      <c r="F136" s="159"/>
      <c r="G136" s="252"/>
      <c r="H136" s="303"/>
      <c r="I136" s="306"/>
      <c r="J136" s="338"/>
      <c r="K136" s="165"/>
      <c r="L136" s="91"/>
      <c r="M136" s="92"/>
    </row>
    <row r="137" spans="1:13" s="45" customFormat="1" ht="8.5500000000000007" customHeight="1" x14ac:dyDescent="0.2">
      <c r="A137" s="43"/>
      <c r="B137" s="201" t="s">
        <v>484</v>
      </c>
      <c r="C137" s="201"/>
      <c r="D137" s="201"/>
      <c r="E137" s="201"/>
      <c r="F137" s="157"/>
      <c r="G137" s="251">
        <v>2000</v>
      </c>
      <c r="H137" s="304">
        <v>94</v>
      </c>
      <c r="I137" s="305">
        <v>98</v>
      </c>
      <c r="J137" s="302" t="s">
        <v>351</v>
      </c>
      <c r="K137" s="164">
        <v>2</v>
      </c>
      <c r="L137" s="91"/>
      <c r="M137" s="92"/>
    </row>
    <row r="138" spans="1:13" s="45" customFormat="1" ht="8.5500000000000007" customHeight="1" x14ac:dyDescent="0.2">
      <c r="A138" s="43"/>
      <c r="B138" s="158"/>
      <c r="C138" s="158"/>
      <c r="D138" s="158"/>
      <c r="E138" s="158"/>
      <c r="F138" s="159"/>
      <c r="G138" s="252"/>
      <c r="H138" s="303"/>
      <c r="I138" s="306"/>
      <c r="J138" s="338"/>
      <c r="K138" s="165"/>
      <c r="L138" s="91"/>
      <c r="M138" s="92"/>
    </row>
    <row r="139" spans="1:13" s="45" customFormat="1" ht="8.5500000000000007" customHeight="1" x14ac:dyDescent="0.2">
      <c r="A139" s="43"/>
      <c r="B139" s="201" t="s">
        <v>484</v>
      </c>
      <c r="C139" s="201"/>
      <c r="D139" s="201"/>
      <c r="E139" s="201"/>
      <c r="F139" s="157"/>
      <c r="G139" s="251">
        <v>2004</v>
      </c>
      <c r="H139" s="304">
        <v>94</v>
      </c>
      <c r="I139" s="305">
        <v>97</v>
      </c>
      <c r="J139" s="302" t="s">
        <v>483</v>
      </c>
      <c r="K139" s="164">
        <v>2</v>
      </c>
      <c r="L139" s="91"/>
      <c r="M139" s="92"/>
    </row>
    <row r="140" spans="1:13" s="45" customFormat="1" ht="8.5500000000000007" customHeight="1" x14ac:dyDescent="0.2">
      <c r="A140" s="43"/>
      <c r="B140" s="158"/>
      <c r="C140" s="158"/>
      <c r="D140" s="158"/>
      <c r="E140" s="158"/>
      <c r="F140" s="159"/>
      <c r="G140" s="252"/>
      <c r="H140" s="303"/>
      <c r="I140" s="306"/>
      <c r="J140" s="338"/>
      <c r="K140" s="165"/>
      <c r="L140" s="91"/>
      <c r="M140" s="92"/>
    </row>
    <row r="141" spans="1:13" s="45" customFormat="1" ht="8.5500000000000007" customHeight="1" x14ac:dyDescent="0.2">
      <c r="A141" s="43"/>
      <c r="B141" s="201" t="s">
        <v>485</v>
      </c>
      <c r="C141" s="201"/>
      <c r="D141" s="201"/>
      <c r="E141" s="201"/>
      <c r="F141" s="157"/>
      <c r="G141" s="251">
        <v>2000</v>
      </c>
      <c r="H141" s="304">
        <v>97</v>
      </c>
      <c r="I141" s="305">
        <v>95</v>
      </c>
      <c r="J141" s="302" t="s">
        <v>15</v>
      </c>
      <c r="K141" s="164">
        <v>1</v>
      </c>
      <c r="L141" s="91"/>
      <c r="M141" s="92"/>
    </row>
    <row r="142" spans="1:13" s="45" customFormat="1" ht="8.5500000000000007" customHeight="1" x14ac:dyDescent="0.2">
      <c r="A142" s="43"/>
      <c r="B142" s="158"/>
      <c r="C142" s="158"/>
      <c r="D142" s="158"/>
      <c r="E142" s="158"/>
      <c r="F142" s="159"/>
      <c r="G142" s="252"/>
      <c r="H142" s="303"/>
      <c r="I142" s="306"/>
      <c r="J142" s="338"/>
      <c r="K142" s="165"/>
      <c r="L142" s="91"/>
      <c r="M142" s="92"/>
    </row>
    <row r="143" spans="1:13" s="45" customFormat="1" ht="8.5500000000000007" customHeight="1" x14ac:dyDescent="0.2">
      <c r="A143" s="43"/>
      <c r="B143" s="201" t="s">
        <v>485</v>
      </c>
      <c r="C143" s="201"/>
      <c r="D143" s="201"/>
      <c r="E143" s="201"/>
      <c r="F143" s="157"/>
      <c r="G143" s="251">
        <v>2001</v>
      </c>
      <c r="H143" s="304">
        <v>95</v>
      </c>
      <c r="I143" s="305"/>
      <c r="J143" s="302" t="s">
        <v>326</v>
      </c>
      <c r="K143" s="164">
        <v>1</v>
      </c>
      <c r="L143" s="91"/>
      <c r="M143" s="92"/>
    </row>
    <row r="144" spans="1:13" s="45" customFormat="1" ht="8.5500000000000007" customHeight="1" x14ac:dyDescent="0.2">
      <c r="A144" s="43"/>
      <c r="B144" s="158"/>
      <c r="C144" s="158"/>
      <c r="D144" s="158"/>
      <c r="E144" s="158"/>
      <c r="F144" s="159"/>
      <c r="G144" s="252"/>
      <c r="H144" s="303"/>
      <c r="I144" s="306"/>
      <c r="J144" s="338"/>
      <c r="K144" s="165"/>
      <c r="L144" s="91"/>
      <c r="M144" s="92"/>
    </row>
    <row r="145" spans="1:13" s="45" customFormat="1" ht="8.5500000000000007" customHeight="1" x14ac:dyDescent="0.2">
      <c r="A145" s="43"/>
      <c r="B145" s="201" t="s">
        <v>485</v>
      </c>
      <c r="C145" s="201"/>
      <c r="D145" s="201"/>
      <c r="E145" s="201"/>
      <c r="F145" s="157"/>
      <c r="G145" s="251">
        <v>2004</v>
      </c>
      <c r="H145" s="304">
        <v>97</v>
      </c>
      <c r="I145" s="305">
        <v>93</v>
      </c>
      <c r="J145" s="302" t="s">
        <v>251</v>
      </c>
      <c r="K145" s="164">
        <v>2</v>
      </c>
      <c r="L145" s="91"/>
      <c r="M145" s="92"/>
    </row>
    <row r="146" spans="1:13" s="45" customFormat="1" ht="8.5500000000000007" customHeight="1" x14ac:dyDescent="0.2">
      <c r="A146" s="43"/>
      <c r="B146" s="158"/>
      <c r="C146" s="158"/>
      <c r="D146" s="158"/>
      <c r="E146" s="158"/>
      <c r="F146" s="159"/>
      <c r="G146" s="252"/>
      <c r="H146" s="303"/>
      <c r="I146" s="306"/>
      <c r="J146" s="338"/>
      <c r="K146" s="165"/>
      <c r="L146" s="91"/>
      <c r="M146" s="92"/>
    </row>
    <row r="147" spans="1:13" s="45" customFormat="1" ht="8.5500000000000007" customHeight="1" x14ac:dyDescent="0.2">
      <c r="A147" s="43"/>
      <c r="B147" s="201" t="s">
        <v>486</v>
      </c>
      <c r="C147" s="201"/>
      <c r="D147" s="201"/>
      <c r="E147" s="201"/>
      <c r="F147" s="157"/>
      <c r="G147" s="251">
        <v>2001</v>
      </c>
      <c r="H147" s="304">
        <v>94</v>
      </c>
      <c r="I147" s="305">
        <v>95</v>
      </c>
      <c r="J147" s="332" t="s">
        <v>255</v>
      </c>
      <c r="K147" s="164">
        <v>1</v>
      </c>
      <c r="L147" s="91"/>
      <c r="M147" s="92"/>
    </row>
    <row r="148" spans="1:13" s="45" customFormat="1" ht="8.5500000000000007" customHeight="1" x14ac:dyDescent="0.2">
      <c r="A148" s="43"/>
      <c r="B148" s="158"/>
      <c r="C148" s="158"/>
      <c r="D148" s="158"/>
      <c r="E148" s="158"/>
      <c r="F148" s="159"/>
      <c r="G148" s="252"/>
      <c r="H148" s="303"/>
      <c r="I148" s="306"/>
      <c r="J148" s="349"/>
      <c r="K148" s="165"/>
      <c r="L148" s="91"/>
      <c r="M148" s="92"/>
    </row>
    <row r="149" spans="1:13" s="45" customFormat="1" ht="8.5500000000000007" customHeight="1" x14ac:dyDescent="0.2">
      <c r="A149" s="43"/>
      <c r="B149" s="201" t="s">
        <v>486</v>
      </c>
      <c r="C149" s="201"/>
      <c r="D149" s="201"/>
      <c r="E149" s="201"/>
      <c r="F149" s="157"/>
      <c r="G149" s="251">
        <v>2004</v>
      </c>
      <c r="H149" s="304">
        <v>96</v>
      </c>
      <c r="I149" s="305">
        <v>97</v>
      </c>
      <c r="J149" s="302" t="s">
        <v>251</v>
      </c>
      <c r="K149" s="164">
        <v>1</v>
      </c>
      <c r="L149" s="91"/>
      <c r="M149" s="92"/>
    </row>
    <row r="150" spans="1:13" s="45" customFormat="1" ht="8.5500000000000007" customHeight="1" x14ac:dyDescent="0.2">
      <c r="A150" s="43"/>
      <c r="B150" s="158"/>
      <c r="C150" s="158"/>
      <c r="D150" s="158"/>
      <c r="E150" s="158"/>
      <c r="F150" s="159"/>
      <c r="G150" s="252"/>
      <c r="H150" s="303"/>
      <c r="I150" s="306"/>
      <c r="J150" s="338"/>
      <c r="K150" s="165"/>
      <c r="L150" s="91"/>
      <c r="M150" s="92"/>
    </row>
    <row r="151" spans="1:13" s="45" customFormat="1" ht="8.5500000000000007" customHeight="1" x14ac:dyDescent="0.2">
      <c r="A151" s="43"/>
      <c r="B151" s="201" t="s">
        <v>1293</v>
      </c>
      <c r="C151" s="201"/>
      <c r="D151" s="201"/>
      <c r="E151" s="201"/>
      <c r="F151" s="157"/>
      <c r="G151" s="251">
        <v>2001</v>
      </c>
      <c r="H151" s="304">
        <v>96</v>
      </c>
      <c r="I151" s="305"/>
      <c r="J151" s="302" t="s">
        <v>352</v>
      </c>
      <c r="K151" s="164">
        <v>1</v>
      </c>
      <c r="L151" s="91"/>
      <c r="M151" s="92"/>
    </row>
    <row r="152" spans="1:13" s="45" customFormat="1" ht="8.5500000000000007" customHeight="1" x14ac:dyDescent="0.2">
      <c r="A152" s="43"/>
      <c r="B152" s="158"/>
      <c r="C152" s="158"/>
      <c r="D152" s="158"/>
      <c r="E152" s="158"/>
      <c r="F152" s="159"/>
      <c r="G152" s="252"/>
      <c r="H152" s="303"/>
      <c r="I152" s="306"/>
      <c r="J152" s="338"/>
      <c r="K152" s="165"/>
      <c r="L152" s="91"/>
      <c r="M152" s="92"/>
    </row>
    <row r="153" spans="1:13" s="45" customFormat="1" ht="8.5500000000000007" customHeight="1" x14ac:dyDescent="0.2">
      <c r="A153" s="43"/>
      <c r="B153" s="201" t="s">
        <v>1293</v>
      </c>
      <c r="C153" s="201"/>
      <c r="D153" s="201"/>
      <c r="E153" s="201"/>
      <c r="F153" s="157"/>
      <c r="G153" s="251">
        <v>2003</v>
      </c>
      <c r="H153" s="304">
        <v>93</v>
      </c>
      <c r="I153" s="305"/>
      <c r="J153" s="302" t="s">
        <v>414</v>
      </c>
      <c r="K153" s="164">
        <v>1</v>
      </c>
      <c r="L153" s="91"/>
      <c r="M153" s="92"/>
    </row>
    <row r="154" spans="1:13" s="45" customFormat="1" ht="8.5500000000000007" customHeight="1" x14ac:dyDescent="0.2">
      <c r="A154" s="43"/>
      <c r="B154" s="158"/>
      <c r="C154" s="158"/>
      <c r="D154" s="158"/>
      <c r="E154" s="158"/>
      <c r="F154" s="159"/>
      <c r="G154" s="252"/>
      <c r="H154" s="303"/>
      <c r="I154" s="306"/>
      <c r="J154" s="338"/>
      <c r="K154" s="165"/>
      <c r="L154" s="91"/>
      <c r="M154" s="92"/>
    </row>
    <row r="155" spans="1:13" s="45" customFormat="1" ht="8.5500000000000007" customHeight="1" x14ac:dyDescent="0.2">
      <c r="A155" s="43"/>
      <c r="B155" s="201" t="s">
        <v>653</v>
      </c>
      <c r="C155" s="201"/>
      <c r="D155" s="201"/>
      <c r="E155" s="201"/>
      <c r="F155" s="157"/>
      <c r="G155" s="251">
        <v>2000</v>
      </c>
      <c r="H155" s="304">
        <v>97</v>
      </c>
      <c r="I155" s="305">
        <v>100</v>
      </c>
      <c r="J155" s="302" t="s">
        <v>124</v>
      </c>
      <c r="K155" s="164">
        <v>2</v>
      </c>
      <c r="L155" s="91"/>
      <c r="M155" s="92"/>
    </row>
    <row r="156" spans="1:13" s="45" customFormat="1" ht="8.5500000000000007" customHeight="1" x14ac:dyDescent="0.2">
      <c r="A156" s="43"/>
      <c r="B156" s="158"/>
      <c r="C156" s="158"/>
      <c r="D156" s="158"/>
      <c r="E156" s="158"/>
      <c r="F156" s="159"/>
      <c r="G156" s="252"/>
      <c r="H156" s="303"/>
      <c r="I156" s="306"/>
      <c r="J156" s="338"/>
      <c r="K156" s="165"/>
      <c r="L156" s="91"/>
      <c r="M156" s="92"/>
    </row>
    <row r="157" spans="1:13" s="45" customFormat="1" ht="8.5500000000000007" customHeight="1" x14ac:dyDescent="0.2">
      <c r="A157" s="43"/>
      <c r="B157" s="201" t="s">
        <v>653</v>
      </c>
      <c r="C157" s="201"/>
      <c r="D157" s="201"/>
      <c r="E157" s="201"/>
      <c r="F157" s="157"/>
      <c r="G157" s="251">
        <v>2003</v>
      </c>
      <c r="H157" s="304">
        <v>94</v>
      </c>
      <c r="I157" s="305"/>
      <c r="J157" s="302" t="s">
        <v>343</v>
      </c>
      <c r="K157" s="164">
        <v>1</v>
      </c>
      <c r="L157" s="91"/>
      <c r="M157" s="92"/>
    </row>
    <row r="158" spans="1:13" s="45" customFormat="1" ht="8.5500000000000007" customHeight="1" x14ac:dyDescent="0.2">
      <c r="A158" s="43"/>
      <c r="B158" s="158"/>
      <c r="C158" s="158"/>
      <c r="D158" s="158"/>
      <c r="E158" s="158"/>
      <c r="F158" s="159"/>
      <c r="G158" s="252"/>
      <c r="H158" s="303"/>
      <c r="I158" s="306"/>
      <c r="J158" s="338"/>
      <c r="K158" s="165"/>
      <c r="L158" s="91"/>
      <c r="M158" s="92"/>
    </row>
    <row r="159" spans="1:13" s="45" customFormat="1" ht="8.5500000000000007" customHeight="1" x14ac:dyDescent="0.2">
      <c r="A159" s="43"/>
      <c r="B159" s="201" t="s">
        <v>487</v>
      </c>
      <c r="C159" s="201"/>
      <c r="D159" s="201"/>
      <c r="E159" s="201"/>
      <c r="F159" s="157"/>
      <c r="G159" s="251">
        <v>1990</v>
      </c>
      <c r="H159" s="304">
        <v>95</v>
      </c>
      <c r="I159" s="305"/>
      <c r="J159" s="302" t="s">
        <v>222</v>
      </c>
      <c r="K159" s="164">
        <v>1</v>
      </c>
      <c r="L159" s="91"/>
      <c r="M159" s="92"/>
    </row>
    <row r="160" spans="1:13" s="45" customFormat="1" ht="8.5500000000000007" customHeight="1" x14ac:dyDescent="0.2">
      <c r="A160" s="43"/>
      <c r="B160" s="158"/>
      <c r="C160" s="158"/>
      <c r="D160" s="158"/>
      <c r="E160" s="158"/>
      <c r="F160" s="159"/>
      <c r="G160" s="252"/>
      <c r="H160" s="303"/>
      <c r="I160" s="306"/>
      <c r="J160" s="338"/>
      <c r="K160" s="165"/>
      <c r="L160" s="91"/>
      <c r="M160" s="92"/>
    </row>
    <row r="161" spans="1:13" s="45" customFormat="1" ht="8.5500000000000007" customHeight="1" x14ac:dyDescent="0.2">
      <c r="A161" s="43"/>
      <c r="B161" s="201" t="s">
        <v>487</v>
      </c>
      <c r="C161" s="201"/>
      <c r="D161" s="201"/>
      <c r="E161" s="201"/>
      <c r="F161" s="157"/>
      <c r="G161" s="251">
        <v>2000</v>
      </c>
      <c r="H161" s="304">
        <v>96</v>
      </c>
      <c r="I161" s="305">
        <v>97</v>
      </c>
      <c r="J161" s="302" t="s">
        <v>124</v>
      </c>
      <c r="K161" s="164">
        <v>3</v>
      </c>
      <c r="L161" s="91"/>
      <c r="M161" s="92"/>
    </row>
    <row r="162" spans="1:13" s="45" customFormat="1" ht="8.5500000000000007" customHeight="1" x14ac:dyDescent="0.2">
      <c r="A162" s="43"/>
      <c r="B162" s="158"/>
      <c r="C162" s="158"/>
      <c r="D162" s="158"/>
      <c r="E162" s="158"/>
      <c r="F162" s="159"/>
      <c r="G162" s="252"/>
      <c r="H162" s="303"/>
      <c r="I162" s="306"/>
      <c r="J162" s="338"/>
      <c r="K162" s="165"/>
      <c r="L162" s="91"/>
      <c r="M162" s="92"/>
    </row>
    <row r="163" spans="1:13" s="45" customFormat="1" ht="8.5500000000000007" customHeight="1" x14ac:dyDescent="0.2">
      <c r="A163" s="43"/>
      <c r="B163" s="201" t="s">
        <v>491</v>
      </c>
      <c r="C163" s="201"/>
      <c r="D163" s="201"/>
      <c r="E163" s="201"/>
      <c r="F163" s="157"/>
      <c r="G163" s="251">
        <v>1997</v>
      </c>
      <c r="H163" s="304">
        <v>95</v>
      </c>
      <c r="I163" s="305"/>
      <c r="J163" s="302" t="s">
        <v>328</v>
      </c>
      <c r="K163" s="164">
        <v>2</v>
      </c>
      <c r="L163" s="91"/>
      <c r="M163" s="92"/>
    </row>
    <row r="164" spans="1:13" s="45" customFormat="1" ht="8.5500000000000007" customHeight="1" x14ac:dyDescent="0.2">
      <c r="A164" s="43"/>
      <c r="B164" s="158"/>
      <c r="C164" s="158"/>
      <c r="D164" s="158"/>
      <c r="E164" s="158"/>
      <c r="F164" s="159"/>
      <c r="G164" s="252"/>
      <c r="H164" s="303"/>
      <c r="I164" s="306"/>
      <c r="J164" s="338"/>
      <c r="K164" s="165"/>
      <c r="L164" s="91"/>
      <c r="M164" s="92"/>
    </row>
    <row r="165" spans="1:13" s="45" customFormat="1" ht="8.5500000000000007" customHeight="1" x14ac:dyDescent="0.2">
      <c r="A165" s="43"/>
      <c r="B165" s="201" t="s">
        <v>491</v>
      </c>
      <c r="C165" s="201"/>
      <c r="D165" s="201"/>
      <c r="E165" s="201"/>
      <c r="F165" s="157"/>
      <c r="G165" s="251">
        <v>2004</v>
      </c>
      <c r="H165" s="304">
        <v>96</v>
      </c>
      <c r="I165" s="305">
        <v>96</v>
      </c>
      <c r="J165" s="302" t="s">
        <v>492</v>
      </c>
      <c r="K165" s="164">
        <v>2</v>
      </c>
      <c r="L165" s="91"/>
      <c r="M165" s="92"/>
    </row>
    <row r="166" spans="1:13" s="45" customFormat="1" ht="8.5500000000000007" customHeight="1" x14ac:dyDescent="0.2">
      <c r="A166" s="43"/>
      <c r="B166" s="158"/>
      <c r="C166" s="158"/>
      <c r="D166" s="158"/>
      <c r="E166" s="158"/>
      <c r="F166" s="159"/>
      <c r="G166" s="252"/>
      <c r="H166" s="303"/>
      <c r="I166" s="306"/>
      <c r="J166" s="338"/>
      <c r="K166" s="165"/>
      <c r="L166" s="91"/>
      <c r="M166" s="92"/>
    </row>
    <row r="167" spans="1:13" s="45" customFormat="1" ht="8.5500000000000007" customHeight="1" x14ac:dyDescent="0.2">
      <c r="A167" s="43"/>
      <c r="B167" s="201" t="s">
        <v>1467</v>
      </c>
      <c r="C167" s="201"/>
      <c r="D167" s="201"/>
      <c r="E167" s="201"/>
      <c r="F167" s="157"/>
      <c r="G167" s="251">
        <v>2004</v>
      </c>
      <c r="H167" s="304">
        <v>93</v>
      </c>
      <c r="I167" s="305"/>
      <c r="J167" s="302"/>
      <c r="K167" s="164">
        <v>2</v>
      </c>
      <c r="L167" s="91"/>
      <c r="M167" s="92"/>
    </row>
    <row r="168" spans="1:13" s="45" customFormat="1" ht="8.5500000000000007" customHeight="1" x14ac:dyDescent="0.2">
      <c r="A168" s="43"/>
      <c r="B168" s="158"/>
      <c r="C168" s="158"/>
      <c r="D168" s="158"/>
      <c r="E168" s="158"/>
      <c r="F168" s="159"/>
      <c r="G168" s="252"/>
      <c r="H168" s="303"/>
      <c r="I168" s="306"/>
      <c r="J168" s="338"/>
      <c r="K168" s="165"/>
      <c r="L168" s="91"/>
      <c r="M168" s="92"/>
    </row>
    <row r="169" spans="1:13" s="45" customFormat="1" ht="8.5500000000000007" customHeight="1" x14ac:dyDescent="0.2">
      <c r="A169" s="43"/>
      <c r="B169" s="281" t="s">
        <v>1468</v>
      </c>
      <c r="C169" s="281"/>
      <c r="D169" s="281"/>
      <c r="E169" s="281"/>
      <c r="F169" s="184"/>
      <c r="G169" s="251">
        <v>1999</v>
      </c>
      <c r="H169" s="304">
        <v>92</v>
      </c>
      <c r="I169" s="305"/>
      <c r="J169" s="302"/>
      <c r="K169" s="164">
        <v>2</v>
      </c>
      <c r="L169" s="91"/>
      <c r="M169" s="92"/>
    </row>
    <row r="170" spans="1:13" s="45" customFormat="1" ht="8.5500000000000007" customHeight="1" x14ac:dyDescent="0.2">
      <c r="A170" s="43"/>
      <c r="B170" s="185"/>
      <c r="C170" s="185"/>
      <c r="D170" s="185"/>
      <c r="E170" s="185"/>
      <c r="F170" s="186"/>
      <c r="G170" s="252"/>
      <c r="H170" s="303"/>
      <c r="I170" s="306"/>
      <c r="J170" s="338"/>
      <c r="K170" s="165"/>
      <c r="L170" s="91"/>
      <c r="M170" s="92"/>
    </row>
    <row r="171" spans="1:13" s="45" customFormat="1" ht="8.5500000000000007" customHeight="1" x14ac:dyDescent="0.2">
      <c r="A171" s="43"/>
      <c r="B171" s="281" t="s">
        <v>1468</v>
      </c>
      <c r="C171" s="281"/>
      <c r="D171" s="281"/>
      <c r="E171" s="281"/>
      <c r="F171" s="184"/>
      <c r="G171" s="251">
        <v>2000</v>
      </c>
      <c r="H171" s="304">
        <v>93</v>
      </c>
      <c r="I171" s="305"/>
      <c r="J171" s="302"/>
      <c r="K171" s="164">
        <v>3</v>
      </c>
      <c r="L171" s="91"/>
      <c r="M171" s="92"/>
    </row>
    <row r="172" spans="1:13" s="45" customFormat="1" ht="8.5500000000000007" customHeight="1" x14ac:dyDescent="0.2">
      <c r="A172" s="43"/>
      <c r="B172" s="185"/>
      <c r="C172" s="185"/>
      <c r="D172" s="185"/>
      <c r="E172" s="185"/>
      <c r="F172" s="186"/>
      <c r="G172" s="252"/>
      <c r="H172" s="303"/>
      <c r="I172" s="306"/>
      <c r="J172" s="338"/>
      <c r="K172" s="165"/>
      <c r="L172" s="91"/>
      <c r="M172" s="92"/>
    </row>
    <row r="173" spans="1:13" s="45" customFormat="1" ht="8.5500000000000007" customHeight="1" x14ac:dyDescent="0.2">
      <c r="A173" s="43"/>
      <c r="B173" s="281" t="s">
        <v>1158</v>
      </c>
      <c r="C173" s="281"/>
      <c r="D173" s="281"/>
      <c r="E173" s="281"/>
      <c r="F173" s="184"/>
      <c r="G173" s="251">
        <v>1961</v>
      </c>
      <c r="H173" s="304"/>
      <c r="I173" s="305"/>
      <c r="J173" s="302"/>
      <c r="K173" s="164">
        <v>1</v>
      </c>
      <c r="L173" s="91"/>
      <c r="M173" s="92"/>
    </row>
    <row r="174" spans="1:13" s="45" customFormat="1" ht="8.5500000000000007" customHeight="1" x14ac:dyDescent="0.2">
      <c r="A174" s="43"/>
      <c r="B174" s="185"/>
      <c r="C174" s="185"/>
      <c r="D174" s="185"/>
      <c r="E174" s="185"/>
      <c r="F174" s="186"/>
      <c r="G174" s="252"/>
      <c r="H174" s="303"/>
      <c r="I174" s="306"/>
      <c r="J174" s="338"/>
      <c r="K174" s="165"/>
      <c r="L174" s="91"/>
      <c r="M174" s="92"/>
    </row>
    <row r="175" spans="1:13" s="45" customFormat="1" ht="8.5500000000000007" customHeight="1" x14ac:dyDescent="0.2">
      <c r="A175" s="43"/>
      <c r="B175" s="281" t="s">
        <v>506</v>
      </c>
      <c r="C175" s="281"/>
      <c r="D175" s="281"/>
      <c r="E175" s="281"/>
      <c r="F175" s="184"/>
      <c r="G175" s="251">
        <v>1989</v>
      </c>
      <c r="H175" s="304">
        <v>97</v>
      </c>
      <c r="I175" s="305"/>
      <c r="J175" s="302" t="s">
        <v>256</v>
      </c>
      <c r="K175" s="164">
        <v>1</v>
      </c>
      <c r="L175" s="91"/>
      <c r="M175" s="92"/>
    </row>
    <row r="176" spans="1:13" s="45" customFormat="1" ht="8.5500000000000007" customHeight="1" x14ac:dyDescent="0.2">
      <c r="A176" s="43"/>
      <c r="B176" s="185"/>
      <c r="C176" s="185"/>
      <c r="D176" s="185"/>
      <c r="E176" s="185"/>
      <c r="F176" s="186"/>
      <c r="G176" s="252"/>
      <c r="H176" s="303"/>
      <c r="I176" s="306"/>
      <c r="J176" s="338"/>
      <c r="K176" s="165"/>
      <c r="L176" s="91"/>
      <c r="M176" s="92"/>
    </row>
    <row r="177" spans="1:13" s="45" customFormat="1" ht="8.5500000000000007" customHeight="1" x14ac:dyDescent="0.2">
      <c r="A177" s="43"/>
      <c r="B177" s="281" t="s">
        <v>506</v>
      </c>
      <c r="C177" s="281"/>
      <c r="D177" s="281"/>
      <c r="E177" s="281"/>
      <c r="F177" s="184"/>
      <c r="G177" s="251">
        <v>1990</v>
      </c>
      <c r="H177" s="304">
        <v>95</v>
      </c>
      <c r="I177" s="305"/>
      <c r="J177" s="302" t="s">
        <v>225</v>
      </c>
      <c r="K177" s="164">
        <v>3</v>
      </c>
      <c r="L177" s="91"/>
      <c r="M177" s="92"/>
    </row>
    <row r="178" spans="1:13" s="45" customFormat="1" ht="8.5500000000000007" customHeight="1" x14ac:dyDescent="0.2">
      <c r="A178" s="43"/>
      <c r="B178" s="185"/>
      <c r="C178" s="185"/>
      <c r="D178" s="185"/>
      <c r="E178" s="185"/>
      <c r="F178" s="186"/>
      <c r="G178" s="252"/>
      <c r="H178" s="303"/>
      <c r="I178" s="306"/>
      <c r="J178" s="338"/>
      <c r="K178" s="165"/>
      <c r="L178" s="91"/>
      <c r="M178" s="92"/>
    </row>
    <row r="179" spans="1:13" s="45" customFormat="1" ht="8.5500000000000007" customHeight="1" x14ac:dyDescent="0.2">
      <c r="A179" s="43"/>
      <c r="B179" s="339" t="s">
        <v>814</v>
      </c>
      <c r="C179" s="339"/>
      <c r="D179" s="339"/>
      <c r="E179" s="339"/>
      <c r="F179" s="339"/>
      <c r="G179" s="79"/>
      <c r="H179" s="47"/>
      <c r="I179" s="48"/>
      <c r="J179" s="48"/>
      <c r="K179" s="164"/>
      <c r="L179" s="91"/>
      <c r="M179" s="92"/>
    </row>
    <row r="180" spans="1:13" s="45" customFormat="1" ht="8.5500000000000007" customHeight="1" x14ac:dyDescent="0.2">
      <c r="A180" s="43"/>
      <c r="B180" s="340"/>
      <c r="C180" s="340"/>
      <c r="D180" s="340"/>
      <c r="E180" s="340"/>
      <c r="F180" s="340"/>
      <c r="G180" s="80"/>
      <c r="H180" s="54"/>
      <c r="I180" s="49"/>
      <c r="J180" s="49"/>
      <c r="K180" s="165"/>
      <c r="L180" s="91"/>
      <c r="M180" s="92"/>
    </row>
    <row r="181" spans="1:13" s="45" customFormat="1" ht="8.5500000000000007" customHeight="1" x14ac:dyDescent="0.2">
      <c r="A181" s="43"/>
      <c r="B181" s="281" t="s">
        <v>506</v>
      </c>
      <c r="C181" s="281"/>
      <c r="D181" s="281"/>
      <c r="E181" s="281"/>
      <c r="F181" s="184"/>
      <c r="G181" s="251">
        <v>1995</v>
      </c>
      <c r="H181" s="304"/>
      <c r="I181" s="305"/>
      <c r="J181" s="302"/>
      <c r="K181" s="164">
        <v>1</v>
      </c>
      <c r="L181" s="91"/>
      <c r="M181" s="92"/>
    </row>
    <row r="182" spans="1:13" s="45" customFormat="1" ht="8.5500000000000007" customHeight="1" x14ac:dyDescent="0.2">
      <c r="A182" s="43"/>
      <c r="B182" s="185"/>
      <c r="C182" s="185"/>
      <c r="D182" s="185"/>
      <c r="E182" s="185"/>
      <c r="F182" s="186"/>
      <c r="G182" s="252"/>
      <c r="H182" s="303"/>
      <c r="I182" s="306"/>
      <c r="J182" s="338"/>
      <c r="K182" s="165"/>
      <c r="L182" s="91"/>
      <c r="M182" s="92"/>
    </row>
    <row r="183" spans="1:13" s="45" customFormat="1" ht="8.5500000000000007" customHeight="1" x14ac:dyDescent="0.2">
      <c r="A183" s="43"/>
      <c r="B183" s="281" t="s">
        <v>506</v>
      </c>
      <c r="C183" s="281"/>
      <c r="D183" s="281"/>
      <c r="E183" s="281"/>
      <c r="F183" s="184"/>
      <c r="G183" s="251">
        <v>1997</v>
      </c>
      <c r="H183" s="304">
        <v>99</v>
      </c>
      <c r="I183" s="305">
        <v>94</v>
      </c>
      <c r="J183" s="302" t="s">
        <v>507</v>
      </c>
      <c r="K183" s="164">
        <v>2</v>
      </c>
      <c r="L183" s="91"/>
      <c r="M183" s="92"/>
    </row>
    <row r="184" spans="1:13" s="45" customFormat="1" ht="8.5500000000000007" customHeight="1" x14ac:dyDescent="0.2">
      <c r="A184" s="43"/>
      <c r="B184" s="185"/>
      <c r="C184" s="185"/>
      <c r="D184" s="185"/>
      <c r="E184" s="185"/>
      <c r="F184" s="186"/>
      <c r="G184" s="252"/>
      <c r="H184" s="303"/>
      <c r="I184" s="306"/>
      <c r="J184" s="338"/>
      <c r="K184" s="165"/>
      <c r="L184" s="91"/>
      <c r="M184" s="92"/>
    </row>
    <row r="185" spans="1:13" s="45" customFormat="1" ht="8.5500000000000007" customHeight="1" x14ac:dyDescent="0.2">
      <c r="A185" s="43"/>
      <c r="B185" s="281" t="s">
        <v>695</v>
      </c>
      <c r="C185" s="281"/>
      <c r="D185" s="281"/>
      <c r="E185" s="281"/>
      <c r="F185" s="184"/>
      <c r="G185" s="251">
        <v>1998</v>
      </c>
      <c r="H185" s="304">
        <v>94</v>
      </c>
      <c r="I185" s="305"/>
      <c r="J185" s="302" t="s">
        <v>416</v>
      </c>
      <c r="K185" s="164">
        <v>1</v>
      </c>
      <c r="L185" s="91"/>
      <c r="M185" s="92"/>
    </row>
    <row r="186" spans="1:13" s="45" customFormat="1" ht="8.5500000000000007" customHeight="1" x14ac:dyDescent="0.2">
      <c r="A186" s="43"/>
      <c r="B186" s="185"/>
      <c r="C186" s="185"/>
      <c r="D186" s="185"/>
      <c r="E186" s="185"/>
      <c r="F186" s="186"/>
      <c r="G186" s="252"/>
      <c r="H186" s="303"/>
      <c r="I186" s="306"/>
      <c r="J186" s="338"/>
      <c r="K186" s="165"/>
      <c r="L186" s="91"/>
      <c r="M186" s="92"/>
    </row>
    <row r="187" spans="1:13" s="45" customFormat="1" ht="8.5500000000000007" customHeight="1" x14ac:dyDescent="0.2">
      <c r="A187" s="43"/>
      <c r="B187" s="281" t="s">
        <v>506</v>
      </c>
      <c r="C187" s="281"/>
      <c r="D187" s="281"/>
      <c r="E187" s="281"/>
      <c r="F187" s="184"/>
      <c r="G187" s="251">
        <v>2004</v>
      </c>
      <c r="H187" s="304">
        <v>96</v>
      </c>
      <c r="I187" s="305">
        <v>99</v>
      </c>
      <c r="J187" s="302" t="s">
        <v>95</v>
      </c>
      <c r="K187" s="164">
        <v>3</v>
      </c>
      <c r="L187" s="91"/>
      <c r="M187" s="92"/>
    </row>
    <row r="188" spans="1:13" s="45" customFormat="1" ht="8.5500000000000007" customHeight="1" x14ac:dyDescent="0.2">
      <c r="A188" s="43"/>
      <c r="B188" s="185"/>
      <c r="C188" s="185"/>
      <c r="D188" s="185"/>
      <c r="E188" s="185"/>
      <c r="F188" s="186"/>
      <c r="G188" s="252"/>
      <c r="H188" s="303"/>
      <c r="I188" s="306"/>
      <c r="J188" s="338"/>
      <c r="K188" s="165"/>
      <c r="L188" s="91"/>
      <c r="M188" s="92"/>
    </row>
    <row r="189" spans="1:13" s="45" customFormat="1" ht="8.5500000000000007" customHeight="1" x14ac:dyDescent="0.2">
      <c r="A189" s="43"/>
      <c r="B189" s="281" t="s">
        <v>712</v>
      </c>
      <c r="C189" s="281"/>
      <c r="D189" s="281"/>
      <c r="E189" s="281"/>
      <c r="F189" s="184"/>
      <c r="G189" s="251">
        <v>2004</v>
      </c>
      <c r="H189" s="304">
        <v>96</v>
      </c>
      <c r="I189" s="305">
        <v>99</v>
      </c>
      <c r="J189" s="302" t="s">
        <v>95</v>
      </c>
      <c r="K189" s="164">
        <v>2</v>
      </c>
      <c r="L189" s="91"/>
      <c r="M189" s="92"/>
    </row>
    <row r="190" spans="1:13" s="45" customFormat="1" ht="8.5500000000000007" customHeight="1" x14ac:dyDescent="0.2">
      <c r="A190" s="43"/>
      <c r="B190" s="185"/>
      <c r="C190" s="185"/>
      <c r="D190" s="185"/>
      <c r="E190" s="185"/>
      <c r="F190" s="186"/>
      <c r="G190" s="252"/>
      <c r="H190" s="303"/>
      <c r="I190" s="306"/>
      <c r="J190" s="338"/>
      <c r="K190" s="165"/>
      <c r="L190" s="91"/>
      <c r="M190" s="92"/>
    </row>
    <row r="191" spans="1:13" s="45" customFormat="1" ht="8.5500000000000007" customHeight="1" x14ac:dyDescent="0.2">
      <c r="A191" s="43"/>
      <c r="B191" s="281" t="s">
        <v>695</v>
      </c>
      <c r="C191" s="281"/>
      <c r="D191" s="281"/>
      <c r="E191" s="281"/>
      <c r="F191" s="184"/>
      <c r="G191" s="251">
        <v>2007</v>
      </c>
      <c r="H191" s="304">
        <v>97</v>
      </c>
      <c r="I191" s="305"/>
      <c r="J191" s="302" t="s">
        <v>417</v>
      </c>
      <c r="K191" s="164">
        <v>3</v>
      </c>
      <c r="L191" s="91"/>
      <c r="M191" s="92"/>
    </row>
    <row r="192" spans="1:13" s="45" customFormat="1" ht="8.5500000000000007" customHeight="1" x14ac:dyDescent="0.2">
      <c r="A192" s="43"/>
      <c r="B192" s="185"/>
      <c r="C192" s="185"/>
      <c r="D192" s="185"/>
      <c r="E192" s="185"/>
      <c r="F192" s="186"/>
      <c r="G192" s="252"/>
      <c r="H192" s="303"/>
      <c r="I192" s="306"/>
      <c r="J192" s="338"/>
      <c r="K192" s="165"/>
      <c r="L192" s="91"/>
      <c r="M192" s="92"/>
    </row>
    <row r="193" spans="1:13" s="45" customFormat="1" ht="8.5500000000000007" customHeight="1" x14ac:dyDescent="0.2">
      <c r="A193" s="43"/>
      <c r="B193" s="201" t="s">
        <v>560</v>
      </c>
      <c r="C193" s="201"/>
      <c r="D193" s="201"/>
      <c r="E193" s="201"/>
      <c r="F193" s="157"/>
      <c r="G193" s="251">
        <v>1990</v>
      </c>
      <c r="H193" s="304" t="s">
        <v>336</v>
      </c>
      <c r="I193" s="305">
        <v>92</v>
      </c>
      <c r="J193" s="305"/>
      <c r="K193" s="164">
        <v>1</v>
      </c>
      <c r="L193" s="91"/>
      <c r="M193" s="92"/>
    </row>
    <row r="194" spans="1:13" s="45" customFormat="1" ht="8.5500000000000007" customHeight="1" x14ac:dyDescent="0.2">
      <c r="A194" s="43"/>
      <c r="B194" s="158"/>
      <c r="C194" s="158"/>
      <c r="D194" s="158"/>
      <c r="E194" s="158"/>
      <c r="F194" s="159"/>
      <c r="G194" s="252"/>
      <c r="H194" s="303"/>
      <c r="I194" s="306"/>
      <c r="J194" s="306"/>
      <c r="K194" s="165"/>
      <c r="L194" s="91"/>
      <c r="M194" s="92"/>
    </row>
    <row r="195" spans="1:13" s="45" customFormat="1" ht="8.5500000000000007" customHeight="1" x14ac:dyDescent="0.2">
      <c r="A195" s="43"/>
      <c r="B195" s="201" t="s">
        <v>560</v>
      </c>
      <c r="C195" s="201"/>
      <c r="D195" s="201"/>
      <c r="E195" s="201"/>
      <c r="F195" s="157"/>
      <c r="G195" s="251">
        <v>1999</v>
      </c>
      <c r="H195" s="304">
        <v>92</v>
      </c>
      <c r="I195" s="305"/>
      <c r="J195" s="302" t="s">
        <v>460</v>
      </c>
      <c r="K195" s="164">
        <v>1</v>
      </c>
      <c r="L195" s="91"/>
      <c r="M195" s="92"/>
    </row>
    <row r="196" spans="1:13" s="45" customFormat="1" ht="8.5500000000000007" customHeight="1" x14ac:dyDescent="0.2">
      <c r="A196" s="43"/>
      <c r="B196" s="158"/>
      <c r="C196" s="158"/>
      <c r="D196" s="158"/>
      <c r="E196" s="158"/>
      <c r="F196" s="159"/>
      <c r="G196" s="252"/>
      <c r="H196" s="303"/>
      <c r="I196" s="306"/>
      <c r="J196" s="338"/>
      <c r="K196" s="165"/>
      <c r="L196" s="91"/>
      <c r="M196" s="92"/>
    </row>
    <row r="197" spans="1:13" s="45" customFormat="1" ht="8.5500000000000007" customHeight="1" x14ac:dyDescent="0.2">
      <c r="A197" s="43"/>
      <c r="B197" s="201" t="s">
        <v>611</v>
      </c>
      <c r="C197" s="201"/>
      <c r="D197" s="201"/>
      <c r="E197" s="201"/>
      <c r="F197" s="157"/>
      <c r="G197" s="251">
        <v>1982</v>
      </c>
      <c r="H197" s="304">
        <v>97</v>
      </c>
      <c r="I197" s="305">
        <v>93</v>
      </c>
      <c r="J197" s="302" t="s">
        <v>401</v>
      </c>
      <c r="K197" s="164">
        <v>1</v>
      </c>
      <c r="L197" s="91"/>
      <c r="M197" s="92"/>
    </row>
    <row r="198" spans="1:13" s="45" customFormat="1" ht="8.5500000000000007" customHeight="1" x14ac:dyDescent="0.2">
      <c r="A198" s="43"/>
      <c r="B198" s="158"/>
      <c r="C198" s="158"/>
      <c r="D198" s="158"/>
      <c r="E198" s="158"/>
      <c r="F198" s="159"/>
      <c r="G198" s="252"/>
      <c r="H198" s="303"/>
      <c r="I198" s="306"/>
      <c r="J198" s="338"/>
      <c r="K198" s="165"/>
      <c r="L198" s="91"/>
      <c r="M198" s="92"/>
    </row>
    <row r="199" spans="1:13" s="45" customFormat="1" ht="8.5500000000000007" customHeight="1" x14ac:dyDescent="0.2">
      <c r="A199" s="43"/>
      <c r="B199" s="201" t="s">
        <v>611</v>
      </c>
      <c r="C199" s="201"/>
      <c r="D199" s="201"/>
      <c r="E199" s="201"/>
      <c r="F199" s="157"/>
      <c r="G199" s="251">
        <v>1988</v>
      </c>
      <c r="H199" s="304">
        <v>95</v>
      </c>
      <c r="I199" s="305">
        <v>93</v>
      </c>
      <c r="J199" s="302" t="s">
        <v>768</v>
      </c>
      <c r="K199" s="164">
        <v>2</v>
      </c>
      <c r="L199" s="91"/>
      <c r="M199" s="92"/>
    </row>
    <row r="200" spans="1:13" s="45" customFormat="1" ht="8.5500000000000007" customHeight="1" x14ac:dyDescent="0.2">
      <c r="A200" s="43"/>
      <c r="B200" s="158"/>
      <c r="C200" s="158"/>
      <c r="D200" s="158"/>
      <c r="E200" s="158"/>
      <c r="F200" s="159"/>
      <c r="G200" s="252"/>
      <c r="H200" s="303"/>
      <c r="I200" s="306"/>
      <c r="J200" s="338"/>
      <c r="K200" s="165"/>
      <c r="L200" s="91"/>
      <c r="M200" s="92"/>
    </row>
    <row r="201" spans="1:13" s="45" customFormat="1" ht="8.5500000000000007" customHeight="1" x14ac:dyDescent="0.2">
      <c r="A201" s="43"/>
      <c r="B201" s="201" t="s">
        <v>611</v>
      </c>
      <c r="C201" s="201"/>
      <c r="D201" s="201"/>
      <c r="E201" s="201"/>
      <c r="F201" s="157"/>
      <c r="G201" s="251">
        <v>1989</v>
      </c>
      <c r="H201" s="304">
        <v>97</v>
      </c>
      <c r="I201" s="305">
        <v>96</v>
      </c>
      <c r="J201" s="302" t="s">
        <v>78</v>
      </c>
      <c r="K201" s="164">
        <v>2</v>
      </c>
      <c r="L201" s="91"/>
      <c r="M201" s="92"/>
    </row>
    <row r="202" spans="1:13" s="45" customFormat="1" ht="8.5500000000000007" customHeight="1" x14ac:dyDescent="0.2">
      <c r="A202" s="43"/>
      <c r="B202" s="158"/>
      <c r="C202" s="158"/>
      <c r="D202" s="158"/>
      <c r="E202" s="158"/>
      <c r="F202" s="159"/>
      <c r="G202" s="252"/>
      <c r="H202" s="303"/>
      <c r="I202" s="306"/>
      <c r="J202" s="338"/>
      <c r="K202" s="165"/>
      <c r="L202" s="91"/>
      <c r="M202" s="92"/>
    </row>
    <row r="203" spans="1:13" s="45" customFormat="1" ht="8.5500000000000007" customHeight="1" x14ac:dyDescent="0.2">
      <c r="A203" s="43"/>
      <c r="B203" s="201" t="s">
        <v>611</v>
      </c>
      <c r="C203" s="201"/>
      <c r="D203" s="201"/>
      <c r="E203" s="201"/>
      <c r="F203" s="157"/>
      <c r="G203" s="251">
        <v>1990</v>
      </c>
      <c r="H203" s="304">
        <v>95</v>
      </c>
      <c r="I203" s="305">
        <v>95</v>
      </c>
      <c r="J203" s="302" t="s">
        <v>222</v>
      </c>
      <c r="K203" s="164">
        <v>2</v>
      </c>
      <c r="L203" s="91"/>
      <c r="M203" s="92"/>
    </row>
    <row r="204" spans="1:13" s="45" customFormat="1" ht="8.5500000000000007" customHeight="1" x14ac:dyDescent="0.2">
      <c r="A204" s="43"/>
      <c r="B204" s="158"/>
      <c r="C204" s="158"/>
      <c r="D204" s="158"/>
      <c r="E204" s="158"/>
      <c r="F204" s="159"/>
      <c r="G204" s="252"/>
      <c r="H204" s="303"/>
      <c r="I204" s="306"/>
      <c r="J204" s="338"/>
      <c r="K204" s="165"/>
      <c r="L204" s="91"/>
      <c r="M204" s="92"/>
    </row>
    <row r="205" spans="1:13" s="45" customFormat="1" ht="8.5500000000000007" customHeight="1" x14ac:dyDescent="0.2">
      <c r="A205" s="43"/>
      <c r="B205" s="201" t="s">
        <v>611</v>
      </c>
      <c r="C205" s="201"/>
      <c r="D205" s="201"/>
      <c r="E205" s="201"/>
      <c r="F205" s="157"/>
      <c r="G205" s="251">
        <v>1997</v>
      </c>
      <c r="H205" s="304">
        <v>92</v>
      </c>
      <c r="I205" s="305">
        <v>98</v>
      </c>
      <c r="J205" s="302" t="s">
        <v>335</v>
      </c>
      <c r="K205" s="164">
        <v>2</v>
      </c>
      <c r="L205" s="91"/>
      <c r="M205" s="92"/>
    </row>
    <row r="206" spans="1:13" s="45" customFormat="1" ht="8.5500000000000007" customHeight="1" x14ac:dyDescent="0.2">
      <c r="A206" s="43"/>
      <c r="B206" s="158"/>
      <c r="C206" s="158"/>
      <c r="D206" s="158"/>
      <c r="E206" s="158"/>
      <c r="F206" s="159"/>
      <c r="G206" s="252"/>
      <c r="H206" s="303"/>
      <c r="I206" s="306"/>
      <c r="J206" s="338"/>
      <c r="K206" s="165"/>
      <c r="L206" s="91"/>
      <c r="M206" s="92"/>
    </row>
    <row r="207" spans="1:13" s="45" customFormat="1" ht="8.5500000000000007" customHeight="1" x14ac:dyDescent="0.2">
      <c r="A207" s="43"/>
      <c r="B207" s="201" t="s">
        <v>611</v>
      </c>
      <c r="C207" s="201"/>
      <c r="D207" s="201"/>
      <c r="E207" s="201"/>
      <c r="F207" s="157"/>
      <c r="G207" s="251">
        <v>1999</v>
      </c>
      <c r="H207" s="304">
        <v>95</v>
      </c>
      <c r="I207" s="305">
        <v>92</v>
      </c>
      <c r="J207" s="302" t="s">
        <v>34</v>
      </c>
      <c r="K207" s="164">
        <v>1</v>
      </c>
      <c r="L207" s="91"/>
      <c r="M207" s="92"/>
    </row>
    <row r="208" spans="1:13" s="45" customFormat="1" ht="8.5500000000000007" customHeight="1" x14ac:dyDescent="0.2">
      <c r="A208" s="43"/>
      <c r="B208" s="158"/>
      <c r="C208" s="158"/>
      <c r="D208" s="158"/>
      <c r="E208" s="158"/>
      <c r="F208" s="159"/>
      <c r="G208" s="252"/>
      <c r="H208" s="303"/>
      <c r="I208" s="306"/>
      <c r="J208" s="338"/>
      <c r="K208" s="165"/>
      <c r="L208" s="91"/>
      <c r="M208" s="92"/>
    </row>
    <row r="209" spans="1:13" s="45" customFormat="1" ht="8.5500000000000007" customHeight="1" x14ac:dyDescent="0.2">
      <c r="A209" s="43"/>
      <c r="B209" s="201" t="s">
        <v>611</v>
      </c>
      <c r="C209" s="201"/>
      <c r="D209" s="201"/>
      <c r="E209" s="201"/>
      <c r="F209" s="157"/>
      <c r="G209" s="251">
        <v>2000</v>
      </c>
      <c r="H209" s="304">
        <v>93</v>
      </c>
      <c r="I209" s="305">
        <v>96</v>
      </c>
      <c r="J209" s="302" t="s">
        <v>413</v>
      </c>
      <c r="K209" s="164">
        <v>1</v>
      </c>
      <c r="L209" s="91"/>
      <c r="M209" s="92"/>
    </row>
    <row r="210" spans="1:13" s="45" customFormat="1" ht="8.5500000000000007" customHeight="1" x14ac:dyDescent="0.2">
      <c r="A210" s="43"/>
      <c r="B210" s="158"/>
      <c r="C210" s="158"/>
      <c r="D210" s="158"/>
      <c r="E210" s="158"/>
      <c r="F210" s="159"/>
      <c r="G210" s="252"/>
      <c r="H210" s="303"/>
      <c r="I210" s="306"/>
      <c r="J210" s="338"/>
      <c r="K210" s="165"/>
      <c r="L210" s="91"/>
      <c r="M210" s="92"/>
    </row>
    <row r="211" spans="1:13" s="45" customFormat="1" ht="8.5500000000000007" customHeight="1" x14ac:dyDescent="0.2">
      <c r="A211" s="43"/>
      <c r="B211" s="201" t="s">
        <v>1465</v>
      </c>
      <c r="C211" s="201"/>
      <c r="D211" s="201"/>
      <c r="E211" s="201"/>
      <c r="F211" s="157"/>
      <c r="G211" s="251">
        <v>1996</v>
      </c>
      <c r="H211" s="304">
        <v>94</v>
      </c>
      <c r="I211" s="305"/>
      <c r="J211" s="302"/>
      <c r="K211" s="164">
        <v>4</v>
      </c>
      <c r="L211" s="91"/>
      <c r="M211" s="92"/>
    </row>
    <row r="212" spans="1:13" s="45" customFormat="1" ht="8.5500000000000007" customHeight="1" x14ac:dyDescent="0.2">
      <c r="A212" s="43"/>
      <c r="B212" s="158"/>
      <c r="C212" s="158"/>
      <c r="D212" s="158"/>
      <c r="E212" s="158"/>
      <c r="F212" s="159"/>
      <c r="G212" s="252"/>
      <c r="H212" s="303"/>
      <c r="I212" s="306"/>
      <c r="J212" s="338"/>
      <c r="K212" s="165"/>
      <c r="L212" s="91"/>
      <c r="M212" s="92"/>
    </row>
    <row r="213" spans="1:13" s="45" customFormat="1" ht="8.5500000000000007" customHeight="1" x14ac:dyDescent="0.2">
      <c r="A213" s="43"/>
      <c r="B213" s="201" t="s">
        <v>1064</v>
      </c>
      <c r="C213" s="201"/>
      <c r="D213" s="201"/>
      <c r="E213" s="201"/>
      <c r="F213" s="157"/>
      <c r="G213" s="251">
        <v>2004</v>
      </c>
      <c r="H213" s="304">
        <v>91</v>
      </c>
      <c r="I213" s="305"/>
      <c r="J213" s="302" t="s">
        <v>1071</v>
      </c>
      <c r="K213" s="164">
        <v>1</v>
      </c>
      <c r="L213" s="91"/>
      <c r="M213" s="92"/>
    </row>
    <row r="214" spans="1:13" s="45" customFormat="1" ht="8.5500000000000007" customHeight="1" x14ac:dyDescent="0.2">
      <c r="A214" s="43"/>
      <c r="B214" s="158"/>
      <c r="C214" s="158"/>
      <c r="D214" s="158"/>
      <c r="E214" s="158"/>
      <c r="F214" s="159"/>
      <c r="G214" s="252"/>
      <c r="H214" s="303"/>
      <c r="I214" s="306"/>
      <c r="J214" s="338"/>
      <c r="K214" s="165"/>
      <c r="L214" s="91"/>
      <c r="M214" s="92"/>
    </row>
    <row r="215" spans="1:13" s="45" customFormat="1" ht="8.5500000000000007" customHeight="1" x14ac:dyDescent="0.2">
      <c r="A215" s="43"/>
      <c r="B215" s="201" t="s">
        <v>1426</v>
      </c>
      <c r="C215" s="201"/>
      <c r="D215" s="201"/>
      <c r="E215" s="201"/>
      <c r="F215" s="157"/>
      <c r="G215" s="251">
        <v>2011</v>
      </c>
      <c r="H215" s="304">
        <v>95</v>
      </c>
      <c r="I215" s="305"/>
      <c r="J215" s="302"/>
      <c r="K215" s="164">
        <v>2</v>
      </c>
      <c r="L215" s="91"/>
      <c r="M215" s="92"/>
    </row>
    <row r="216" spans="1:13" s="45" customFormat="1" ht="8.5500000000000007" customHeight="1" x14ac:dyDescent="0.2">
      <c r="A216" s="43"/>
      <c r="B216" s="158"/>
      <c r="C216" s="158"/>
      <c r="D216" s="158"/>
      <c r="E216" s="158"/>
      <c r="F216" s="159"/>
      <c r="G216" s="252"/>
      <c r="H216" s="303"/>
      <c r="I216" s="306"/>
      <c r="J216" s="338"/>
      <c r="K216" s="165"/>
      <c r="L216" s="91"/>
      <c r="M216" s="92"/>
    </row>
    <row r="217" spans="1:13" s="45" customFormat="1" ht="8.5500000000000007" customHeight="1" x14ac:dyDescent="0.2">
      <c r="A217" s="43"/>
      <c r="B217" s="201" t="s">
        <v>677</v>
      </c>
      <c r="C217" s="201"/>
      <c r="D217" s="201"/>
      <c r="E217" s="201"/>
      <c r="F217" s="157"/>
      <c r="G217" s="251">
        <v>1990</v>
      </c>
      <c r="H217" s="304">
        <v>96</v>
      </c>
      <c r="I217" s="305">
        <v>93</v>
      </c>
      <c r="J217" s="302" t="s">
        <v>222</v>
      </c>
      <c r="K217" s="164">
        <v>1</v>
      </c>
      <c r="L217" s="91"/>
      <c r="M217" s="92"/>
    </row>
    <row r="218" spans="1:13" s="45" customFormat="1" ht="8.5500000000000007" customHeight="1" x14ac:dyDescent="0.2">
      <c r="A218" s="43"/>
      <c r="B218" s="158"/>
      <c r="C218" s="158"/>
      <c r="D218" s="158"/>
      <c r="E218" s="158"/>
      <c r="F218" s="159"/>
      <c r="G218" s="252"/>
      <c r="H218" s="303"/>
      <c r="I218" s="306"/>
      <c r="J218" s="338"/>
      <c r="K218" s="165"/>
      <c r="L218" s="91"/>
      <c r="M218" s="92"/>
    </row>
    <row r="219" spans="1:13" s="45" customFormat="1" ht="8.5500000000000007" customHeight="1" x14ac:dyDescent="0.2">
      <c r="A219" s="43"/>
      <c r="B219" s="201" t="s">
        <v>677</v>
      </c>
      <c r="C219" s="201"/>
      <c r="D219" s="201"/>
      <c r="E219" s="201"/>
      <c r="F219" s="157"/>
      <c r="G219" s="251">
        <v>1995</v>
      </c>
      <c r="H219" s="304">
        <v>91</v>
      </c>
      <c r="I219" s="305"/>
      <c r="J219" s="302" t="s">
        <v>599</v>
      </c>
      <c r="K219" s="164">
        <v>1</v>
      </c>
      <c r="L219" s="91"/>
      <c r="M219" s="92"/>
    </row>
    <row r="220" spans="1:13" s="45" customFormat="1" ht="8.5500000000000007" customHeight="1" x14ac:dyDescent="0.2">
      <c r="A220" s="43"/>
      <c r="B220" s="158"/>
      <c r="C220" s="158"/>
      <c r="D220" s="158"/>
      <c r="E220" s="158"/>
      <c r="F220" s="159"/>
      <c r="G220" s="252"/>
      <c r="H220" s="303"/>
      <c r="I220" s="306"/>
      <c r="J220" s="338"/>
      <c r="K220" s="165"/>
      <c r="L220" s="91"/>
      <c r="M220" s="92"/>
    </row>
    <row r="221" spans="1:13" s="45" customFormat="1" ht="8.5500000000000007" customHeight="1" x14ac:dyDescent="0.2">
      <c r="A221" s="43"/>
      <c r="B221" s="201" t="s">
        <v>677</v>
      </c>
      <c r="C221" s="201"/>
      <c r="D221" s="201"/>
      <c r="E221" s="201"/>
      <c r="F221" s="157"/>
      <c r="G221" s="251">
        <v>1996</v>
      </c>
      <c r="H221" s="304">
        <v>92</v>
      </c>
      <c r="I221" s="305"/>
      <c r="J221" s="302"/>
      <c r="K221" s="164">
        <v>3</v>
      </c>
      <c r="L221" s="91"/>
      <c r="M221" s="92"/>
    </row>
    <row r="222" spans="1:13" s="45" customFormat="1" ht="8.5500000000000007" customHeight="1" x14ac:dyDescent="0.2">
      <c r="A222" s="43"/>
      <c r="B222" s="158"/>
      <c r="C222" s="158"/>
      <c r="D222" s="158"/>
      <c r="E222" s="158"/>
      <c r="F222" s="159"/>
      <c r="G222" s="252"/>
      <c r="H222" s="303"/>
      <c r="I222" s="306"/>
      <c r="J222" s="338"/>
      <c r="K222" s="165"/>
      <c r="L222" s="91"/>
      <c r="M222" s="92"/>
    </row>
    <row r="223" spans="1:13" s="45" customFormat="1" ht="8.5500000000000007" customHeight="1" x14ac:dyDescent="0.2">
      <c r="A223" s="43"/>
      <c r="B223" s="201" t="s">
        <v>677</v>
      </c>
      <c r="C223" s="201"/>
      <c r="D223" s="201"/>
      <c r="E223" s="201"/>
      <c r="F223" s="157"/>
      <c r="G223" s="251">
        <v>2000</v>
      </c>
      <c r="H223" s="304">
        <v>96</v>
      </c>
      <c r="I223" s="305">
        <v>96</v>
      </c>
      <c r="J223" s="302" t="s">
        <v>314</v>
      </c>
      <c r="K223" s="164">
        <v>3</v>
      </c>
      <c r="L223" s="91"/>
      <c r="M223" s="92"/>
    </row>
    <row r="224" spans="1:13" s="45" customFormat="1" ht="8.5500000000000007" customHeight="1" x14ac:dyDescent="0.2">
      <c r="A224" s="43"/>
      <c r="B224" s="158"/>
      <c r="C224" s="158"/>
      <c r="D224" s="158"/>
      <c r="E224" s="158"/>
      <c r="F224" s="159"/>
      <c r="G224" s="252"/>
      <c r="H224" s="303"/>
      <c r="I224" s="306"/>
      <c r="J224" s="338"/>
      <c r="K224" s="165"/>
      <c r="L224" s="91"/>
      <c r="M224" s="92"/>
    </row>
    <row r="225" spans="1:13" s="45" customFormat="1" ht="8.5500000000000007" customHeight="1" x14ac:dyDescent="0.2">
      <c r="A225" s="43"/>
      <c r="B225" s="201" t="s">
        <v>497</v>
      </c>
      <c r="C225" s="201"/>
      <c r="D225" s="201"/>
      <c r="E225" s="201"/>
      <c r="F225" s="157"/>
      <c r="G225" s="251">
        <v>1985</v>
      </c>
      <c r="H225" s="304">
        <v>96</v>
      </c>
      <c r="I225" s="305">
        <v>92</v>
      </c>
      <c r="J225" s="302" t="s">
        <v>495</v>
      </c>
      <c r="K225" s="164">
        <v>1</v>
      </c>
      <c r="L225" s="91"/>
      <c r="M225" s="92"/>
    </row>
    <row r="226" spans="1:13" s="45" customFormat="1" ht="8.5500000000000007" customHeight="1" x14ac:dyDescent="0.2">
      <c r="A226" s="43"/>
      <c r="B226" s="158"/>
      <c r="C226" s="158"/>
      <c r="D226" s="158"/>
      <c r="E226" s="158"/>
      <c r="F226" s="159"/>
      <c r="G226" s="252"/>
      <c r="H226" s="303"/>
      <c r="I226" s="306"/>
      <c r="J226" s="338"/>
      <c r="K226" s="165"/>
      <c r="L226" s="91"/>
      <c r="M226" s="92"/>
    </row>
    <row r="227" spans="1:13" s="45" customFormat="1" ht="8.5500000000000007" customHeight="1" x14ac:dyDescent="0.2">
      <c r="A227" s="43"/>
      <c r="B227" s="201" t="s">
        <v>497</v>
      </c>
      <c r="C227" s="201"/>
      <c r="D227" s="201"/>
      <c r="E227" s="201"/>
      <c r="F227" s="157"/>
      <c r="G227" s="251">
        <v>1989</v>
      </c>
      <c r="H227" s="304">
        <v>97</v>
      </c>
      <c r="I227" s="305">
        <v>95</v>
      </c>
      <c r="J227" s="302" t="s">
        <v>222</v>
      </c>
      <c r="K227" s="164">
        <v>3</v>
      </c>
      <c r="L227" s="91"/>
      <c r="M227" s="92"/>
    </row>
    <row r="228" spans="1:13" s="45" customFormat="1" ht="8.5500000000000007" customHeight="1" x14ac:dyDescent="0.2">
      <c r="A228" s="43"/>
      <c r="B228" s="158"/>
      <c r="C228" s="158"/>
      <c r="D228" s="158"/>
      <c r="E228" s="158"/>
      <c r="F228" s="159"/>
      <c r="G228" s="252"/>
      <c r="H228" s="303"/>
      <c r="I228" s="306"/>
      <c r="J228" s="338"/>
      <c r="K228" s="165"/>
      <c r="L228" s="91"/>
      <c r="M228" s="92"/>
    </row>
    <row r="229" spans="1:13" s="45" customFormat="1" ht="8.5500000000000007" customHeight="1" x14ac:dyDescent="0.2">
      <c r="A229" s="43"/>
      <c r="B229" s="201" t="s">
        <v>497</v>
      </c>
      <c r="C229" s="201"/>
      <c r="D229" s="201"/>
      <c r="E229" s="201"/>
      <c r="F229" s="157"/>
      <c r="G229" s="251">
        <v>1990</v>
      </c>
      <c r="H229" s="304">
        <v>96</v>
      </c>
      <c r="I229" s="305">
        <v>97</v>
      </c>
      <c r="J229" s="302" t="s">
        <v>496</v>
      </c>
      <c r="K229" s="164">
        <v>2</v>
      </c>
      <c r="L229" s="91"/>
      <c r="M229" s="92"/>
    </row>
    <row r="230" spans="1:13" s="45" customFormat="1" ht="8.5500000000000007" customHeight="1" x14ac:dyDescent="0.2">
      <c r="A230" s="43"/>
      <c r="B230" s="158"/>
      <c r="C230" s="158"/>
      <c r="D230" s="158"/>
      <c r="E230" s="158"/>
      <c r="F230" s="159"/>
      <c r="G230" s="252"/>
      <c r="H230" s="303"/>
      <c r="I230" s="306"/>
      <c r="J230" s="338"/>
      <c r="K230" s="165"/>
      <c r="L230" s="91"/>
      <c r="M230" s="92"/>
    </row>
    <row r="231" spans="1:13" s="45" customFormat="1" ht="8.5500000000000007" customHeight="1" x14ac:dyDescent="0.2">
      <c r="A231" s="43"/>
      <c r="B231" s="201" t="s">
        <v>497</v>
      </c>
      <c r="C231" s="201"/>
      <c r="D231" s="201"/>
      <c r="E231" s="201"/>
      <c r="F231" s="157"/>
      <c r="G231" s="251">
        <v>1996</v>
      </c>
      <c r="H231" s="304" t="s">
        <v>68</v>
      </c>
      <c r="I231" s="305"/>
      <c r="J231" s="302"/>
      <c r="K231" s="164">
        <v>1</v>
      </c>
      <c r="L231" s="91"/>
      <c r="M231" s="92"/>
    </row>
    <row r="232" spans="1:13" s="45" customFormat="1" ht="8.5500000000000007" customHeight="1" x14ac:dyDescent="0.2">
      <c r="A232" s="43"/>
      <c r="B232" s="158"/>
      <c r="C232" s="158"/>
      <c r="D232" s="158"/>
      <c r="E232" s="158"/>
      <c r="F232" s="159"/>
      <c r="G232" s="252"/>
      <c r="H232" s="303"/>
      <c r="I232" s="306"/>
      <c r="J232" s="338"/>
      <c r="K232" s="165"/>
      <c r="L232" s="91"/>
      <c r="M232" s="92"/>
    </row>
    <row r="233" spans="1:13" s="45" customFormat="1" ht="8.5500000000000007" customHeight="1" x14ac:dyDescent="0.2">
      <c r="A233" s="43"/>
      <c r="B233" s="201" t="s">
        <v>497</v>
      </c>
      <c r="C233" s="201"/>
      <c r="D233" s="201"/>
      <c r="E233" s="201"/>
      <c r="F233" s="157"/>
      <c r="G233" s="251">
        <v>2001</v>
      </c>
      <c r="H233" s="304">
        <v>95</v>
      </c>
      <c r="I233" s="305"/>
      <c r="J233" s="302" t="s">
        <v>326</v>
      </c>
      <c r="K233" s="164">
        <v>1</v>
      </c>
      <c r="L233" s="91"/>
      <c r="M233" s="92"/>
    </row>
    <row r="234" spans="1:13" s="45" customFormat="1" ht="8.5500000000000007" customHeight="1" x14ac:dyDescent="0.2">
      <c r="A234" s="43"/>
      <c r="B234" s="158"/>
      <c r="C234" s="158"/>
      <c r="D234" s="158"/>
      <c r="E234" s="158"/>
      <c r="F234" s="159"/>
      <c r="G234" s="252"/>
      <c r="H234" s="303"/>
      <c r="I234" s="306"/>
      <c r="J234" s="338"/>
      <c r="K234" s="165"/>
      <c r="L234" s="91"/>
      <c r="M234" s="92"/>
    </row>
    <row r="235" spans="1:13" s="45" customFormat="1" ht="8.5500000000000007" customHeight="1" x14ac:dyDescent="0.2">
      <c r="A235" s="43"/>
      <c r="B235" s="339" t="s">
        <v>814</v>
      </c>
      <c r="C235" s="339"/>
      <c r="D235" s="339"/>
      <c r="E235" s="339"/>
      <c r="F235" s="339"/>
      <c r="G235" s="79"/>
      <c r="H235" s="47"/>
      <c r="I235" s="48"/>
      <c r="J235" s="48"/>
      <c r="K235" s="164"/>
      <c r="L235" s="91"/>
      <c r="M235" s="92"/>
    </row>
    <row r="236" spans="1:13" s="45" customFormat="1" ht="8.5500000000000007" customHeight="1" x14ac:dyDescent="0.2">
      <c r="A236" s="43"/>
      <c r="B236" s="340"/>
      <c r="C236" s="340"/>
      <c r="D236" s="340"/>
      <c r="E236" s="340"/>
      <c r="F236" s="340"/>
      <c r="G236" s="80"/>
      <c r="H236" s="54"/>
      <c r="I236" s="49"/>
      <c r="J236" s="49"/>
      <c r="K236" s="165"/>
      <c r="L236" s="91"/>
      <c r="M236" s="92"/>
    </row>
    <row r="237" spans="1:13" s="45" customFormat="1" ht="8.5500000000000007" customHeight="1" x14ac:dyDescent="0.2">
      <c r="A237" s="43"/>
      <c r="B237" s="201" t="s">
        <v>497</v>
      </c>
      <c r="C237" s="201"/>
      <c r="D237" s="201"/>
      <c r="E237" s="201"/>
      <c r="F237" s="157"/>
      <c r="G237" s="251">
        <v>2004</v>
      </c>
      <c r="H237" s="304">
        <v>98</v>
      </c>
      <c r="I237" s="305"/>
      <c r="J237" s="302" t="s">
        <v>324</v>
      </c>
      <c r="K237" s="164">
        <v>3</v>
      </c>
      <c r="L237" s="91"/>
      <c r="M237" s="92"/>
    </row>
    <row r="238" spans="1:13" s="45" customFormat="1" ht="8.5500000000000007" customHeight="1" x14ac:dyDescent="0.2">
      <c r="A238" s="43"/>
      <c r="B238" s="158"/>
      <c r="C238" s="158"/>
      <c r="D238" s="158"/>
      <c r="E238" s="158"/>
      <c r="F238" s="159"/>
      <c r="G238" s="252"/>
      <c r="H238" s="303"/>
      <c r="I238" s="306"/>
      <c r="J238" s="338"/>
      <c r="K238" s="165"/>
      <c r="L238" s="91"/>
      <c r="M238" s="92"/>
    </row>
    <row r="239" spans="1:13" s="45" customFormat="1" ht="8.5500000000000007" customHeight="1" x14ac:dyDescent="0.2">
      <c r="A239" s="43"/>
      <c r="B239" s="201" t="s">
        <v>497</v>
      </c>
      <c r="C239" s="201"/>
      <c r="D239" s="201"/>
      <c r="E239" s="201"/>
      <c r="F239" s="157"/>
      <c r="G239" s="251">
        <v>2005</v>
      </c>
      <c r="H239" s="304">
        <v>95</v>
      </c>
      <c r="I239" s="305">
        <v>96</v>
      </c>
      <c r="J239" s="302" t="s">
        <v>1</v>
      </c>
      <c r="K239" s="164">
        <v>1</v>
      </c>
      <c r="L239" s="91"/>
      <c r="M239" s="92"/>
    </row>
    <row r="240" spans="1:13" s="45" customFormat="1" ht="8.5500000000000007" customHeight="1" x14ac:dyDescent="0.2">
      <c r="A240" s="43"/>
      <c r="B240" s="158"/>
      <c r="C240" s="158"/>
      <c r="D240" s="158"/>
      <c r="E240" s="158"/>
      <c r="F240" s="159"/>
      <c r="G240" s="252"/>
      <c r="H240" s="303"/>
      <c r="I240" s="306"/>
      <c r="J240" s="338"/>
      <c r="K240" s="165"/>
      <c r="L240" s="91"/>
      <c r="M240" s="92"/>
    </row>
    <row r="241" spans="1:13" s="45" customFormat="1" ht="8.5500000000000007" customHeight="1" x14ac:dyDescent="0.2">
      <c r="A241" s="43"/>
      <c r="B241" s="201" t="s">
        <v>497</v>
      </c>
      <c r="C241" s="201"/>
      <c r="D241" s="201"/>
      <c r="E241" s="201"/>
      <c r="F241" s="157"/>
      <c r="G241" s="251">
        <v>2006</v>
      </c>
      <c r="H241" s="304">
        <v>97</v>
      </c>
      <c r="I241" s="305">
        <v>95</v>
      </c>
      <c r="J241" s="302" t="s">
        <v>322</v>
      </c>
      <c r="K241" s="164">
        <v>4</v>
      </c>
      <c r="L241" s="91"/>
      <c r="M241" s="92"/>
    </row>
    <row r="242" spans="1:13" s="45" customFormat="1" ht="8.5500000000000007" customHeight="1" x14ac:dyDescent="0.2">
      <c r="A242" s="43"/>
      <c r="B242" s="158"/>
      <c r="C242" s="158"/>
      <c r="D242" s="158"/>
      <c r="E242" s="158"/>
      <c r="F242" s="159"/>
      <c r="G242" s="252"/>
      <c r="H242" s="303"/>
      <c r="I242" s="306"/>
      <c r="J242" s="338"/>
      <c r="K242" s="165"/>
      <c r="L242" s="91"/>
      <c r="M242" s="92"/>
    </row>
    <row r="243" spans="1:13" s="45" customFormat="1" ht="8.5500000000000007" customHeight="1" x14ac:dyDescent="0.2">
      <c r="A243" s="43"/>
      <c r="B243" s="201" t="s">
        <v>497</v>
      </c>
      <c r="C243" s="201"/>
      <c r="D243" s="201"/>
      <c r="E243" s="201"/>
      <c r="F243" s="157"/>
      <c r="G243" s="251">
        <v>2007</v>
      </c>
      <c r="H243" s="304">
        <v>97</v>
      </c>
      <c r="I243" s="305"/>
      <c r="J243" s="302" t="s">
        <v>707</v>
      </c>
      <c r="K243" s="164">
        <v>3</v>
      </c>
      <c r="L243" s="91"/>
      <c r="M243" s="92"/>
    </row>
    <row r="244" spans="1:13" s="45" customFormat="1" ht="8.5500000000000007" customHeight="1" x14ac:dyDescent="0.2">
      <c r="A244" s="43"/>
      <c r="B244" s="158"/>
      <c r="C244" s="158"/>
      <c r="D244" s="158"/>
      <c r="E244" s="158"/>
      <c r="F244" s="159"/>
      <c r="G244" s="252"/>
      <c r="H244" s="303"/>
      <c r="I244" s="306"/>
      <c r="J244" s="338"/>
      <c r="K244" s="165"/>
      <c r="L244" s="91"/>
      <c r="M244" s="92"/>
    </row>
    <row r="245" spans="1:13" s="45" customFormat="1" ht="8.5500000000000007" customHeight="1" x14ac:dyDescent="0.2">
      <c r="A245" s="43"/>
      <c r="B245" s="201" t="s">
        <v>498</v>
      </c>
      <c r="C245" s="201"/>
      <c r="D245" s="201"/>
      <c r="E245" s="201"/>
      <c r="F245" s="157"/>
      <c r="G245" s="251">
        <v>1990</v>
      </c>
      <c r="H245" s="304">
        <v>97</v>
      </c>
      <c r="I245" s="305">
        <v>98</v>
      </c>
      <c r="J245" s="302" t="s">
        <v>222</v>
      </c>
      <c r="K245" s="164">
        <v>1</v>
      </c>
      <c r="L245" s="91"/>
      <c r="M245" s="92"/>
    </row>
    <row r="246" spans="1:13" s="45" customFormat="1" ht="8.5500000000000007" customHeight="1" x14ac:dyDescent="0.2">
      <c r="A246" s="43"/>
      <c r="B246" s="158"/>
      <c r="C246" s="158"/>
      <c r="D246" s="158"/>
      <c r="E246" s="158"/>
      <c r="F246" s="159"/>
      <c r="G246" s="252"/>
      <c r="H246" s="303"/>
      <c r="I246" s="306"/>
      <c r="J246" s="338"/>
      <c r="K246" s="165"/>
      <c r="L246" s="91"/>
      <c r="M246" s="92"/>
    </row>
    <row r="247" spans="1:13" s="45" customFormat="1" ht="8.5500000000000007" customHeight="1" x14ac:dyDescent="0.2">
      <c r="A247" s="43"/>
      <c r="B247" s="201" t="s">
        <v>498</v>
      </c>
      <c r="C247" s="201"/>
      <c r="D247" s="201"/>
      <c r="E247" s="201"/>
      <c r="F247" s="157"/>
      <c r="G247" s="251">
        <v>1995</v>
      </c>
      <c r="H247" s="304">
        <v>90</v>
      </c>
      <c r="I247" s="305"/>
      <c r="J247" s="302"/>
      <c r="K247" s="164">
        <v>2</v>
      </c>
      <c r="L247" s="91"/>
      <c r="M247" s="92"/>
    </row>
    <row r="248" spans="1:13" s="45" customFormat="1" ht="8.5500000000000007" customHeight="1" x14ac:dyDescent="0.2">
      <c r="A248" s="43"/>
      <c r="B248" s="158"/>
      <c r="C248" s="158"/>
      <c r="D248" s="158"/>
      <c r="E248" s="158"/>
      <c r="F248" s="159"/>
      <c r="G248" s="252"/>
      <c r="H248" s="303"/>
      <c r="I248" s="306"/>
      <c r="J248" s="338"/>
      <c r="K248" s="165"/>
      <c r="L248" s="91"/>
      <c r="M248" s="92"/>
    </row>
    <row r="249" spans="1:13" s="45" customFormat="1" ht="8.5500000000000007" customHeight="1" x14ac:dyDescent="0.2">
      <c r="A249" s="43"/>
      <c r="B249" s="201" t="s">
        <v>498</v>
      </c>
      <c r="C249" s="201"/>
      <c r="D249" s="201"/>
      <c r="E249" s="201"/>
      <c r="F249" s="157"/>
      <c r="G249" s="251">
        <v>2001</v>
      </c>
      <c r="H249" s="304">
        <v>96</v>
      </c>
      <c r="I249" s="305"/>
      <c r="J249" s="302" t="s">
        <v>326</v>
      </c>
      <c r="K249" s="164">
        <v>1</v>
      </c>
      <c r="L249" s="91"/>
      <c r="M249" s="92"/>
    </row>
    <row r="250" spans="1:13" s="45" customFormat="1" ht="8.5500000000000007" customHeight="1" x14ac:dyDescent="0.2">
      <c r="A250" s="43"/>
      <c r="B250" s="158"/>
      <c r="C250" s="158"/>
      <c r="D250" s="158"/>
      <c r="E250" s="158"/>
      <c r="F250" s="159"/>
      <c r="G250" s="252"/>
      <c r="H250" s="303"/>
      <c r="I250" s="306"/>
      <c r="J250" s="338"/>
      <c r="K250" s="165"/>
      <c r="L250" s="91"/>
      <c r="M250" s="92"/>
    </row>
    <row r="251" spans="1:13" s="45" customFormat="1" ht="8.5500000000000007" customHeight="1" x14ac:dyDescent="0.2">
      <c r="A251" s="43"/>
      <c r="B251" s="201" t="s">
        <v>498</v>
      </c>
      <c r="C251" s="201"/>
      <c r="D251" s="201"/>
      <c r="E251" s="201"/>
      <c r="F251" s="157"/>
      <c r="G251" s="251">
        <v>2004</v>
      </c>
      <c r="H251" s="304">
        <v>96</v>
      </c>
      <c r="I251" s="305"/>
      <c r="J251" s="302" t="s">
        <v>1071</v>
      </c>
      <c r="K251" s="164">
        <v>2</v>
      </c>
      <c r="L251" s="91"/>
      <c r="M251" s="92"/>
    </row>
    <row r="252" spans="1:13" s="45" customFormat="1" ht="8.5500000000000007" customHeight="1" x14ac:dyDescent="0.2">
      <c r="A252" s="43"/>
      <c r="B252" s="158"/>
      <c r="C252" s="158"/>
      <c r="D252" s="158"/>
      <c r="E252" s="158"/>
      <c r="F252" s="159"/>
      <c r="G252" s="252"/>
      <c r="H252" s="303"/>
      <c r="I252" s="306"/>
      <c r="J252" s="338"/>
      <c r="K252" s="165"/>
      <c r="L252" s="91"/>
      <c r="M252" s="92"/>
    </row>
    <row r="253" spans="1:13" s="45" customFormat="1" ht="8.5500000000000007" customHeight="1" x14ac:dyDescent="0.2">
      <c r="A253" s="43"/>
      <c r="B253" s="201" t="s">
        <v>498</v>
      </c>
      <c r="C253" s="201"/>
      <c r="D253" s="201"/>
      <c r="E253" s="201"/>
      <c r="F253" s="157"/>
      <c r="G253" s="251">
        <v>2006</v>
      </c>
      <c r="H253" s="304">
        <v>96</v>
      </c>
      <c r="I253" s="305">
        <v>92</v>
      </c>
      <c r="J253" s="302" t="s">
        <v>415</v>
      </c>
      <c r="K253" s="164">
        <v>3</v>
      </c>
      <c r="L253" s="91"/>
      <c r="M253" s="92"/>
    </row>
    <row r="254" spans="1:13" s="45" customFormat="1" ht="8.5500000000000007" customHeight="1" x14ac:dyDescent="0.2">
      <c r="A254" s="43"/>
      <c r="B254" s="158"/>
      <c r="C254" s="158"/>
      <c r="D254" s="158"/>
      <c r="E254" s="158"/>
      <c r="F254" s="159"/>
      <c r="G254" s="252"/>
      <c r="H254" s="303"/>
      <c r="I254" s="306"/>
      <c r="J254" s="338"/>
      <c r="K254" s="165"/>
      <c r="L254" s="91"/>
      <c r="M254" s="92"/>
    </row>
    <row r="255" spans="1:13" s="45" customFormat="1" ht="8.5500000000000007" customHeight="1" x14ac:dyDescent="0.2">
      <c r="A255" s="43"/>
      <c r="B255" s="201" t="s">
        <v>498</v>
      </c>
      <c r="C255" s="201"/>
      <c r="D255" s="201"/>
      <c r="E255" s="201"/>
      <c r="F255" s="157"/>
      <c r="G255" s="251">
        <v>2007</v>
      </c>
      <c r="H255" s="304">
        <v>96</v>
      </c>
      <c r="I255" s="305"/>
      <c r="J255" s="302" t="s">
        <v>317</v>
      </c>
      <c r="K255" s="164">
        <v>2</v>
      </c>
      <c r="L255" s="91"/>
      <c r="M255" s="92"/>
    </row>
    <row r="256" spans="1:13" s="45" customFormat="1" ht="8.5500000000000007" customHeight="1" x14ac:dyDescent="0.2">
      <c r="A256" s="43"/>
      <c r="B256" s="158"/>
      <c r="C256" s="158"/>
      <c r="D256" s="158"/>
      <c r="E256" s="158"/>
      <c r="F256" s="159"/>
      <c r="G256" s="252"/>
      <c r="H256" s="303"/>
      <c r="I256" s="306"/>
      <c r="J256" s="338"/>
      <c r="K256" s="165"/>
      <c r="L256" s="91"/>
      <c r="M256" s="92"/>
    </row>
    <row r="257" spans="1:13" s="45" customFormat="1" ht="8.5500000000000007" customHeight="1" x14ac:dyDescent="0.2">
      <c r="A257" s="43"/>
      <c r="B257" s="201" t="s">
        <v>1760</v>
      </c>
      <c r="C257" s="201"/>
      <c r="D257" s="201"/>
      <c r="E257" s="201"/>
      <c r="F257" s="157"/>
      <c r="G257" s="251">
        <v>2014</v>
      </c>
      <c r="H257" s="304">
        <v>96</v>
      </c>
      <c r="I257" s="305"/>
      <c r="J257" s="302" t="s">
        <v>1778</v>
      </c>
      <c r="K257" s="164">
        <v>1</v>
      </c>
      <c r="L257" s="91"/>
      <c r="M257" s="92"/>
    </row>
    <row r="258" spans="1:13" s="45" customFormat="1" ht="8.5500000000000007" customHeight="1" x14ac:dyDescent="0.2">
      <c r="A258" s="43"/>
      <c r="B258" s="158"/>
      <c r="C258" s="158"/>
      <c r="D258" s="158"/>
      <c r="E258" s="158"/>
      <c r="F258" s="159"/>
      <c r="G258" s="252"/>
      <c r="H258" s="303"/>
      <c r="I258" s="306"/>
      <c r="J258" s="338"/>
      <c r="K258" s="165"/>
      <c r="L258" s="91"/>
      <c r="M258" s="92"/>
    </row>
    <row r="259" spans="1:13" s="45" customFormat="1" ht="8.5500000000000007" customHeight="1" x14ac:dyDescent="0.2">
      <c r="A259" s="43"/>
      <c r="B259" s="201" t="s">
        <v>1760</v>
      </c>
      <c r="C259" s="201"/>
      <c r="D259" s="201"/>
      <c r="E259" s="201"/>
      <c r="F259" s="157"/>
      <c r="G259" s="251">
        <v>2015</v>
      </c>
      <c r="H259" s="304" t="s">
        <v>985</v>
      </c>
      <c r="I259" s="305"/>
      <c r="J259" s="302" t="s">
        <v>1761</v>
      </c>
      <c r="K259" s="164">
        <v>3</v>
      </c>
      <c r="L259" s="91"/>
      <c r="M259" s="92"/>
    </row>
    <row r="260" spans="1:13" s="45" customFormat="1" ht="8.5500000000000007" customHeight="1" x14ac:dyDescent="0.2">
      <c r="A260" s="43"/>
      <c r="B260" s="158"/>
      <c r="C260" s="158"/>
      <c r="D260" s="158"/>
      <c r="E260" s="158"/>
      <c r="F260" s="159"/>
      <c r="G260" s="252"/>
      <c r="H260" s="303"/>
      <c r="I260" s="306"/>
      <c r="J260" s="338"/>
      <c r="K260" s="165"/>
      <c r="L260" s="91"/>
      <c r="M260" s="92"/>
    </row>
    <row r="261" spans="1:13" s="45" customFormat="1" ht="8.5500000000000007" customHeight="1" x14ac:dyDescent="0.2">
      <c r="A261" s="43"/>
      <c r="B261" s="201" t="s">
        <v>1760</v>
      </c>
      <c r="C261" s="201"/>
      <c r="D261" s="201"/>
      <c r="E261" s="201"/>
      <c r="F261" s="157"/>
      <c r="G261" s="251">
        <v>2016</v>
      </c>
      <c r="H261" s="304">
        <v>98</v>
      </c>
      <c r="I261" s="305"/>
      <c r="J261" s="302" t="s">
        <v>1789</v>
      </c>
      <c r="K261" s="164">
        <v>1</v>
      </c>
      <c r="L261" s="91"/>
      <c r="M261" s="92"/>
    </row>
    <row r="262" spans="1:13" s="45" customFormat="1" ht="8.5500000000000007" customHeight="1" x14ac:dyDescent="0.2">
      <c r="A262" s="43"/>
      <c r="B262" s="158"/>
      <c r="C262" s="158"/>
      <c r="D262" s="158"/>
      <c r="E262" s="158"/>
      <c r="F262" s="159"/>
      <c r="G262" s="252"/>
      <c r="H262" s="303"/>
      <c r="I262" s="306"/>
      <c r="J262" s="338"/>
      <c r="K262" s="165"/>
      <c r="L262" s="91"/>
      <c r="M262" s="92"/>
    </row>
    <row r="263" spans="1:13" s="45" customFormat="1" ht="8.5500000000000007" customHeight="1" x14ac:dyDescent="0.2">
      <c r="A263" s="43"/>
      <c r="B263" s="201" t="s">
        <v>1827</v>
      </c>
      <c r="C263" s="201"/>
      <c r="D263" s="201"/>
      <c r="E263" s="201"/>
      <c r="F263" s="157"/>
      <c r="G263" s="251">
        <v>2017</v>
      </c>
      <c r="H263" s="304"/>
      <c r="I263" s="305"/>
      <c r="J263" s="302"/>
      <c r="K263" s="164">
        <v>1</v>
      </c>
      <c r="L263" s="91"/>
      <c r="M263" s="92"/>
    </row>
    <row r="264" spans="1:13" s="45" customFormat="1" ht="8.5500000000000007" customHeight="1" x14ac:dyDescent="0.2">
      <c r="A264" s="43"/>
      <c r="B264" s="158"/>
      <c r="C264" s="158"/>
      <c r="D264" s="158"/>
      <c r="E264" s="158"/>
      <c r="F264" s="159"/>
      <c r="G264" s="252"/>
      <c r="H264" s="303"/>
      <c r="I264" s="306"/>
      <c r="J264" s="338"/>
      <c r="K264" s="165"/>
      <c r="L264" s="91"/>
      <c r="M264" s="92"/>
    </row>
    <row r="265" spans="1:13" s="45" customFormat="1" ht="8.5500000000000007" customHeight="1" x14ac:dyDescent="0.2">
      <c r="A265" s="43"/>
      <c r="B265" s="201" t="s">
        <v>1861</v>
      </c>
      <c r="C265" s="201"/>
      <c r="D265" s="201"/>
      <c r="E265" s="201"/>
      <c r="F265" s="157"/>
      <c r="G265" s="251">
        <v>2019</v>
      </c>
      <c r="H265" s="304">
        <v>97</v>
      </c>
      <c r="I265" s="305"/>
      <c r="J265" s="302" t="s">
        <v>1789</v>
      </c>
      <c r="K265" s="164">
        <v>2</v>
      </c>
      <c r="L265" s="91"/>
      <c r="M265" s="92"/>
    </row>
    <row r="266" spans="1:13" s="45" customFormat="1" ht="8.5500000000000007" customHeight="1" x14ac:dyDescent="0.2">
      <c r="A266" s="43"/>
      <c r="B266" s="158"/>
      <c r="C266" s="158"/>
      <c r="D266" s="158"/>
      <c r="E266" s="158"/>
      <c r="F266" s="159"/>
      <c r="G266" s="252"/>
      <c r="H266" s="303"/>
      <c r="I266" s="306"/>
      <c r="J266" s="338"/>
      <c r="K266" s="165"/>
      <c r="L266" s="91"/>
      <c r="M266" s="92"/>
    </row>
    <row r="267" spans="1:13" s="45" customFormat="1" ht="8.5500000000000007" customHeight="1" x14ac:dyDescent="0.2">
      <c r="A267" s="43"/>
      <c r="B267" s="201" t="s">
        <v>498</v>
      </c>
      <c r="C267" s="201"/>
      <c r="D267" s="201"/>
      <c r="E267" s="201"/>
      <c r="F267" s="157"/>
      <c r="G267" s="251">
        <v>2019</v>
      </c>
      <c r="H267" s="304" t="s">
        <v>654</v>
      </c>
      <c r="I267" s="305"/>
      <c r="J267" s="302" t="s">
        <v>1789</v>
      </c>
      <c r="K267" s="164">
        <v>2</v>
      </c>
      <c r="L267" s="91"/>
      <c r="M267" s="92"/>
    </row>
    <row r="268" spans="1:13" s="45" customFormat="1" ht="8.5500000000000007" customHeight="1" x14ac:dyDescent="0.2">
      <c r="A268" s="43"/>
      <c r="B268" s="158"/>
      <c r="C268" s="158"/>
      <c r="D268" s="158"/>
      <c r="E268" s="158"/>
      <c r="F268" s="159"/>
      <c r="G268" s="252"/>
      <c r="H268" s="303"/>
      <c r="I268" s="306"/>
      <c r="J268" s="338"/>
      <c r="K268" s="165"/>
      <c r="L268" s="91"/>
      <c r="M268" s="92"/>
    </row>
    <row r="269" spans="1:13" s="45" customFormat="1" ht="8.5500000000000007" customHeight="1" x14ac:dyDescent="0.2">
      <c r="A269" s="43"/>
      <c r="B269" s="201" t="s">
        <v>1860</v>
      </c>
      <c r="C269" s="201"/>
      <c r="D269" s="201"/>
      <c r="E269" s="201"/>
      <c r="F269" s="157"/>
      <c r="G269" s="251">
        <v>2021</v>
      </c>
      <c r="H269" s="304">
        <v>93</v>
      </c>
      <c r="I269" s="305"/>
      <c r="J269" s="302" t="s">
        <v>1794</v>
      </c>
      <c r="K269" s="164">
        <v>2</v>
      </c>
      <c r="L269" s="91"/>
      <c r="M269" s="92"/>
    </row>
    <row r="270" spans="1:13" s="45" customFormat="1" ht="8.5500000000000007" customHeight="1" x14ac:dyDescent="0.2">
      <c r="A270" s="43"/>
      <c r="B270" s="158"/>
      <c r="C270" s="158"/>
      <c r="D270" s="158"/>
      <c r="E270" s="158"/>
      <c r="F270" s="159"/>
      <c r="G270" s="252"/>
      <c r="H270" s="303"/>
      <c r="I270" s="306"/>
      <c r="J270" s="338"/>
      <c r="K270" s="165"/>
      <c r="L270" s="91"/>
      <c r="M270" s="92"/>
    </row>
    <row r="271" spans="1:13" s="45" customFormat="1" ht="8.5500000000000007" customHeight="1" x14ac:dyDescent="0.2">
      <c r="A271" s="43"/>
      <c r="B271" s="201" t="s">
        <v>1790</v>
      </c>
      <c r="C271" s="201"/>
      <c r="D271" s="201"/>
      <c r="E271" s="201"/>
      <c r="F271" s="157"/>
      <c r="G271" s="251">
        <v>2020</v>
      </c>
      <c r="H271" s="304">
        <v>92</v>
      </c>
      <c r="I271" s="305"/>
      <c r="J271" s="302" t="s">
        <v>1721</v>
      </c>
      <c r="K271" s="164">
        <v>2</v>
      </c>
      <c r="L271" s="91"/>
      <c r="M271" s="92"/>
    </row>
    <row r="272" spans="1:13" s="45" customFormat="1" ht="8.5500000000000007" customHeight="1" x14ac:dyDescent="0.2">
      <c r="A272" s="43"/>
      <c r="B272" s="158"/>
      <c r="C272" s="158"/>
      <c r="D272" s="158"/>
      <c r="E272" s="158"/>
      <c r="F272" s="159"/>
      <c r="G272" s="252"/>
      <c r="H272" s="303"/>
      <c r="I272" s="306"/>
      <c r="J272" s="338"/>
      <c r="K272" s="165"/>
      <c r="L272" s="91"/>
      <c r="M272" s="92"/>
    </row>
    <row r="273" spans="1:13" s="45" customFormat="1" ht="8.5500000000000007" customHeight="1" x14ac:dyDescent="0.2">
      <c r="A273" s="43"/>
      <c r="B273" s="201" t="s">
        <v>1790</v>
      </c>
      <c r="C273" s="201"/>
      <c r="D273" s="201"/>
      <c r="E273" s="201"/>
      <c r="F273" s="157"/>
      <c r="G273" s="251">
        <v>2021</v>
      </c>
      <c r="H273" s="304">
        <v>93</v>
      </c>
      <c r="I273" s="305"/>
      <c r="J273" s="302" t="s">
        <v>1865</v>
      </c>
      <c r="K273" s="164">
        <v>2</v>
      </c>
      <c r="L273" s="91"/>
      <c r="M273" s="92"/>
    </row>
    <row r="274" spans="1:13" s="45" customFormat="1" ht="8.5500000000000007" customHeight="1" x14ac:dyDescent="0.2">
      <c r="A274" s="43"/>
      <c r="B274" s="158"/>
      <c r="C274" s="158"/>
      <c r="D274" s="158"/>
      <c r="E274" s="158"/>
      <c r="F274" s="159"/>
      <c r="G274" s="252"/>
      <c r="H274" s="303"/>
      <c r="I274" s="306"/>
      <c r="J274" s="338"/>
      <c r="K274" s="165"/>
      <c r="L274" s="91"/>
      <c r="M274" s="92"/>
    </row>
    <row r="275" spans="1:13" s="45" customFormat="1" ht="8.5500000000000007" customHeight="1" x14ac:dyDescent="0.2">
      <c r="A275" s="43"/>
      <c r="B275" s="201" t="s">
        <v>488</v>
      </c>
      <c r="C275" s="201"/>
      <c r="D275" s="201"/>
      <c r="E275" s="201"/>
      <c r="F275" s="157"/>
      <c r="G275" s="251">
        <v>1989</v>
      </c>
      <c r="H275" s="304">
        <v>95</v>
      </c>
      <c r="I275" s="305">
        <v>95</v>
      </c>
      <c r="J275" s="302" t="s">
        <v>256</v>
      </c>
      <c r="K275" s="164">
        <v>1</v>
      </c>
      <c r="L275" s="91"/>
      <c r="M275" s="92"/>
    </row>
    <row r="276" spans="1:13" s="45" customFormat="1" ht="8.5500000000000007" customHeight="1" x14ac:dyDescent="0.2">
      <c r="A276" s="43"/>
      <c r="B276" s="158"/>
      <c r="C276" s="158"/>
      <c r="D276" s="158"/>
      <c r="E276" s="158"/>
      <c r="F276" s="159"/>
      <c r="G276" s="252"/>
      <c r="H276" s="303"/>
      <c r="I276" s="306"/>
      <c r="J276" s="338"/>
      <c r="K276" s="165"/>
      <c r="L276" s="91"/>
      <c r="M276" s="92"/>
    </row>
    <row r="277" spans="1:13" s="45" customFormat="1" ht="8.5500000000000007" customHeight="1" x14ac:dyDescent="0.2">
      <c r="A277" s="43"/>
      <c r="B277" s="201" t="s">
        <v>713</v>
      </c>
      <c r="C277" s="201"/>
      <c r="D277" s="201"/>
      <c r="E277" s="201"/>
      <c r="F277" s="157"/>
      <c r="G277" s="251">
        <v>1990</v>
      </c>
      <c r="H277" s="304">
        <v>97</v>
      </c>
      <c r="I277" s="305">
        <v>93</v>
      </c>
      <c r="J277" s="302" t="s">
        <v>225</v>
      </c>
      <c r="K277" s="164">
        <v>1</v>
      </c>
      <c r="L277" s="91"/>
      <c r="M277" s="92"/>
    </row>
    <row r="278" spans="1:13" s="45" customFormat="1" ht="8.5500000000000007" customHeight="1" x14ac:dyDescent="0.2">
      <c r="A278" s="43"/>
      <c r="B278" s="158"/>
      <c r="C278" s="158"/>
      <c r="D278" s="158"/>
      <c r="E278" s="158"/>
      <c r="F278" s="159"/>
      <c r="G278" s="252"/>
      <c r="H278" s="303"/>
      <c r="I278" s="306"/>
      <c r="J278" s="338"/>
      <c r="K278" s="165"/>
      <c r="L278" s="91"/>
      <c r="M278" s="92"/>
    </row>
    <row r="279" spans="1:13" s="45" customFormat="1" ht="8.5500000000000007" customHeight="1" x14ac:dyDescent="0.2">
      <c r="A279" s="43"/>
      <c r="B279" s="201" t="s">
        <v>1458</v>
      </c>
      <c r="C279" s="201"/>
      <c r="D279" s="201"/>
      <c r="E279" s="201"/>
      <c r="F279" s="157"/>
      <c r="G279" s="251">
        <v>1990</v>
      </c>
      <c r="H279" s="304">
        <v>95</v>
      </c>
      <c r="I279" s="305"/>
      <c r="J279" s="302" t="s">
        <v>256</v>
      </c>
      <c r="K279" s="164">
        <v>2</v>
      </c>
      <c r="L279" s="91"/>
      <c r="M279" s="92"/>
    </row>
    <row r="280" spans="1:13" s="45" customFormat="1" ht="8.5500000000000007" customHeight="1" x14ac:dyDescent="0.2">
      <c r="A280" s="43"/>
      <c r="B280" s="158"/>
      <c r="C280" s="158"/>
      <c r="D280" s="158"/>
      <c r="E280" s="158"/>
      <c r="F280" s="159"/>
      <c r="G280" s="252"/>
      <c r="H280" s="303"/>
      <c r="I280" s="306"/>
      <c r="J280" s="338"/>
      <c r="K280" s="165"/>
      <c r="L280" s="91"/>
      <c r="M280" s="92"/>
    </row>
    <row r="281" spans="1:13" s="45" customFormat="1" ht="8.5500000000000007" customHeight="1" x14ac:dyDescent="0.2">
      <c r="A281" s="43"/>
      <c r="B281" s="201" t="s">
        <v>1458</v>
      </c>
      <c r="C281" s="201"/>
      <c r="D281" s="201"/>
      <c r="E281" s="201"/>
      <c r="F281" s="157"/>
      <c r="G281" s="251">
        <v>1996</v>
      </c>
      <c r="H281" s="304" t="s">
        <v>68</v>
      </c>
      <c r="I281" s="305">
        <v>94</v>
      </c>
      <c r="J281" s="302" t="s">
        <v>686</v>
      </c>
      <c r="K281" s="164">
        <v>1</v>
      </c>
      <c r="L281" s="91"/>
      <c r="M281" s="92"/>
    </row>
    <row r="282" spans="1:13" s="45" customFormat="1" ht="8.5500000000000007" customHeight="1" x14ac:dyDescent="0.2">
      <c r="A282" s="43"/>
      <c r="B282" s="158"/>
      <c r="C282" s="158"/>
      <c r="D282" s="158"/>
      <c r="E282" s="158"/>
      <c r="F282" s="159"/>
      <c r="G282" s="252"/>
      <c r="H282" s="303"/>
      <c r="I282" s="306"/>
      <c r="J282" s="338"/>
      <c r="K282" s="165"/>
      <c r="L282" s="91"/>
      <c r="M282" s="92"/>
    </row>
    <row r="283" spans="1:13" s="45" customFormat="1" ht="8.5500000000000007" customHeight="1" x14ac:dyDescent="0.2">
      <c r="A283" s="43"/>
      <c r="B283" s="201" t="s">
        <v>1458</v>
      </c>
      <c r="C283" s="201"/>
      <c r="D283" s="201"/>
      <c r="E283" s="201"/>
      <c r="F283" s="157"/>
      <c r="G283" s="251">
        <v>1997</v>
      </c>
      <c r="H283" s="304">
        <v>97</v>
      </c>
      <c r="I283" s="305">
        <v>94</v>
      </c>
      <c r="J283" s="302" t="s">
        <v>309</v>
      </c>
      <c r="K283" s="164">
        <v>2</v>
      </c>
      <c r="L283" s="91"/>
      <c r="M283" s="92"/>
    </row>
    <row r="284" spans="1:13" s="45" customFormat="1" ht="8.5500000000000007" customHeight="1" x14ac:dyDescent="0.2">
      <c r="A284" s="43"/>
      <c r="B284" s="158"/>
      <c r="C284" s="158"/>
      <c r="D284" s="158"/>
      <c r="E284" s="158"/>
      <c r="F284" s="159"/>
      <c r="G284" s="252"/>
      <c r="H284" s="303"/>
      <c r="I284" s="306"/>
      <c r="J284" s="338"/>
      <c r="K284" s="165"/>
      <c r="L284" s="91"/>
      <c r="M284" s="92"/>
    </row>
    <row r="285" spans="1:13" s="45" customFormat="1" ht="8.5500000000000007" customHeight="1" x14ac:dyDescent="0.2">
      <c r="A285" s="43"/>
      <c r="B285" s="201" t="s">
        <v>1458</v>
      </c>
      <c r="C285" s="201"/>
      <c r="D285" s="201"/>
      <c r="E285" s="201"/>
      <c r="F285" s="157"/>
      <c r="G285" s="251">
        <v>2000</v>
      </c>
      <c r="H285" s="304">
        <v>97</v>
      </c>
      <c r="I285" s="305">
        <v>99</v>
      </c>
      <c r="J285" s="302" t="s">
        <v>124</v>
      </c>
      <c r="K285" s="164">
        <v>1</v>
      </c>
      <c r="L285" s="91"/>
      <c r="M285" s="92"/>
    </row>
    <row r="286" spans="1:13" s="45" customFormat="1" ht="8.5500000000000007" customHeight="1" x14ac:dyDescent="0.2">
      <c r="A286" s="43"/>
      <c r="B286" s="158"/>
      <c r="C286" s="158"/>
      <c r="D286" s="158"/>
      <c r="E286" s="158"/>
      <c r="F286" s="159"/>
      <c r="G286" s="252"/>
      <c r="H286" s="303"/>
      <c r="I286" s="306"/>
      <c r="J286" s="338"/>
      <c r="K286" s="165"/>
      <c r="L286" s="91"/>
      <c r="M286" s="92"/>
    </row>
    <row r="287" spans="1:13" s="45" customFormat="1" ht="8.5500000000000007" customHeight="1" x14ac:dyDescent="0.2">
      <c r="A287" s="43"/>
      <c r="B287" s="201" t="s">
        <v>1458</v>
      </c>
      <c r="C287" s="201"/>
      <c r="D287" s="201"/>
      <c r="E287" s="201"/>
      <c r="F287" s="157"/>
      <c r="G287" s="251">
        <v>2004</v>
      </c>
      <c r="H287" s="304">
        <v>97</v>
      </c>
      <c r="I287" s="305">
        <v>94</v>
      </c>
      <c r="J287" s="302" t="s">
        <v>489</v>
      </c>
      <c r="K287" s="164">
        <v>1</v>
      </c>
      <c r="L287" s="91"/>
      <c r="M287" s="92"/>
    </row>
    <row r="288" spans="1:13" s="45" customFormat="1" ht="8.5500000000000007" customHeight="1" x14ac:dyDescent="0.2">
      <c r="A288" s="43"/>
      <c r="B288" s="158"/>
      <c r="C288" s="158"/>
      <c r="D288" s="158"/>
      <c r="E288" s="158"/>
      <c r="F288" s="159"/>
      <c r="G288" s="252"/>
      <c r="H288" s="303"/>
      <c r="I288" s="306"/>
      <c r="J288" s="338"/>
      <c r="K288" s="165"/>
      <c r="L288" s="91"/>
      <c r="M288" s="92"/>
    </row>
    <row r="289" spans="1:13" s="45" customFormat="1" ht="8.5500000000000007" customHeight="1" x14ac:dyDescent="0.2">
      <c r="A289" s="43"/>
      <c r="B289" s="201" t="s">
        <v>1458</v>
      </c>
      <c r="C289" s="201"/>
      <c r="D289" s="201"/>
      <c r="E289" s="201"/>
      <c r="F289" s="157"/>
      <c r="G289" s="251">
        <v>2005</v>
      </c>
      <c r="H289" s="304">
        <v>95</v>
      </c>
      <c r="I289" s="305"/>
      <c r="J289" s="302" t="s">
        <v>124</v>
      </c>
      <c r="K289" s="164">
        <v>2</v>
      </c>
      <c r="L289" s="91"/>
      <c r="M289" s="92"/>
    </row>
    <row r="290" spans="1:13" s="45" customFormat="1" ht="8.5500000000000007" customHeight="1" x14ac:dyDescent="0.2">
      <c r="A290" s="43"/>
      <c r="B290" s="158"/>
      <c r="C290" s="158"/>
      <c r="D290" s="158"/>
      <c r="E290" s="158"/>
      <c r="F290" s="159"/>
      <c r="G290" s="252"/>
      <c r="H290" s="303"/>
      <c r="I290" s="306"/>
      <c r="J290" s="338"/>
      <c r="K290" s="165"/>
      <c r="L290" s="91"/>
      <c r="M290" s="92"/>
    </row>
    <row r="291" spans="1:13" s="45" customFormat="1" ht="8.5500000000000007" customHeight="1" x14ac:dyDescent="0.2">
      <c r="A291" s="43"/>
      <c r="B291" s="339" t="s">
        <v>814</v>
      </c>
      <c r="C291" s="339"/>
      <c r="D291" s="339"/>
      <c r="E291" s="339"/>
      <c r="F291" s="339"/>
      <c r="G291" s="79"/>
      <c r="H291" s="47"/>
      <c r="I291" s="48"/>
      <c r="J291" s="48"/>
      <c r="K291" s="164"/>
      <c r="L291" s="91"/>
      <c r="M291" s="92"/>
    </row>
    <row r="292" spans="1:13" s="45" customFormat="1" ht="8.5500000000000007" customHeight="1" x14ac:dyDescent="0.2">
      <c r="A292" s="43"/>
      <c r="B292" s="340"/>
      <c r="C292" s="340"/>
      <c r="D292" s="340"/>
      <c r="E292" s="340"/>
      <c r="F292" s="340"/>
      <c r="G292" s="80"/>
      <c r="H292" s="54"/>
      <c r="I292" s="49"/>
      <c r="J292" s="49"/>
      <c r="K292" s="165"/>
      <c r="L292" s="91"/>
      <c r="M292" s="92"/>
    </row>
    <row r="293" spans="1:13" s="45" customFormat="1" ht="8.5500000000000007" customHeight="1" x14ac:dyDescent="0.2">
      <c r="A293" s="43"/>
      <c r="B293" s="201" t="s">
        <v>1458</v>
      </c>
      <c r="C293" s="201"/>
      <c r="D293" s="201"/>
      <c r="E293" s="201"/>
      <c r="F293" s="157"/>
      <c r="G293" s="251">
        <v>2007</v>
      </c>
      <c r="H293" s="304">
        <v>95</v>
      </c>
      <c r="I293" s="305"/>
      <c r="J293" s="302"/>
      <c r="K293" s="164">
        <v>1</v>
      </c>
      <c r="L293" s="91"/>
      <c r="M293" s="92"/>
    </row>
    <row r="294" spans="1:13" s="45" customFormat="1" ht="8.5500000000000007" customHeight="1" x14ac:dyDescent="0.2">
      <c r="A294" s="43"/>
      <c r="B294" s="158"/>
      <c r="C294" s="158"/>
      <c r="D294" s="158"/>
      <c r="E294" s="158"/>
      <c r="F294" s="159"/>
      <c r="G294" s="252"/>
      <c r="H294" s="303"/>
      <c r="I294" s="306"/>
      <c r="J294" s="338"/>
      <c r="K294" s="165"/>
      <c r="L294" s="91"/>
      <c r="M294" s="92"/>
    </row>
    <row r="295" spans="1:13" s="45" customFormat="1" ht="8.5500000000000007" customHeight="1" x14ac:dyDescent="0.2">
      <c r="A295" s="43"/>
      <c r="B295" s="201" t="s">
        <v>1458</v>
      </c>
      <c r="C295" s="201"/>
      <c r="D295" s="201"/>
      <c r="E295" s="201"/>
      <c r="F295" s="157"/>
      <c r="G295" s="251">
        <v>2008</v>
      </c>
      <c r="H295" s="304" t="s">
        <v>623</v>
      </c>
      <c r="I295" s="305"/>
      <c r="J295" s="302"/>
      <c r="K295" s="164">
        <v>2</v>
      </c>
      <c r="L295" s="91"/>
      <c r="M295" s="92"/>
    </row>
    <row r="296" spans="1:13" s="45" customFormat="1" ht="8.5500000000000007" customHeight="1" x14ac:dyDescent="0.2">
      <c r="A296" s="43"/>
      <c r="B296" s="158"/>
      <c r="C296" s="158"/>
      <c r="D296" s="158"/>
      <c r="E296" s="158"/>
      <c r="F296" s="159"/>
      <c r="G296" s="252"/>
      <c r="H296" s="303"/>
      <c r="I296" s="306"/>
      <c r="J296" s="338"/>
      <c r="K296" s="165"/>
      <c r="L296" s="91"/>
      <c r="M296" s="92"/>
    </row>
    <row r="297" spans="1:13" s="45" customFormat="1" ht="8.5500000000000007" customHeight="1" x14ac:dyDescent="0.2">
      <c r="A297" s="43"/>
      <c r="B297" s="201" t="s">
        <v>481</v>
      </c>
      <c r="C297" s="201"/>
      <c r="D297" s="201"/>
      <c r="E297" s="201"/>
      <c r="F297" s="157"/>
      <c r="G297" s="251">
        <v>1989</v>
      </c>
      <c r="H297" s="304">
        <v>97</v>
      </c>
      <c r="I297" s="305">
        <v>92</v>
      </c>
      <c r="J297" s="302" t="s">
        <v>410</v>
      </c>
      <c r="K297" s="164">
        <v>2</v>
      </c>
      <c r="L297" s="91"/>
      <c r="M297" s="92"/>
    </row>
    <row r="298" spans="1:13" s="45" customFormat="1" ht="8.5500000000000007" customHeight="1" x14ac:dyDescent="0.2">
      <c r="A298" s="43"/>
      <c r="B298" s="158"/>
      <c r="C298" s="158"/>
      <c r="D298" s="158"/>
      <c r="E298" s="158"/>
      <c r="F298" s="159"/>
      <c r="G298" s="252"/>
      <c r="H298" s="303"/>
      <c r="I298" s="306"/>
      <c r="J298" s="338"/>
      <c r="K298" s="165"/>
      <c r="L298" s="91"/>
      <c r="M298" s="92"/>
    </row>
    <row r="299" spans="1:13" s="45" customFormat="1" ht="8.5500000000000007" customHeight="1" x14ac:dyDescent="0.2">
      <c r="A299" s="43"/>
      <c r="B299" s="201" t="s">
        <v>481</v>
      </c>
      <c r="C299" s="201"/>
      <c r="D299" s="201"/>
      <c r="E299" s="201"/>
      <c r="F299" s="157"/>
      <c r="G299" s="251">
        <v>1990</v>
      </c>
      <c r="H299" s="304">
        <v>95</v>
      </c>
      <c r="I299" s="305"/>
      <c r="J299" s="302" t="s">
        <v>490</v>
      </c>
      <c r="K299" s="164">
        <v>1</v>
      </c>
      <c r="L299" s="91"/>
      <c r="M299" s="92"/>
    </row>
    <row r="300" spans="1:13" s="45" customFormat="1" ht="8.5500000000000007" customHeight="1" x14ac:dyDescent="0.2">
      <c r="A300" s="43"/>
      <c r="B300" s="158"/>
      <c r="C300" s="158"/>
      <c r="D300" s="158"/>
      <c r="E300" s="158"/>
      <c r="F300" s="159"/>
      <c r="G300" s="252"/>
      <c r="H300" s="303"/>
      <c r="I300" s="306"/>
      <c r="J300" s="338"/>
      <c r="K300" s="165"/>
      <c r="L300" s="91"/>
      <c r="M300" s="92"/>
    </row>
    <row r="301" spans="1:13" s="45" customFormat="1" ht="8.5500000000000007" customHeight="1" x14ac:dyDescent="0.2">
      <c r="A301" s="43"/>
      <c r="B301" s="281" t="s">
        <v>481</v>
      </c>
      <c r="C301" s="281"/>
      <c r="D301" s="281"/>
      <c r="E301" s="281"/>
      <c r="F301" s="184"/>
      <c r="G301" s="251">
        <v>1996</v>
      </c>
      <c r="H301" s="304">
        <v>96</v>
      </c>
      <c r="I301" s="305">
        <v>94</v>
      </c>
      <c r="J301" s="302" t="s">
        <v>460</v>
      </c>
      <c r="K301" s="164">
        <v>3</v>
      </c>
      <c r="L301" s="91"/>
      <c r="M301" s="92"/>
    </row>
    <row r="302" spans="1:13" s="45" customFormat="1" ht="8.5500000000000007" customHeight="1" x14ac:dyDescent="0.2">
      <c r="A302" s="43"/>
      <c r="B302" s="185"/>
      <c r="C302" s="185"/>
      <c r="D302" s="185"/>
      <c r="E302" s="185"/>
      <c r="F302" s="186"/>
      <c r="G302" s="252"/>
      <c r="H302" s="303"/>
      <c r="I302" s="306"/>
      <c r="J302" s="338"/>
      <c r="K302" s="165"/>
      <c r="L302" s="91"/>
      <c r="M302" s="92"/>
    </row>
    <row r="303" spans="1:13" s="45" customFormat="1" ht="8.5500000000000007" customHeight="1" x14ac:dyDescent="0.2">
      <c r="A303" s="43"/>
      <c r="B303" s="281" t="s">
        <v>481</v>
      </c>
      <c r="C303" s="281"/>
      <c r="D303" s="281"/>
      <c r="E303" s="281"/>
      <c r="F303" s="184"/>
      <c r="G303" s="251">
        <v>2007</v>
      </c>
      <c r="H303" s="304">
        <v>98</v>
      </c>
      <c r="I303" s="305"/>
      <c r="J303" s="302"/>
      <c r="K303" s="164">
        <v>2</v>
      </c>
      <c r="L303" s="91"/>
      <c r="M303" s="92"/>
    </row>
    <row r="304" spans="1:13" s="45" customFormat="1" ht="8.5500000000000007" customHeight="1" x14ac:dyDescent="0.2">
      <c r="A304" s="43"/>
      <c r="B304" s="185"/>
      <c r="C304" s="185"/>
      <c r="D304" s="185"/>
      <c r="E304" s="185"/>
      <c r="F304" s="186"/>
      <c r="G304" s="252"/>
      <c r="H304" s="303"/>
      <c r="I304" s="306"/>
      <c r="J304" s="338"/>
      <c r="K304" s="165"/>
      <c r="L304" s="91"/>
      <c r="M304" s="92"/>
    </row>
    <row r="305" spans="1:13" s="45" customFormat="1" ht="8.5500000000000007" customHeight="1" x14ac:dyDescent="0.2">
      <c r="A305" s="43"/>
      <c r="B305" s="201" t="s">
        <v>476</v>
      </c>
      <c r="C305" s="201"/>
      <c r="D305" s="201"/>
      <c r="E305" s="201"/>
      <c r="F305" s="157"/>
      <c r="G305" s="251">
        <v>1997</v>
      </c>
      <c r="H305" s="304">
        <v>93</v>
      </c>
      <c r="I305" s="305">
        <v>98</v>
      </c>
      <c r="J305" s="302" t="s">
        <v>122</v>
      </c>
      <c r="K305" s="164">
        <v>3</v>
      </c>
      <c r="L305" s="91"/>
      <c r="M305" s="92"/>
    </row>
    <row r="306" spans="1:13" s="45" customFormat="1" ht="8.5500000000000007" customHeight="1" x14ac:dyDescent="0.2">
      <c r="A306" s="43"/>
      <c r="B306" s="158"/>
      <c r="C306" s="158"/>
      <c r="D306" s="158"/>
      <c r="E306" s="158"/>
      <c r="F306" s="159"/>
      <c r="G306" s="252"/>
      <c r="H306" s="303"/>
      <c r="I306" s="306"/>
      <c r="J306" s="338"/>
      <c r="K306" s="165"/>
      <c r="L306" s="91"/>
      <c r="M306" s="92"/>
    </row>
    <row r="307" spans="1:13" s="45" customFormat="1" ht="8.5500000000000007" customHeight="1" x14ac:dyDescent="0.2">
      <c r="A307" s="43"/>
      <c r="B307" s="201" t="s">
        <v>476</v>
      </c>
      <c r="C307" s="201"/>
      <c r="D307" s="201"/>
      <c r="E307" s="201"/>
      <c r="F307" s="157"/>
      <c r="G307" s="251">
        <v>1998</v>
      </c>
      <c r="H307" s="304">
        <v>93</v>
      </c>
      <c r="I307" s="305">
        <v>96</v>
      </c>
      <c r="J307" s="302" t="s">
        <v>138</v>
      </c>
      <c r="K307" s="164">
        <v>3</v>
      </c>
      <c r="L307" s="91"/>
      <c r="M307" s="92"/>
    </row>
    <row r="308" spans="1:13" s="45" customFormat="1" ht="8.5500000000000007" customHeight="1" x14ac:dyDescent="0.2">
      <c r="A308" s="43"/>
      <c r="B308" s="158"/>
      <c r="C308" s="158"/>
      <c r="D308" s="158"/>
      <c r="E308" s="158"/>
      <c r="F308" s="159"/>
      <c r="G308" s="252"/>
      <c r="H308" s="303"/>
      <c r="I308" s="306"/>
      <c r="J308" s="338"/>
      <c r="K308" s="165"/>
      <c r="L308" s="91"/>
      <c r="M308" s="92"/>
    </row>
    <row r="309" spans="1:13" s="45" customFormat="1" ht="8.5500000000000007" customHeight="1" x14ac:dyDescent="0.2">
      <c r="A309" s="43"/>
      <c r="B309" s="201" t="s">
        <v>476</v>
      </c>
      <c r="C309" s="201"/>
      <c r="D309" s="201"/>
      <c r="E309" s="201"/>
      <c r="F309" s="157"/>
      <c r="G309" s="251">
        <v>1999</v>
      </c>
      <c r="H309" s="304">
        <v>94</v>
      </c>
      <c r="I309" s="305">
        <v>93</v>
      </c>
      <c r="J309" s="302" t="s">
        <v>335</v>
      </c>
      <c r="K309" s="164">
        <v>1</v>
      </c>
      <c r="L309" s="91"/>
      <c r="M309" s="92"/>
    </row>
    <row r="310" spans="1:13" s="45" customFormat="1" ht="8.5500000000000007" customHeight="1" x14ac:dyDescent="0.2">
      <c r="A310" s="43"/>
      <c r="B310" s="158"/>
      <c r="C310" s="158"/>
      <c r="D310" s="158"/>
      <c r="E310" s="158"/>
      <c r="F310" s="159"/>
      <c r="G310" s="252"/>
      <c r="H310" s="303"/>
      <c r="I310" s="306"/>
      <c r="J310" s="338"/>
      <c r="K310" s="165"/>
      <c r="L310" s="91"/>
      <c r="M310" s="92"/>
    </row>
    <row r="311" spans="1:13" s="45" customFormat="1" ht="8.5500000000000007" customHeight="1" x14ac:dyDescent="0.2">
      <c r="A311" s="43"/>
      <c r="B311" s="201" t="s">
        <v>476</v>
      </c>
      <c r="C311" s="201"/>
      <c r="D311" s="201"/>
      <c r="E311" s="201"/>
      <c r="F311" s="157"/>
      <c r="G311" s="251">
        <v>2000</v>
      </c>
      <c r="H311" s="304">
        <v>93</v>
      </c>
      <c r="I311" s="305">
        <v>100</v>
      </c>
      <c r="J311" s="302" t="s">
        <v>131</v>
      </c>
      <c r="K311" s="164">
        <v>3</v>
      </c>
      <c r="L311" s="91"/>
      <c r="M311" s="92"/>
    </row>
    <row r="312" spans="1:13" s="45" customFormat="1" ht="8.5500000000000007" customHeight="1" x14ac:dyDescent="0.2">
      <c r="A312" s="43"/>
      <c r="B312" s="158"/>
      <c r="C312" s="158"/>
      <c r="D312" s="158"/>
      <c r="E312" s="158"/>
      <c r="F312" s="159"/>
      <c r="G312" s="252"/>
      <c r="H312" s="303"/>
      <c r="I312" s="306"/>
      <c r="J312" s="338"/>
      <c r="K312" s="165"/>
      <c r="L312" s="91"/>
      <c r="M312" s="92"/>
    </row>
    <row r="313" spans="1:13" s="45" customFormat="1" ht="8.5500000000000007" customHeight="1" x14ac:dyDescent="0.2">
      <c r="A313" s="43"/>
      <c r="B313" s="201" t="s">
        <v>477</v>
      </c>
      <c r="C313" s="201"/>
      <c r="D313" s="201"/>
      <c r="E313" s="201"/>
      <c r="F313" s="157"/>
      <c r="G313" s="251">
        <v>1996</v>
      </c>
      <c r="H313" s="304" t="s">
        <v>1572</v>
      </c>
      <c r="I313" s="305"/>
      <c r="J313" s="302" t="s">
        <v>702</v>
      </c>
      <c r="K313" s="164">
        <v>3</v>
      </c>
      <c r="L313" s="91"/>
      <c r="M313" s="92"/>
    </row>
    <row r="314" spans="1:13" s="45" customFormat="1" ht="8.5500000000000007" customHeight="1" x14ac:dyDescent="0.2">
      <c r="A314" s="43"/>
      <c r="B314" s="158"/>
      <c r="C314" s="158"/>
      <c r="D314" s="158"/>
      <c r="E314" s="158"/>
      <c r="F314" s="159"/>
      <c r="G314" s="252"/>
      <c r="H314" s="303"/>
      <c r="I314" s="306"/>
      <c r="J314" s="338"/>
      <c r="K314" s="165"/>
      <c r="L314" s="91"/>
      <c r="M314" s="92"/>
    </row>
    <row r="315" spans="1:13" s="45" customFormat="1" ht="8.5500000000000007" customHeight="1" x14ac:dyDescent="0.2">
      <c r="A315" s="43"/>
      <c r="B315" s="201" t="s">
        <v>477</v>
      </c>
      <c r="C315" s="201"/>
      <c r="D315" s="201"/>
      <c r="E315" s="201"/>
      <c r="F315" s="157"/>
      <c r="G315" s="251">
        <v>1997</v>
      </c>
      <c r="H315" s="304">
        <v>96</v>
      </c>
      <c r="I315" s="305">
        <v>97</v>
      </c>
      <c r="J315" s="302" t="s">
        <v>358</v>
      </c>
      <c r="K315" s="164">
        <v>2</v>
      </c>
      <c r="L315" s="91"/>
      <c r="M315" s="92"/>
    </row>
    <row r="316" spans="1:13" s="45" customFormat="1" ht="8.5500000000000007" customHeight="1" x14ac:dyDescent="0.2">
      <c r="A316" s="43"/>
      <c r="B316" s="158"/>
      <c r="C316" s="158"/>
      <c r="D316" s="158"/>
      <c r="E316" s="158"/>
      <c r="F316" s="159"/>
      <c r="G316" s="252"/>
      <c r="H316" s="303"/>
      <c r="I316" s="306"/>
      <c r="J316" s="338"/>
      <c r="K316" s="165"/>
      <c r="L316" s="91"/>
      <c r="M316" s="92"/>
    </row>
    <row r="317" spans="1:13" s="45" customFormat="1" ht="8.5500000000000007" customHeight="1" x14ac:dyDescent="0.2">
      <c r="A317" s="43"/>
      <c r="B317" s="201" t="s">
        <v>482</v>
      </c>
      <c r="C317" s="201"/>
      <c r="D317" s="201"/>
      <c r="E317" s="201"/>
      <c r="F317" s="157"/>
      <c r="G317" s="251">
        <v>1996</v>
      </c>
      <c r="H317" s="304">
        <v>94</v>
      </c>
      <c r="I317" s="305"/>
      <c r="J317" s="302" t="s">
        <v>114</v>
      </c>
      <c r="K317" s="164">
        <v>1</v>
      </c>
      <c r="L317" s="91"/>
      <c r="M317" s="92"/>
    </row>
    <row r="318" spans="1:13" s="45" customFormat="1" ht="8.5500000000000007" customHeight="1" x14ac:dyDescent="0.2">
      <c r="A318" s="43"/>
      <c r="B318" s="158"/>
      <c r="C318" s="158"/>
      <c r="D318" s="158"/>
      <c r="E318" s="158"/>
      <c r="F318" s="159"/>
      <c r="G318" s="252"/>
      <c r="H318" s="303"/>
      <c r="I318" s="306"/>
      <c r="J318" s="338"/>
      <c r="K318" s="165"/>
      <c r="L318" s="91"/>
      <c r="M318" s="92"/>
    </row>
    <row r="319" spans="1:13" s="45" customFormat="1" ht="8.5500000000000007" customHeight="1" x14ac:dyDescent="0.2">
      <c r="A319" s="43"/>
      <c r="B319" s="201" t="s">
        <v>1528</v>
      </c>
      <c r="C319" s="201"/>
      <c r="D319" s="201"/>
      <c r="E319" s="201"/>
      <c r="F319" s="157"/>
      <c r="G319" s="251">
        <v>1995</v>
      </c>
      <c r="H319" s="304" t="s">
        <v>865</v>
      </c>
      <c r="I319" s="305"/>
      <c r="J319" s="302"/>
      <c r="K319" s="164">
        <v>2</v>
      </c>
      <c r="L319" s="91"/>
      <c r="M319" s="92"/>
    </row>
    <row r="320" spans="1:13" s="45" customFormat="1" ht="8.5500000000000007" customHeight="1" x14ac:dyDescent="0.2">
      <c r="A320" s="43"/>
      <c r="B320" s="158"/>
      <c r="C320" s="158"/>
      <c r="D320" s="158"/>
      <c r="E320" s="158"/>
      <c r="F320" s="159"/>
      <c r="G320" s="252"/>
      <c r="H320" s="303"/>
      <c r="I320" s="306"/>
      <c r="J320" s="338"/>
      <c r="K320" s="165"/>
      <c r="L320" s="91"/>
      <c r="M320" s="92"/>
    </row>
    <row r="321" spans="1:13" s="45" customFormat="1" ht="8.5500000000000007" customHeight="1" x14ac:dyDescent="0.2">
      <c r="A321" s="43"/>
      <c r="B321" s="201" t="s">
        <v>1856</v>
      </c>
      <c r="C321" s="201"/>
      <c r="D321" s="201"/>
      <c r="E321" s="201"/>
      <c r="F321" s="157"/>
      <c r="G321" s="251">
        <v>2016</v>
      </c>
      <c r="H321" s="304" t="s">
        <v>625</v>
      </c>
      <c r="I321" s="305"/>
      <c r="J321" s="302" t="s">
        <v>1764</v>
      </c>
      <c r="K321" s="164">
        <v>1</v>
      </c>
      <c r="L321" s="91"/>
      <c r="M321" s="92"/>
    </row>
    <row r="322" spans="1:13" s="45" customFormat="1" ht="8.5500000000000007" customHeight="1" x14ac:dyDescent="0.2">
      <c r="A322" s="43"/>
      <c r="B322" s="158"/>
      <c r="C322" s="158"/>
      <c r="D322" s="158"/>
      <c r="E322" s="158"/>
      <c r="F322" s="159"/>
      <c r="G322" s="252"/>
      <c r="H322" s="303"/>
      <c r="I322" s="306"/>
      <c r="J322" s="338"/>
      <c r="K322" s="165"/>
      <c r="L322" s="91"/>
      <c r="M322" s="92"/>
    </row>
    <row r="323" spans="1:13" s="45" customFormat="1" ht="8.5500000000000007" customHeight="1" x14ac:dyDescent="0.2">
      <c r="A323" s="43"/>
      <c r="B323" s="201" t="s">
        <v>1856</v>
      </c>
      <c r="C323" s="201"/>
      <c r="D323" s="201"/>
      <c r="E323" s="201"/>
      <c r="F323" s="157"/>
      <c r="G323" s="251">
        <v>2017</v>
      </c>
      <c r="H323" s="304">
        <v>92</v>
      </c>
      <c r="I323" s="305"/>
      <c r="J323" s="302" t="s">
        <v>1866</v>
      </c>
      <c r="K323" s="164">
        <v>1</v>
      </c>
      <c r="L323" s="91"/>
      <c r="M323" s="92"/>
    </row>
    <row r="324" spans="1:13" s="45" customFormat="1" ht="8.5500000000000007" customHeight="1" x14ac:dyDescent="0.2">
      <c r="A324" s="43"/>
      <c r="B324" s="158"/>
      <c r="C324" s="158"/>
      <c r="D324" s="158"/>
      <c r="E324" s="158"/>
      <c r="F324" s="159"/>
      <c r="G324" s="252"/>
      <c r="H324" s="303"/>
      <c r="I324" s="306"/>
      <c r="J324" s="338"/>
      <c r="K324" s="165"/>
      <c r="L324" s="91"/>
      <c r="M324" s="92"/>
    </row>
    <row r="325" spans="1:13" s="45" customFormat="1" ht="8.5500000000000007" customHeight="1" x14ac:dyDescent="0.2">
      <c r="A325" s="43"/>
      <c r="B325" s="201" t="s">
        <v>1856</v>
      </c>
      <c r="C325" s="201"/>
      <c r="D325" s="201"/>
      <c r="E325" s="201"/>
      <c r="F325" s="157"/>
      <c r="G325" s="251">
        <v>2018</v>
      </c>
      <c r="H325" s="304">
        <v>93</v>
      </c>
      <c r="I325" s="305"/>
      <c r="J325" s="302" t="s">
        <v>1867</v>
      </c>
      <c r="K325" s="164">
        <v>1</v>
      </c>
      <c r="L325" s="91"/>
      <c r="M325" s="92"/>
    </row>
    <row r="326" spans="1:13" s="45" customFormat="1" ht="8.5500000000000007" customHeight="1" x14ac:dyDescent="0.2">
      <c r="A326" s="43"/>
      <c r="B326" s="158"/>
      <c r="C326" s="158"/>
      <c r="D326" s="158"/>
      <c r="E326" s="158"/>
      <c r="F326" s="159"/>
      <c r="G326" s="252"/>
      <c r="H326" s="303"/>
      <c r="I326" s="306"/>
      <c r="J326" s="338"/>
      <c r="K326" s="165"/>
      <c r="L326" s="91"/>
      <c r="M326" s="92"/>
    </row>
    <row r="327" spans="1:13" s="45" customFormat="1" ht="8.5500000000000007" customHeight="1" x14ac:dyDescent="0.2">
      <c r="A327" s="43"/>
      <c r="B327" s="201" t="s">
        <v>494</v>
      </c>
      <c r="C327" s="201"/>
      <c r="D327" s="201"/>
      <c r="E327" s="201"/>
      <c r="F327" s="157"/>
      <c r="G327" s="251">
        <v>2005</v>
      </c>
      <c r="H327" s="305"/>
      <c r="I327" s="305"/>
      <c r="J327" s="302"/>
      <c r="K327" s="164">
        <v>1</v>
      </c>
      <c r="L327" s="91"/>
      <c r="M327" s="92"/>
    </row>
    <row r="328" spans="1:13" s="45" customFormat="1" ht="8.5500000000000007" customHeight="1" x14ac:dyDescent="0.2">
      <c r="A328" s="43"/>
      <c r="B328" s="158"/>
      <c r="C328" s="158"/>
      <c r="D328" s="158"/>
      <c r="E328" s="158"/>
      <c r="F328" s="159"/>
      <c r="G328" s="252"/>
      <c r="H328" s="306"/>
      <c r="I328" s="306"/>
      <c r="J328" s="338"/>
      <c r="K328" s="165"/>
      <c r="L328" s="91"/>
      <c r="M328" s="92"/>
    </row>
    <row r="329" spans="1:13" s="45" customFormat="1" ht="8.5500000000000007" customHeight="1" x14ac:dyDescent="0.2">
      <c r="A329" s="43"/>
      <c r="B329" s="201" t="s">
        <v>916</v>
      </c>
      <c r="C329" s="201"/>
      <c r="D329" s="201"/>
      <c r="E329" s="201"/>
      <c r="F329" s="157"/>
      <c r="G329" s="251">
        <v>1952</v>
      </c>
      <c r="H329" s="305"/>
      <c r="I329" s="305"/>
      <c r="J329" s="302"/>
      <c r="K329" s="164">
        <v>1</v>
      </c>
      <c r="L329" s="91"/>
      <c r="M329" s="92"/>
    </row>
    <row r="330" spans="1:13" s="45" customFormat="1" ht="8.5500000000000007" customHeight="1" x14ac:dyDescent="0.2">
      <c r="A330" s="43"/>
      <c r="B330" s="158"/>
      <c r="C330" s="158"/>
      <c r="D330" s="158"/>
      <c r="E330" s="158"/>
      <c r="F330" s="159"/>
      <c r="G330" s="252"/>
      <c r="H330" s="306"/>
      <c r="I330" s="306"/>
      <c r="J330" s="338"/>
      <c r="K330" s="165"/>
      <c r="L330" s="91"/>
      <c r="M330" s="92"/>
    </row>
    <row r="331" spans="1:13" s="45" customFormat="1" ht="8.5500000000000007" customHeight="1" x14ac:dyDescent="0.2">
      <c r="A331" s="43"/>
      <c r="B331" s="201" t="s">
        <v>916</v>
      </c>
      <c r="C331" s="201"/>
      <c r="D331" s="201"/>
      <c r="E331" s="201"/>
      <c r="F331" s="157"/>
      <c r="G331" s="251">
        <v>1961</v>
      </c>
      <c r="H331" s="304">
        <v>92</v>
      </c>
      <c r="I331" s="305"/>
      <c r="J331" s="302" t="s">
        <v>222</v>
      </c>
      <c r="K331" s="164">
        <v>1</v>
      </c>
      <c r="L331" s="91"/>
      <c r="M331" s="92"/>
    </row>
    <row r="332" spans="1:13" s="45" customFormat="1" ht="8.5500000000000007" customHeight="1" x14ac:dyDescent="0.2">
      <c r="A332" s="43"/>
      <c r="B332" s="158"/>
      <c r="C332" s="158"/>
      <c r="D332" s="158"/>
      <c r="E332" s="158"/>
      <c r="F332" s="159"/>
      <c r="G332" s="252"/>
      <c r="H332" s="303"/>
      <c r="I332" s="306"/>
      <c r="J332" s="338"/>
      <c r="K332" s="165"/>
      <c r="L332" s="91"/>
      <c r="M332" s="92"/>
    </row>
    <row r="333" spans="1:13" s="45" customFormat="1" ht="8.5500000000000007" customHeight="1" x14ac:dyDescent="0.2">
      <c r="A333" s="43"/>
      <c r="B333" s="201" t="s">
        <v>916</v>
      </c>
      <c r="C333" s="201"/>
      <c r="D333" s="201"/>
      <c r="E333" s="201"/>
      <c r="F333" s="157"/>
      <c r="G333" s="251">
        <v>1968</v>
      </c>
      <c r="H333" s="305"/>
      <c r="I333" s="305"/>
      <c r="J333" s="302"/>
      <c r="K333" s="164">
        <v>1</v>
      </c>
      <c r="L333" s="91"/>
      <c r="M333" s="92"/>
    </row>
    <row r="334" spans="1:13" s="45" customFormat="1" ht="8.5500000000000007" customHeight="1" x14ac:dyDescent="0.2">
      <c r="A334" s="43"/>
      <c r="B334" s="158"/>
      <c r="C334" s="158"/>
      <c r="D334" s="158"/>
      <c r="E334" s="158"/>
      <c r="F334" s="159"/>
      <c r="G334" s="252"/>
      <c r="H334" s="306"/>
      <c r="I334" s="306"/>
      <c r="J334" s="338"/>
      <c r="K334" s="165"/>
      <c r="L334" s="91"/>
      <c r="M334" s="92"/>
    </row>
    <row r="335" spans="1:13" s="45" customFormat="1" ht="8.5500000000000007" customHeight="1" x14ac:dyDescent="0.2">
      <c r="A335" s="43"/>
      <c r="B335" s="201" t="s">
        <v>916</v>
      </c>
      <c r="C335" s="201"/>
      <c r="D335" s="201"/>
      <c r="E335" s="201"/>
      <c r="F335" s="157"/>
      <c r="G335" s="251">
        <v>1970</v>
      </c>
      <c r="H335" s="305"/>
      <c r="I335" s="305"/>
      <c r="J335" s="302"/>
      <c r="K335" s="164">
        <v>1</v>
      </c>
      <c r="L335" s="91"/>
      <c r="M335" s="92"/>
    </row>
    <row r="336" spans="1:13" s="45" customFormat="1" ht="8.5500000000000007" customHeight="1" x14ac:dyDescent="0.2">
      <c r="A336" s="43"/>
      <c r="B336" s="158"/>
      <c r="C336" s="158"/>
      <c r="D336" s="158"/>
      <c r="E336" s="158"/>
      <c r="F336" s="159"/>
      <c r="G336" s="252"/>
      <c r="H336" s="306"/>
      <c r="I336" s="306"/>
      <c r="J336" s="338"/>
      <c r="K336" s="165"/>
      <c r="L336" s="91"/>
      <c r="M336" s="92"/>
    </row>
    <row r="337" spans="1:13" s="45" customFormat="1" ht="8.5500000000000007" customHeight="1" x14ac:dyDescent="0.2">
      <c r="A337" s="43"/>
      <c r="B337" s="201" t="s">
        <v>1087</v>
      </c>
      <c r="C337" s="201"/>
      <c r="D337" s="201"/>
      <c r="E337" s="201"/>
      <c r="F337" s="157"/>
      <c r="G337" s="251">
        <v>1985</v>
      </c>
      <c r="H337" s="305"/>
      <c r="I337" s="305"/>
      <c r="J337" s="302"/>
      <c r="K337" s="164">
        <v>1</v>
      </c>
      <c r="L337" s="91"/>
      <c r="M337" s="92"/>
    </row>
    <row r="338" spans="1:13" s="45" customFormat="1" ht="8.5500000000000007" customHeight="1" x14ac:dyDescent="0.2">
      <c r="A338" s="43"/>
      <c r="B338" s="158"/>
      <c r="C338" s="158"/>
      <c r="D338" s="158"/>
      <c r="E338" s="158"/>
      <c r="F338" s="159"/>
      <c r="G338" s="252"/>
      <c r="H338" s="306"/>
      <c r="I338" s="306"/>
      <c r="J338" s="338"/>
      <c r="K338" s="165"/>
      <c r="L338" s="91"/>
      <c r="M338" s="92"/>
    </row>
    <row r="339" spans="1:13" s="45" customFormat="1" ht="8.5500000000000007" customHeight="1" x14ac:dyDescent="0.2">
      <c r="A339" s="43"/>
      <c r="B339" s="201" t="s">
        <v>1498</v>
      </c>
      <c r="C339" s="201"/>
      <c r="D339" s="201"/>
      <c r="E339" s="201"/>
      <c r="F339" s="157"/>
      <c r="G339" s="251">
        <v>1971</v>
      </c>
      <c r="H339" s="305"/>
      <c r="I339" s="305"/>
      <c r="J339" s="302"/>
      <c r="K339" s="164">
        <v>1</v>
      </c>
      <c r="L339" s="91"/>
      <c r="M339" s="92"/>
    </row>
    <row r="340" spans="1:13" s="45" customFormat="1" ht="8.5500000000000007" customHeight="1" x14ac:dyDescent="0.2">
      <c r="A340" s="43"/>
      <c r="B340" s="158"/>
      <c r="C340" s="158"/>
      <c r="D340" s="158"/>
      <c r="E340" s="158"/>
      <c r="F340" s="159"/>
      <c r="G340" s="252"/>
      <c r="H340" s="306"/>
      <c r="I340" s="306"/>
      <c r="J340" s="338"/>
      <c r="K340" s="165"/>
      <c r="L340" s="91"/>
      <c r="M340" s="92"/>
    </row>
    <row r="341" spans="1:13" s="45" customFormat="1" ht="8.5500000000000007" customHeight="1" x14ac:dyDescent="0.2">
      <c r="A341" s="43"/>
      <c r="B341" s="201" t="s">
        <v>1494</v>
      </c>
      <c r="C341" s="201"/>
      <c r="D341" s="201"/>
      <c r="E341" s="201"/>
      <c r="F341" s="157"/>
      <c r="G341" s="251">
        <v>1971</v>
      </c>
      <c r="H341" s="305"/>
      <c r="I341" s="305"/>
      <c r="J341" s="302"/>
      <c r="K341" s="164">
        <v>1</v>
      </c>
      <c r="L341" s="91"/>
      <c r="M341" s="92"/>
    </row>
    <row r="342" spans="1:13" s="45" customFormat="1" ht="8.5500000000000007" customHeight="1" x14ac:dyDescent="0.2">
      <c r="A342" s="43"/>
      <c r="B342" s="158"/>
      <c r="C342" s="158"/>
      <c r="D342" s="158"/>
      <c r="E342" s="158"/>
      <c r="F342" s="159"/>
      <c r="G342" s="252"/>
      <c r="H342" s="306"/>
      <c r="I342" s="306"/>
      <c r="J342" s="338"/>
      <c r="K342" s="165"/>
      <c r="L342" s="91"/>
      <c r="M342" s="92"/>
    </row>
    <row r="343" spans="1:13" s="45" customFormat="1" ht="8.5500000000000007" customHeight="1" x14ac:dyDescent="0.2">
      <c r="A343" s="43"/>
      <c r="B343" s="201" t="s">
        <v>1495</v>
      </c>
      <c r="C343" s="201"/>
      <c r="D343" s="201"/>
      <c r="E343" s="201"/>
      <c r="F343" s="157"/>
      <c r="G343" s="251">
        <v>1978</v>
      </c>
      <c r="H343" s="305"/>
      <c r="I343" s="305"/>
      <c r="J343" s="302"/>
      <c r="K343" s="164">
        <v>1</v>
      </c>
      <c r="L343" s="91"/>
      <c r="M343" s="92"/>
    </row>
    <row r="344" spans="1:13" s="45" customFormat="1" ht="8.5500000000000007" customHeight="1" x14ac:dyDescent="0.2">
      <c r="A344" s="43"/>
      <c r="B344" s="158"/>
      <c r="C344" s="158"/>
      <c r="D344" s="158"/>
      <c r="E344" s="158"/>
      <c r="F344" s="159"/>
      <c r="G344" s="252"/>
      <c r="H344" s="306"/>
      <c r="I344" s="306"/>
      <c r="J344" s="338"/>
      <c r="K344" s="165"/>
      <c r="L344" s="91"/>
      <c r="M344" s="92"/>
    </row>
    <row r="345" spans="1:13" s="45" customFormat="1" ht="8.5500000000000007" customHeight="1" x14ac:dyDescent="0.2">
      <c r="A345" s="43"/>
      <c r="B345" s="201" t="s">
        <v>1496</v>
      </c>
      <c r="C345" s="201"/>
      <c r="D345" s="201"/>
      <c r="E345" s="201"/>
      <c r="F345" s="157"/>
      <c r="G345" s="251">
        <v>1979</v>
      </c>
      <c r="H345" s="305"/>
      <c r="I345" s="305"/>
      <c r="J345" s="302"/>
      <c r="K345" s="164">
        <v>1</v>
      </c>
      <c r="L345" s="91"/>
      <c r="M345" s="92"/>
    </row>
    <row r="346" spans="1:13" s="45" customFormat="1" ht="8.5500000000000007" customHeight="1" x14ac:dyDescent="0.2">
      <c r="A346" s="43"/>
      <c r="B346" s="158"/>
      <c r="C346" s="158"/>
      <c r="D346" s="158"/>
      <c r="E346" s="158"/>
      <c r="F346" s="159"/>
      <c r="G346" s="252"/>
      <c r="H346" s="306"/>
      <c r="I346" s="306"/>
      <c r="J346" s="338"/>
      <c r="K346" s="165"/>
      <c r="L346" s="91"/>
      <c r="M346" s="92"/>
    </row>
    <row r="347" spans="1:13" s="45" customFormat="1" ht="8.5500000000000007" customHeight="1" x14ac:dyDescent="0.2">
      <c r="A347" s="43"/>
      <c r="B347" s="339" t="s">
        <v>814</v>
      </c>
      <c r="C347" s="339"/>
      <c r="D347" s="339"/>
      <c r="E347" s="339"/>
      <c r="F347" s="339"/>
      <c r="G347" s="79"/>
      <c r="H347" s="47"/>
      <c r="I347" s="48"/>
      <c r="J347" s="48"/>
      <c r="K347" s="164"/>
      <c r="L347" s="91"/>
      <c r="M347" s="92"/>
    </row>
    <row r="348" spans="1:13" s="45" customFormat="1" ht="8.5500000000000007" customHeight="1" x14ac:dyDescent="0.2">
      <c r="A348" s="43"/>
      <c r="B348" s="340"/>
      <c r="C348" s="340"/>
      <c r="D348" s="340"/>
      <c r="E348" s="340"/>
      <c r="F348" s="340"/>
      <c r="G348" s="80"/>
      <c r="H348" s="54"/>
      <c r="I348" s="49"/>
      <c r="J348" s="49"/>
      <c r="K348" s="165"/>
      <c r="L348" s="91"/>
      <c r="M348" s="92"/>
    </row>
    <row r="349" spans="1:13" s="45" customFormat="1" ht="8.5500000000000007" customHeight="1" x14ac:dyDescent="0.2">
      <c r="A349" s="43"/>
      <c r="B349" s="201" t="s">
        <v>1499</v>
      </c>
      <c r="C349" s="201"/>
      <c r="D349" s="201"/>
      <c r="E349" s="201"/>
      <c r="F349" s="157"/>
      <c r="G349" s="251">
        <v>1991</v>
      </c>
      <c r="H349" s="305"/>
      <c r="I349" s="305"/>
      <c r="J349" s="302"/>
      <c r="K349" s="164">
        <v>3</v>
      </c>
      <c r="L349" s="91"/>
      <c r="M349" s="92"/>
    </row>
    <row r="350" spans="1:13" s="45" customFormat="1" ht="8.5500000000000007" customHeight="1" x14ac:dyDescent="0.2">
      <c r="A350" s="43"/>
      <c r="B350" s="158"/>
      <c r="C350" s="158"/>
      <c r="D350" s="158"/>
      <c r="E350" s="158"/>
      <c r="F350" s="159"/>
      <c r="G350" s="252"/>
      <c r="H350" s="306"/>
      <c r="I350" s="306"/>
      <c r="J350" s="338"/>
      <c r="K350" s="165"/>
      <c r="L350" s="91"/>
      <c r="M350" s="92"/>
    </row>
    <row r="351" spans="1:13" s="45" customFormat="1" ht="8.5500000000000007" customHeight="1" x14ac:dyDescent="0.2">
      <c r="A351" s="43"/>
      <c r="B351" s="201" t="s">
        <v>1466</v>
      </c>
      <c r="C351" s="201"/>
      <c r="D351" s="201"/>
      <c r="E351" s="201"/>
      <c r="F351" s="157"/>
      <c r="G351" s="251">
        <v>1994</v>
      </c>
      <c r="H351" s="305"/>
      <c r="I351" s="305"/>
      <c r="J351" s="302"/>
      <c r="K351" s="164">
        <v>2</v>
      </c>
      <c r="L351" s="91"/>
      <c r="M351" s="92"/>
    </row>
    <row r="352" spans="1:13" s="45" customFormat="1" ht="8.5500000000000007" customHeight="1" x14ac:dyDescent="0.2">
      <c r="A352" s="43"/>
      <c r="B352" s="158"/>
      <c r="C352" s="158"/>
      <c r="D352" s="158"/>
      <c r="E352" s="158"/>
      <c r="F352" s="159"/>
      <c r="G352" s="252"/>
      <c r="H352" s="306"/>
      <c r="I352" s="306"/>
      <c r="J352" s="338"/>
      <c r="K352" s="165"/>
      <c r="L352" s="91"/>
      <c r="M352" s="92"/>
    </row>
    <row r="353" spans="1:13" s="45" customFormat="1" ht="8.5500000000000007" customHeight="1" x14ac:dyDescent="0.2">
      <c r="A353" s="43"/>
      <c r="B353" s="201" t="s">
        <v>1469</v>
      </c>
      <c r="C353" s="201"/>
      <c r="D353" s="201"/>
      <c r="E353" s="201"/>
      <c r="F353" s="157"/>
      <c r="G353" s="251">
        <v>1995</v>
      </c>
      <c r="H353" s="304">
        <v>87</v>
      </c>
      <c r="I353" s="305"/>
      <c r="J353" s="302"/>
      <c r="K353" s="164">
        <v>2</v>
      </c>
      <c r="L353" s="91"/>
      <c r="M353" s="92"/>
    </row>
    <row r="354" spans="1:13" s="45" customFormat="1" ht="8.5500000000000007" customHeight="1" x14ac:dyDescent="0.2">
      <c r="A354" s="43"/>
      <c r="B354" s="158"/>
      <c r="C354" s="158"/>
      <c r="D354" s="158"/>
      <c r="E354" s="158"/>
      <c r="F354" s="159"/>
      <c r="G354" s="252"/>
      <c r="H354" s="303"/>
      <c r="I354" s="306"/>
      <c r="J354" s="338"/>
      <c r="K354" s="165"/>
      <c r="L354" s="91"/>
      <c r="M354" s="92"/>
    </row>
    <row r="355" spans="1:13" s="45" customFormat="1" ht="8.5500000000000007" customHeight="1" x14ac:dyDescent="0.2">
      <c r="A355" s="43"/>
      <c r="B355" s="201" t="s">
        <v>1772</v>
      </c>
      <c r="C355" s="201"/>
      <c r="D355" s="201"/>
      <c r="E355" s="201"/>
      <c r="F355" s="157"/>
      <c r="G355" s="251">
        <v>2017</v>
      </c>
      <c r="H355" s="304" t="s">
        <v>1146</v>
      </c>
      <c r="I355" s="305"/>
      <c r="J355" s="302" t="s">
        <v>1746</v>
      </c>
      <c r="K355" s="164">
        <v>3</v>
      </c>
      <c r="L355" s="91"/>
      <c r="M355" s="92"/>
    </row>
    <row r="356" spans="1:13" s="45" customFormat="1" ht="8.5500000000000007" customHeight="1" x14ac:dyDescent="0.2">
      <c r="A356" s="43"/>
      <c r="B356" s="158"/>
      <c r="C356" s="158"/>
      <c r="D356" s="158"/>
      <c r="E356" s="158"/>
      <c r="F356" s="159"/>
      <c r="G356" s="252"/>
      <c r="H356" s="303"/>
      <c r="I356" s="306"/>
      <c r="J356" s="338"/>
      <c r="K356" s="165"/>
      <c r="L356" s="91"/>
      <c r="M356" s="92"/>
    </row>
    <row r="357" spans="1:13" s="45" customFormat="1" ht="8.5500000000000007" customHeight="1" x14ac:dyDescent="0.2">
      <c r="A357" s="43"/>
      <c r="B357" s="201" t="s">
        <v>1472</v>
      </c>
      <c r="C357" s="201"/>
      <c r="D357" s="201"/>
      <c r="E357" s="201"/>
      <c r="F357" s="157"/>
      <c r="G357" s="251">
        <v>2001</v>
      </c>
      <c r="H357" s="304">
        <v>95</v>
      </c>
      <c r="I357" s="305"/>
      <c r="J357" s="302" t="s">
        <v>352</v>
      </c>
      <c r="K357" s="164">
        <v>2</v>
      </c>
      <c r="L357" s="91"/>
      <c r="M357" s="92"/>
    </row>
    <row r="358" spans="1:13" s="45" customFormat="1" ht="8.5500000000000007" customHeight="1" x14ac:dyDescent="0.2">
      <c r="A358" s="43"/>
      <c r="B358" s="158"/>
      <c r="C358" s="158"/>
      <c r="D358" s="158"/>
      <c r="E358" s="158"/>
      <c r="F358" s="159"/>
      <c r="G358" s="252"/>
      <c r="H358" s="303"/>
      <c r="I358" s="306"/>
      <c r="J358" s="338"/>
      <c r="K358" s="165"/>
      <c r="L358" s="91"/>
      <c r="M358" s="92"/>
    </row>
    <row r="359" spans="1:13" s="45" customFormat="1" ht="8.5500000000000007" customHeight="1" x14ac:dyDescent="0.2">
      <c r="A359" s="43"/>
      <c r="B359" s="201" t="s">
        <v>1500</v>
      </c>
      <c r="C359" s="201"/>
      <c r="D359" s="201"/>
      <c r="E359" s="201"/>
      <c r="F359" s="157"/>
      <c r="G359" s="251">
        <v>2003</v>
      </c>
      <c r="H359" s="304">
        <v>90</v>
      </c>
      <c r="I359" s="305"/>
      <c r="J359" s="302"/>
      <c r="K359" s="164">
        <v>3</v>
      </c>
      <c r="L359" s="91"/>
      <c r="M359" s="92"/>
    </row>
    <row r="360" spans="1:13" s="45" customFormat="1" ht="8.5500000000000007" customHeight="1" x14ac:dyDescent="0.2">
      <c r="A360" s="43"/>
      <c r="B360" s="158"/>
      <c r="C360" s="158"/>
      <c r="D360" s="158"/>
      <c r="E360" s="158"/>
      <c r="F360" s="159"/>
      <c r="G360" s="252"/>
      <c r="H360" s="303"/>
      <c r="I360" s="306"/>
      <c r="J360" s="338"/>
      <c r="K360" s="165"/>
      <c r="L360" s="91"/>
      <c r="M360" s="92"/>
    </row>
    <row r="361" spans="1:13" s="45" customFormat="1" ht="8.5500000000000007" customHeight="1" x14ac:dyDescent="0.2">
      <c r="A361" s="43"/>
      <c r="B361" s="201" t="s">
        <v>1520</v>
      </c>
      <c r="C361" s="201"/>
      <c r="D361" s="201"/>
      <c r="E361" s="201"/>
      <c r="F361" s="157"/>
      <c r="G361" s="251">
        <v>2007</v>
      </c>
      <c r="H361" s="304">
        <v>91</v>
      </c>
      <c r="I361" s="305"/>
      <c r="J361" s="302" t="s">
        <v>351</v>
      </c>
      <c r="K361" s="164">
        <v>1</v>
      </c>
      <c r="L361" s="91"/>
      <c r="M361" s="92"/>
    </row>
    <row r="362" spans="1:13" s="45" customFormat="1" ht="8.5500000000000007" customHeight="1" x14ac:dyDescent="0.2">
      <c r="A362" s="43"/>
      <c r="B362" s="158"/>
      <c r="C362" s="158"/>
      <c r="D362" s="158"/>
      <c r="E362" s="158"/>
      <c r="F362" s="159"/>
      <c r="G362" s="252"/>
      <c r="H362" s="303"/>
      <c r="I362" s="306"/>
      <c r="J362" s="338"/>
      <c r="K362" s="165"/>
      <c r="L362" s="91"/>
      <c r="M362" s="92"/>
    </row>
    <row r="363" spans="1:13" s="45" customFormat="1" ht="8.5500000000000007" customHeight="1" x14ac:dyDescent="0.2">
      <c r="A363" s="43"/>
      <c r="B363" s="201" t="s">
        <v>1521</v>
      </c>
      <c r="C363" s="201"/>
      <c r="D363" s="201"/>
      <c r="E363" s="201"/>
      <c r="F363" s="157"/>
      <c r="G363" s="251">
        <v>2006</v>
      </c>
      <c r="H363" s="304">
        <v>92</v>
      </c>
      <c r="I363" s="305"/>
      <c r="J363" s="302" t="s">
        <v>855</v>
      </c>
      <c r="K363" s="164">
        <v>1</v>
      </c>
      <c r="L363" s="91"/>
      <c r="M363" s="92"/>
    </row>
    <row r="364" spans="1:13" s="45" customFormat="1" ht="8.5500000000000007" customHeight="1" x14ac:dyDescent="0.2">
      <c r="A364" s="43"/>
      <c r="B364" s="158"/>
      <c r="C364" s="158"/>
      <c r="D364" s="158"/>
      <c r="E364" s="158"/>
      <c r="F364" s="159"/>
      <c r="G364" s="252"/>
      <c r="H364" s="303"/>
      <c r="I364" s="306"/>
      <c r="J364" s="338"/>
      <c r="K364" s="165"/>
      <c r="L364" s="91"/>
      <c r="M364" s="92"/>
    </row>
    <row r="365" spans="1:13" s="45" customFormat="1" ht="8.5500000000000007" customHeight="1" x14ac:dyDescent="0.2">
      <c r="A365" s="43"/>
      <c r="B365" s="201" t="s">
        <v>1457</v>
      </c>
      <c r="C365" s="201"/>
      <c r="D365" s="201"/>
      <c r="E365" s="201"/>
      <c r="F365" s="157"/>
      <c r="G365" s="251">
        <v>2015</v>
      </c>
      <c r="H365" s="304">
        <v>96</v>
      </c>
      <c r="I365" s="305"/>
      <c r="J365" s="302"/>
      <c r="K365" s="164">
        <v>1</v>
      </c>
      <c r="L365" s="91"/>
      <c r="M365" s="92"/>
    </row>
    <row r="366" spans="1:13" s="45" customFormat="1" ht="8.5500000000000007" customHeight="1" x14ac:dyDescent="0.2">
      <c r="A366" s="43"/>
      <c r="B366" s="158"/>
      <c r="C366" s="158"/>
      <c r="D366" s="158"/>
      <c r="E366" s="158"/>
      <c r="F366" s="159"/>
      <c r="G366" s="252"/>
      <c r="H366" s="303"/>
      <c r="I366" s="306"/>
      <c r="J366" s="338"/>
      <c r="K366" s="165"/>
      <c r="L366" s="91"/>
      <c r="M366" s="92"/>
    </row>
    <row r="367" spans="1:13" s="45" customFormat="1" ht="8.5500000000000007" customHeight="1" x14ac:dyDescent="0.2">
      <c r="A367" s="43"/>
      <c r="B367" s="201" t="s">
        <v>1801</v>
      </c>
      <c r="C367" s="201"/>
      <c r="D367" s="201"/>
      <c r="E367" s="201"/>
      <c r="F367" s="157"/>
      <c r="G367" s="251">
        <v>2018</v>
      </c>
      <c r="H367" s="304" t="s">
        <v>627</v>
      </c>
      <c r="I367" s="305"/>
      <c r="J367" s="302" t="s">
        <v>1802</v>
      </c>
      <c r="K367" s="164">
        <v>2</v>
      </c>
      <c r="L367" s="91"/>
      <c r="M367" s="92"/>
    </row>
    <row r="368" spans="1:13" s="45" customFormat="1" ht="8.5500000000000007" customHeight="1" x14ac:dyDescent="0.2">
      <c r="A368" s="43"/>
      <c r="B368" s="158"/>
      <c r="C368" s="158"/>
      <c r="D368" s="158"/>
      <c r="E368" s="158"/>
      <c r="F368" s="159"/>
      <c r="G368" s="252"/>
      <c r="H368" s="303"/>
      <c r="I368" s="306"/>
      <c r="J368" s="338"/>
      <c r="K368" s="165"/>
      <c r="L368" s="91"/>
      <c r="M368" s="92"/>
    </row>
    <row r="369" spans="1:13" s="45" customFormat="1" ht="8.5500000000000007" customHeight="1" x14ac:dyDescent="0.2">
      <c r="A369" s="43"/>
      <c r="B369" s="201" t="s">
        <v>1801</v>
      </c>
      <c r="C369" s="201"/>
      <c r="D369" s="201"/>
      <c r="E369" s="201"/>
      <c r="F369" s="157"/>
      <c r="G369" s="251">
        <v>2019</v>
      </c>
      <c r="H369" s="304"/>
      <c r="I369" s="305"/>
      <c r="J369" s="302"/>
      <c r="K369" s="164">
        <v>1</v>
      </c>
      <c r="L369" s="91"/>
      <c r="M369" s="92"/>
    </row>
    <row r="370" spans="1:13" s="45" customFormat="1" ht="8.5500000000000007" customHeight="1" x14ac:dyDescent="0.2">
      <c r="A370" s="43"/>
      <c r="B370" s="158"/>
      <c r="C370" s="158"/>
      <c r="D370" s="158"/>
      <c r="E370" s="158"/>
      <c r="F370" s="159"/>
      <c r="G370" s="252"/>
      <c r="H370" s="303"/>
      <c r="I370" s="306"/>
      <c r="J370" s="338"/>
      <c r="K370" s="165"/>
      <c r="L370" s="91"/>
      <c r="M370" s="92"/>
    </row>
    <row r="371" spans="1:13" s="45" customFormat="1" ht="8.5500000000000007" customHeight="1" x14ac:dyDescent="0.2">
      <c r="A371" s="43"/>
      <c r="B371" s="201" t="s">
        <v>1857</v>
      </c>
      <c r="C371" s="201"/>
      <c r="D371" s="201"/>
      <c r="E371" s="201"/>
      <c r="F371" s="157"/>
      <c r="G371" s="251">
        <v>2019</v>
      </c>
      <c r="H371" s="304"/>
      <c r="I371" s="305"/>
      <c r="J371" s="302"/>
      <c r="K371" s="164">
        <v>1</v>
      </c>
      <c r="L371" s="91"/>
      <c r="M371" s="92"/>
    </row>
    <row r="372" spans="1:13" s="45" customFormat="1" ht="8.5500000000000007" customHeight="1" x14ac:dyDescent="0.2">
      <c r="A372" s="43"/>
      <c r="B372" s="158"/>
      <c r="C372" s="158"/>
      <c r="D372" s="158"/>
      <c r="E372" s="158"/>
      <c r="F372" s="159"/>
      <c r="G372" s="252"/>
      <c r="H372" s="303"/>
      <c r="I372" s="306"/>
      <c r="J372" s="338"/>
      <c r="K372" s="165"/>
      <c r="L372" s="91"/>
      <c r="M372" s="92"/>
    </row>
    <row r="373" spans="1:13" s="45" customFormat="1" ht="8.5500000000000007" customHeight="1" x14ac:dyDescent="0.2">
      <c r="A373" s="43"/>
      <c r="B373" s="201" t="s">
        <v>1858</v>
      </c>
      <c r="C373" s="201"/>
      <c r="D373" s="201"/>
      <c r="E373" s="201"/>
      <c r="F373" s="157"/>
      <c r="G373" s="251">
        <v>2019</v>
      </c>
      <c r="H373" s="304"/>
      <c r="I373" s="305"/>
      <c r="J373" s="302"/>
      <c r="K373" s="164">
        <v>1</v>
      </c>
      <c r="L373" s="91"/>
      <c r="M373" s="92"/>
    </row>
    <row r="374" spans="1:13" s="45" customFormat="1" ht="8.5500000000000007" customHeight="1" x14ac:dyDescent="0.2">
      <c r="A374" s="43"/>
      <c r="B374" s="158"/>
      <c r="C374" s="158"/>
      <c r="D374" s="158"/>
      <c r="E374" s="158"/>
      <c r="F374" s="159"/>
      <c r="G374" s="252"/>
      <c r="H374" s="303"/>
      <c r="I374" s="306"/>
      <c r="J374" s="338"/>
      <c r="K374" s="165"/>
      <c r="L374" s="91"/>
      <c r="M374" s="92"/>
    </row>
    <row r="375" spans="1:13" s="45" customFormat="1" ht="8.5500000000000007" customHeight="1" x14ac:dyDescent="0.2">
      <c r="A375" s="43"/>
      <c r="B375" s="201" t="s">
        <v>1859</v>
      </c>
      <c r="C375" s="201"/>
      <c r="D375" s="201"/>
      <c r="E375" s="201"/>
      <c r="F375" s="157"/>
      <c r="G375" s="251">
        <v>2019</v>
      </c>
      <c r="H375" s="304"/>
      <c r="I375" s="305"/>
      <c r="J375" s="302"/>
      <c r="K375" s="164">
        <v>1</v>
      </c>
      <c r="L375" s="91"/>
      <c r="M375" s="92"/>
    </row>
    <row r="376" spans="1:13" s="45" customFormat="1" ht="8.5500000000000007" customHeight="1" x14ac:dyDescent="0.2">
      <c r="A376" s="43"/>
      <c r="B376" s="158"/>
      <c r="C376" s="158"/>
      <c r="D376" s="158"/>
      <c r="E376" s="158"/>
      <c r="F376" s="159"/>
      <c r="G376" s="252"/>
      <c r="H376" s="303"/>
      <c r="I376" s="306"/>
      <c r="J376" s="338"/>
      <c r="K376" s="165"/>
      <c r="L376" s="91"/>
      <c r="M376" s="92"/>
    </row>
    <row r="377" spans="1:13" s="45" customFormat="1" ht="8.5500000000000007" customHeight="1" x14ac:dyDescent="0.2">
      <c r="A377" s="43"/>
      <c r="B377" s="201" t="s">
        <v>1979</v>
      </c>
      <c r="C377" s="201"/>
      <c r="D377" s="201"/>
      <c r="E377" s="201"/>
      <c r="F377" s="157"/>
      <c r="G377" s="251">
        <v>2020</v>
      </c>
      <c r="H377" s="304"/>
      <c r="I377" s="305"/>
      <c r="J377" s="302"/>
      <c r="K377" s="164">
        <v>2</v>
      </c>
      <c r="L377" s="91"/>
      <c r="M377" s="92"/>
    </row>
    <row r="378" spans="1:13" s="45" customFormat="1" ht="8.5500000000000007" customHeight="1" x14ac:dyDescent="0.2">
      <c r="A378" s="43"/>
      <c r="B378" s="158"/>
      <c r="C378" s="158"/>
      <c r="D378" s="158"/>
      <c r="E378" s="158"/>
      <c r="F378" s="159"/>
      <c r="G378" s="252"/>
      <c r="H378" s="303"/>
      <c r="I378" s="306"/>
      <c r="J378" s="338"/>
      <c r="K378" s="165"/>
      <c r="L378" s="91"/>
      <c r="M378" s="92"/>
    </row>
    <row r="379" spans="1:13" s="45" customFormat="1" ht="8.5500000000000007" customHeight="1" x14ac:dyDescent="0.2">
      <c r="A379" s="43"/>
      <c r="B379" s="201" t="s">
        <v>1980</v>
      </c>
      <c r="C379" s="201"/>
      <c r="D379" s="201"/>
      <c r="E379" s="201"/>
      <c r="F379" s="157"/>
      <c r="G379" s="251">
        <v>2020</v>
      </c>
      <c r="H379" s="304"/>
      <c r="I379" s="305"/>
      <c r="J379" s="302"/>
      <c r="K379" s="164">
        <v>2</v>
      </c>
      <c r="L379" s="91"/>
      <c r="M379" s="92"/>
    </row>
    <row r="380" spans="1:13" s="45" customFormat="1" ht="8.5500000000000007" customHeight="1" x14ac:dyDescent="0.2">
      <c r="A380" s="43"/>
      <c r="B380" s="158"/>
      <c r="C380" s="158"/>
      <c r="D380" s="158"/>
      <c r="E380" s="158"/>
      <c r="F380" s="159"/>
      <c r="G380" s="252"/>
      <c r="H380" s="303"/>
      <c r="I380" s="306"/>
      <c r="J380" s="338"/>
      <c r="K380" s="165"/>
      <c r="L380" s="91"/>
      <c r="M380" s="92"/>
    </row>
    <row r="381" spans="1:13" s="45" customFormat="1" ht="8.5500000000000007" customHeight="1" x14ac:dyDescent="0.2">
      <c r="A381" s="43"/>
      <c r="B381" s="201" t="s">
        <v>1981</v>
      </c>
      <c r="C381" s="201"/>
      <c r="D381" s="201"/>
      <c r="E381" s="201"/>
      <c r="F381" s="157"/>
      <c r="G381" s="251">
        <v>2020</v>
      </c>
      <c r="H381" s="304"/>
      <c r="I381" s="305"/>
      <c r="J381" s="302"/>
      <c r="K381" s="164">
        <v>2</v>
      </c>
      <c r="L381" s="91"/>
      <c r="M381" s="92"/>
    </row>
    <row r="382" spans="1:13" s="45" customFormat="1" ht="8.5500000000000007" customHeight="1" x14ac:dyDescent="0.2">
      <c r="A382" s="43"/>
      <c r="B382" s="158"/>
      <c r="C382" s="158"/>
      <c r="D382" s="158"/>
      <c r="E382" s="158"/>
      <c r="F382" s="159"/>
      <c r="G382" s="252"/>
      <c r="H382" s="303"/>
      <c r="I382" s="306"/>
      <c r="J382" s="338"/>
      <c r="K382" s="165"/>
      <c r="L382" s="91"/>
      <c r="M382" s="92"/>
    </row>
    <row r="383" spans="1:13" s="45" customFormat="1" ht="8.5500000000000007" customHeight="1" x14ac:dyDescent="0.2">
      <c r="A383" s="43"/>
      <c r="B383" s="201" t="s">
        <v>1982</v>
      </c>
      <c r="C383" s="201"/>
      <c r="D383" s="201"/>
      <c r="E383" s="201"/>
      <c r="F383" s="157"/>
      <c r="G383" s="251">
        <v>2022</v>
      </c>
      <c r="H383" s="304"/>
      <c r="I383" s="305"/>
      <c r="J383" s="302"/>
      <c r="K383" s="164">
        <v>2</v>
      </c>
      <c r="L383" s="91"/>
      <c r="M383" s="92"/>
    </row>
    <row r="384" spans="1:13" s="45" customFormat="1" ht="8.5500000000000007" customHeight="1" x14ac:dyDescent="0.2">
      <c r="A384" s="43"/>
      <c r="B384" s="158"/>
      <c r="C384" s="158"/>
      <c r="D384" s="158"/>
      <c r="E384" s="158"/>
      <c r="F384" s="159"/>
      <c r="G384" s="252"/>
      <c r="H384" s="303"/>
      <c r="I384" s="306"/>
      <c r="J384" s="338"/>
      <c r="K384" s="165"/>
      <c r="L384" s="91"/>
      <c r="M384" s="92"/>
    </row>
    <row r="385" spans="1:13" s="45" customFormat="1" ht="8.5500000000000007" customHeight="1" x14ac:dyDescent="0.2">
      <c r="A385" s="43"/>
      <c r="B385" s="201" t="s">
        <v>1963</v>
      </c>
      <c r="C385" s="201"/>
      <c r="D385" s="201"/>
      <c r="E385" s="201"/>
      <c r="F385" s="157"/>
      <c r="G385" s="251">
        <v>2021</v>
      </c>
      <c r="H385" s="304"/>
      <c r="I385" s="305"/>
      <c r="J385" s="302"/>
      <c r="K385" s="164">
        <v>2</v>
      </c>
      <c r="L385" s="91"/>
      <c r="M385" s="92"/>
    </row>
    <row r="386" spans="1:13" s="45" customFormat="1" ht="8.5500000000000007" customHeight="1" x14ac:dyDescent="0.2">
      <c r="A386" s="43"/>
      <c r="B386" s="158"/>
      <c r="C386" s="158"/>
      <c r="D386" s="158"/>
      <c r="E386" s="158"/>
      <c r="F386" s="159"/>
      <c r="G386" s="252"/>
      <c r="H386" s="303"/>
      <c r="I386" s="306"/>
      <c r="J386" s="338"/>
      <c r="K386" s="165"/>
      <c r="L386" s="91"/>
      <c r="M386" s="92"/>
    </row>
    <row r="387" spans="1:13" s="45" customFormat="1" ht="8.5500000000000007" customHeight="1" x14ac:dyDescent="0.2">
      <c r="A387" s="43"/>
      <c r="B387" s="201" t="s">
        <v>1960</v>
      </c>
      <c r="C387" s="201"/>
      <c r="D387" s="201"/>
      <c r="E387" s="201"/>
      <c r="F387" s="157"/>
      <c r="G387" s="251">
        <v>2021</v>
      </c>
      <c r="H387" s="304"/>
      <c r="I387" s="305"/>
      <c r="J387" s="302"/>
      <c r="K387" s="164">
        <v>1</v>
      </c>
      <c r="L387" s="91"/>
      <c r="M387" s="92"/>
    </row>
    <row r="388" spans="1:13" s="45" customFormat="1" ht="8.5500000000000007" customHeight="1" x14ac:dyDescent="0.2">
      <c r="A388" s="43"/>
      <c r="B388" s="158"/>
      <c r="C388" s="158"/>
      <c r="D388" s="158"/>
      <c r="E388" s="158"/>
      <c r="F388" s="159"/>
      <c r="G388" s="252"/>
      <c r="H388" s="303"/>
      <c r="I388" s="306"/>
      <c r="J388" s="338"/>
      <c r="K388" s="165"/>
      <c r="L388" s="91"/>
      <c r="M388" s="92"/>
    </row>
    <row r="389" spans="1:13" s="45" customFormat="1" ht="8.5500000000000007" customHeight="1" x14ac:dyDescent="0.2">
      <c r="A389" s="43"/>
      <c r="B389" s="201" t="s">
        <v>1961</v>
      </c>
      <c r="C389" s="201"/>
      <c r="D389" s="201"/>
      <c r="E389" s="201"/>
      <c r="F389" s="157"/>
      <c r="G389" s="251">
        <v>2021</v>
      </c>
      <c r="H389" s="304"/>
      <c r="I389" s="305"/>
      <c r="J389" s="302"/>
      <c r="K389" s="164">
        <v>2</v>
      </c>
      <c r="L389" s="91"/>
      <c r="M389" s="92"/>
    </row>
    <row r="390" spans="1:13" s="45" customFormat="1" ht="8.5500000000000007" customHeight="1" x14ac:dyDescent="0.2">
      <c r="A390" s="43"/>
      <c r="B390" s="158"/>
      <c r="C390" s="158"/>
      <c r="D390" s="158"/>
      <c r="E390" s="158"/>
      <c r="F390" s="159"/>
      <c r="G390" s="252"/>
      <c r="H390" s="303"/>
      <c r="I390" s="306"/>
      <c r="J390" s="338"/>
      <c r="K390" s="165"/>
      <c r="L390" s="91"/>
      <c r="M390" s="92"/>
    </row>
    <row r="391" spans="1:13" s="45" customFormat="1" ht="8.5500000000000007" customHeight="1" x14ac:dyDescent="0.2">
      <c r="A391" s="43"/>
      <c r="B391" s="201" t="s">
        <v>1955</v>
      </c>
      <c r="C391" s="201"/>
      <c r="D391" s="201"/>
      <c r="E391" s="201"/>
      <c r="F391" s="157"/>
      <c r="G391" s="251">
        <v>2021</v>
      </c>
      <c r="H391" s="304"/>
      <c r="I391" s="305"/>
      <c r="J391" s="302"/>
      <c r="K391" s="164">
        <v>1</v>
      </c>
      <c r="L391" s="91"/>
      <c r="M391" s="92"/>
    </row>
    <row r="392" spans="1:13" s="45" customFormat="1" ht="8.5500000000000007" customHeight="1" x14ac:dyDescent="0.2">
      <c r="A392" s="43"/>
      <c r="B392" s="158"/>
      <c r="C392" s="158"/>
      <c r="D392" s="158"/>
      <c r="E392" s="158"/>
      <c r="F392" s="159"/>
      <c r="G392" s="252"/>
      <c r="H392" s="303"/>
      <c r="I392" s="306"/>
      <c r="J392" s="338"/>
      <c r="K392" s="165"/>
      <c r="L392" s="91"/>
      <c r="M392" s="92"/>
    </row>
    <row r="393" spans="1:13" s="45" customFormat="1" ht="8.5500000000000007" customHeight="1" x14ac:dyDescent="0.2">
      <c r="A393" s="43"/>
      <c r="B393" s="201" t="s">
        <v>1962</v>
      </c>
      <c r="C393" s="201"/>
      <c r="D393" s="201"/>
      <c r="E393" s="201"/>
      <c r="F393" s="157"/>
      <c r="G393" s="251">
        <v>2021</v>
      </c>
      <c r="H393" s="304"/>
      <c r="I393" s="305"/>
      <c r="J393" s="302"/>
      <c r="K393" s="164">
        <v>2</v>
      </c>
      <c r="L393" s="91"/>
      <c r="M393" s="92"/>
    </row>
    <row r="394" spans="1:13" s="45" customFormat="1" ht="8.5500000000000007" customHeight="1" x14ac:dyDescent="0.2">
      <c r="A394" s="43"/>
      <c r="B394" s="158"/>
      <c r="C394" s="158"/>
      <c r="D394" s="158"/>
      <c r="E394" s="158"/>
      <c r="F394" s="159"/>
      <c r="G394" s="252"/>
      <c r="H394" s="303"/>
      <c r="I394" s="306"/>
      <c r="J394" s="338"/>
      <c r="K394" s="165"/>
      <c r="L394" s="91"/>
      <c r="M394" s="92"/>
    </row>
    <row r="395" spans="1:13" s="45" customFormat="1" ht="8.5500000000000007" customHeight="1" x14ac:dyDescent="0.2">
      <c r="A395" s="43"/>
      <c r="B395" s="201" t="s">
        <v>1957</v>
      </c>
      <c r="C395" s="201"/>
      <c r="D395" s="201"/>
      <c r="E395" s="201"/>
      <c r="F395" s="157"/>
      <c r="G395" s="251">
        <v>2021</v>
      </c>
      <c r="H395" s="304"/>
      <c r="I395" s="305"/>
      <c r="J395" s="302"/>
      <c r="K395" s="164">
        <v>1</v>
      </c>
      <c r="L395" s="91"/>
      <c r="M395" s="92"/>
    </row>
    <row r="396" spans="1:13" s="45" customFormat="1" ht="8.5500000000000007" customHeight="1" x14ac:dyDescent="0.2">
      <c r="A396" s="43"/>
      <c r="B396" s="158"/>
      <c r="C396" s="158"/>
      <c r="D396" s="158"/>
      <c r="E396" s="158"/>
      <c r="F396" s="159"/>
      <c r="G396" s="252"/>
      <c r="H396" s="303"/>
      <c r="I396" s="306"/>
      <c r="J396" s="338"/>
      <c r="K396" s="165"/>
      <c r="L396" s="91"/>
      <c r="M396" s="92"/>
    </row>
    <row r="397" spans="1:13" s="45" customFormat="1" ht="8.5500000000000007" customHeight="1" x14ac:dyDescent="0.2">
      <c r="A397" s="43"/>
      <c r="B397" s="213" t="s">
        <v>815</v>
      </c>
      <c r="C397" s="213"/>
      <c r="D397" s="213"/>
      <c r="E397" s="213"/>
      <c r="F397" s="213"/>
      <c r="G397" s="47"/>
      <c r="H397" s="47"/>
      <c r="I397" s="48"/>
      <c r="J397" s="48"/>
      <c r="K397" s="236">
        <v>325</v>
      </c>
      <c r="L397" s="290">
        <f>+K397</f>
        <v>325</v>
      </c>
      <c r="M397" s="92"/>
    </row>
    <row r="398" spans="1:13" s="45" customFormat="1" ht="8.5500000000000007" customHeight="1" x14ac:dyDescent="0.2">
      <c r="A398" s="43"/>
      <c r="B398" s="171"/>
      <c r="C398" s="171"/>
      <c r="D398" s="171"/>
      <c r="E398" s="171"/>
      <c r="F398" s="171"/>
      <c r="G398" s="54"/>
      <c r="H398" s="54"/>
      <c r="I398" s="49"/>
      <c r="J398" s="49"/>
      <c r="K398" s="225"/>
      <c r="L398" s="231"/>
      <c r="M398" s="92"/>
    </row>
    <row r="399" spans="1:13" s="45" customFormat="1" ht="8.5500000000000007" customHeight="1" x14ac:dyDescent="0.2">
      <c r="A399" s="43"/>
      <c r="B399" s="339" t="s">
        <v>816</v>
      </c>
      <c r="C399" s="339"/>
      <c r="D399" s="339"/>
      <c r="E399" s="339"/>
      <c r="F399" s="339"/>
      <c r="G399" s="79"/>
      <c r="H399" s="47"/>
      <c r="I399" s="48"/>
      <c r="J399" s="48"/>
      <c r="K399" s="164"/>
      <c r="L399" s="91"/>
      <c r="M399" s="92"/>
    </row>
    <row r="400" spans="1:13" s="45" customFormat="1" ht="8.5500000000000007" customHeight="1" x14ac:dyDescent="0.2">
      <c r="A400" s="43"/>
      <c r="B400" s="340"/>
      <c r="C400" s="340"/>
      <c r="D400" s="340"/>
      <c r="E400" s="340"/>
      <c r="F400" s="340"/>
      <c r="G400" s="80"/>
      <c r="H400" s="54"/>
      <c r="I400" s="49"/>
      <c r="J400" s="49"/>
      <c r="K400" s="165"/>
      <c r="L400" s="91"/>
      <c r="M400" s="92"/>
    </row>
    <row r="401" spans="1:13" s="45" customFormat="1" ht="8.5500000000000007" customHeight="1" x14ac:dyDescent="0.2">
      <c r="A401" s="43"/>
      <c r="B401" s="281" t="s">
        <v>619</v>
      </c>
      <c r="C401" s="281"/>
      <c r="D401" s="281"/>
      <c r="E401" s="281"/>
      <c r="F401" s="184"/>
      <c r="G401" s="251">
        <v>1967</v>
      </c>
      <c r="H401" s="305"/>
      <c r="I401" s="305"/>
      <c r="J401" s="302"/>
      <c r="K401" s="164">
        <v>1</v>
      </c>
      <c r="L401" s="91"/>
      <c r="M401" s="92"/>
    </row>
    <row r="402" spans="1:13" s="45" customFormat="1" ht="8.5500000000000007" customHeight="1" x14ac:dyDescent="0.2">
      <c r="A402" s="43"/>
      <c r="B402" s="185"/>
      <c r="C402" s="185"/>
      <c r="D402" s="185"/>
      <c r="E402" s="185"/>
      <c r="F402" s="186"/>
      <c r="G402" s="252"/>
      <c r="H402" s="306"/>
      <c r="I402" s="306"/>
      <c r="J402" s="338"/>
      <c r="K402" s="165"/>
      <c r="L402" s="91"/>
      <c r="M402" s="92"/>
    </row>
    <row r="403" spans="1:13" s="45" customFormat="1" ht="8.5500000000000007" customHeight="1" x14ac:dyDescent="0.2">
      <c r="A403" s="43"/>
      <c r="B403" s="339" t="s">
        <v>817</v>
      </c>
      <c r="C403" s="339"/>
      <c r="D403" s="339"/>
      <c r="E403" s="339"/>
      <c r="F403" s="339"/>
      <c r="G403" s="79"/>
      <c r="H403" s="47"/>
      <c r="I403" s="48"/>
      <c r="J403" s="48"/>
      <c r="K403" s="164"/>
      <c r="L403" s="91"/>
      <c r="M403" s="92"/>
    </row>
    <row r="404" spans="1:13" s="45" customFormat="1" ht="8.5500000000000007" customHeight="1" x14ac:dyDescent="0.2">
      <c r="A404" s="43"/>
      <c r="B404" s="340"/>
      <c r="C404" s="340"/>
      <c r="D404" s="340"/>
      <c r="E404" s="340"/>
      <c r="F404" s="340"/>
      <c r="G404" s="80"/>
      <c r="H404" s="54"/>
      <c r="I404" s="49"/>
      <c r="J404" s="49"/>
      <c r="K404" s="165"/>
      <c r="L404" s="91"/>
      <c r="M404" s="92"/>
    </row>
    <row r="405" spans="1:13" s="45" customFormat="1" ht="8.5500000000000007" customHeight="1" x14ac:dyDescent="0.2">
      <c r="A405" s="43"/>
      <c r="B405" s="281" t="s">
        <v>619</v>
      </c>
      <c r="C405" s="281"/>
      <c r="D405" s="281"/>
      <c r="E405" s="281"/>
      <c r="F405" s="184"/>
      <c r="G405" s="251">
        <v>1990</v>
      </c>
      <c r="H405" s="304">
        <v>98</v>
      </c>
      <c r="I405" s="305">
        <v>92</v>
      </c>
      <c r="J405" s="302" t="s">
        <v>376</v>
      </c>
      <c r="K405" s="164">
        <v>1</v>
      </c>
      <c r="L405" s="91"/>
      <c r="M405" s="92"/>
    </row>
    <row r="406" spans="1:13" s="45" customFormat="1" ht="8.5500000000000007" customHeight="1" x14ac:dyDescent="0.2">
      <c r="A406" s="43"/>
      <c r="B406" s="185"/>
      <c r="C406" s="185"/>
      <c r="D406" s="185"/>
      <c r="E406" s="185"/>
      <c r="F406" s="186"/>
      <c r="G406" s="252"/>
      <c r="H406" s="303"/>
      <c r="I406" s="306"/>
      <c r="J406" s="338"/>
      <c r="K406" s="165"/>
      <c r="L406" s="91"/>
      <c r="M406" s="92"/>
    </row>
    <row r="407" spans="1:13" s="45" customFormat="1" ht="8.5500000000000007" customHeight="1" x14ac:dyDescent="0.2">
      <c r="A407" s="43"/>
      <c r="B407" s="281" t="s">
        <v>619</v>
      </c>
      <c r="C407" s="281"/>
      <c r="D407" s="281"/>
      <c r="E407" s="281"/>
      <c r="F407" s="184"/>
      <c r="G407" s="251">
        <v>2000</v>
      </c>
      <c r="H407" s="304">
        <v>98</v>
      </c>
      <c r="I407" s="305">
        <v>98</v>
      </c>
      <c r="J407" s="302" t="s">
        <v>1</v>
      </c>
      <c r="K407" s="164">
        <v>1</v>
      </c>
      <c r="L407" s="91"/>
      <c r="M407" s="92"/>
    </row>
    <row r="408" spans="1:13" s="45" customFormat="1" ht="8.5500000000000007" customHeight="1" x14ac:dyDescent="0.2">
      <c r="A408" s="43"/>
      <c r="B408" s="185"/>
      <c r="C408" s="185"/>
      <c r="D408" s="185"/>
      <c r="E408" s="185"/>
      <c r="F408" s="186"/>
      <c r="G408" s="252"/>
      <c r="H408" s="303"/>
      <c r="I408" s="306"/>
      <c r="J408" s="338"/>
      <c r="K408" s="165"/>
      <c r="L408" s="91"/>
      <c r="M408" s="92"/>
    </row>
    <row r="409" spans="1:13" s="45" customFormat="1" ht="8.5500000000000007" customHeight="1" x14ac:dyDescent="0.2">
      <c r="A409" s="43"/>
      <c r="B409" s="281" t="s">
        <v>972</v>
      </c>
      <c r="C409" s="281"/>
      <c r="D409" s="281"/>
      <c r="E409" s="281"/>
      <c r="F409" s="184"/>
      <c r="G409" s="251">
        <v>2000</v>
      </c>
      <c r="H409" s="304">
        <v>98</v>
      </c>
      <c r="I409" s="305"/>
      <c r="J409" s="302" t="s">
        <v>139</v>
      </c>
      <c r="K409" s="164">
        <v>1</v>
      </c>
      <c r="L409" s="91"/>
      <c r="M409" s="92"/>
    </row>
    <row r="410" spans="1:13" s="45" customFormat="1" ht="8.5500000000000007" customHeight="1" x14ac:dyDescent="0.2">
      <c r="A410" s="43"/>
      <c r="B410" s="185"/>
      <c r="C410" s="185"/>
      <c r="D410" s="185"/>
      <c r="E410" s="185"/>
      <c r="F410" s="186"/>
      <c r="G410" s="252"/>
      <c r="H410" s="303"/>
      <c r="I410" s="306"/>
      <c r="J410" s="338"/>
      <c r="K410" s="165"/>
      <c r="L410" s="91"/>
      <c r="M410" s="92"/>
    </row>
    <row r="411" spans="1:13" s="45" customFormat="1" ht="8.5500000000000007" customHeight="1" x14ac:dyDescent="0.2">
      <c r="A411" s="43"/>
      <c r="B411" s="281" t="s">
        <v>619</v>
      </c>
      <c r="C411" s="281"/>
      <c r="D411" s="281"/>
      <c r="E411" s="281"/>
      <c r="F411" s="184"/>
      <c r="G411" s="251">
        <v>2001</v>
      </c>
      <c r="H411" s="304" t="s">
        <v>623</v>
      </c>
      <c r="I411" s="305">
        <v>93</v>
      </c>
      <c r="J411" s="302" t="s">
        <v>500</v>
      </c>
      <c r="K411" s="164">
        <v>2</v>
      </c>
      <c r="L411" s="91"/>
      <c r="M411" s="92"/>
    </row>
    <row r="412" spans="1:13" s="45" customFormat="1" ht="8.5500000000000007" customHeight="1" x14ac:dyDescent="0.2">
      <c r="A412" s="43"/>
      <c r="B412" s="185"/>
      <c r="C412" s="185"/>
      <c r="D412" s="185"/>
      <c r="E412" s="185"/>
      <c r="F412" s="186"/>
      <c r="G412" s="252"/>
      <c r="H412" s="303"/>
      <c r="I412" s="306"/>
      <c r="J412" s="338"/>
      <c r="K412" s="165"/>
      <c r="L412" s="91"/>
      <c r="M412" s="92"/>
    </row>
    <row r="413" spans="1:13" s="45" customFormat="1" ht="8.5500000000000007" customHeight="1" x14ac:dyDescent="0.2">
      <c r="A413" s="43"/>
      <c r="B413" s="281" t="s">
        <v>619</v>
      </c>
      <c r="C413" s="281"/>
      <c r="D413" s="281"/>
      <c r="E413" s="281"/>
      <c r="F413" s="184"/>
      <c r="G413" s="251">
        <v>2004</v>
      </c>
      <c r="H413" s="304">
        <v>98</v>
      </c>
      <c r="I413" s="305"/>
      <c r="J413" s="302" t="s">
        <v>256</v>
      </c>
      <c r="K413" s="164">
        <v>1</v>
      </c>
      <c r="L413" s="91"/>
      <c r="M413" s="92"/>
    </row>
    <row r="414" spans="1:13" s="45" customFormat="1" ht="8.5500000000000007" customHeight="1" x14ac:dyDescent="0.2">
      <c r="A414" s="43"/>
      <c r="B414" s="185"/>
      <c r="C414" s="185"/>
      <c r="D414" s="185"/>
      <c r="E414" s="185"/>
      <c r="F414" s="186"/>
      <c r="G414" s="252"/>
      <c r="H414" s="303"/>
      <c r="I414" s="306"/>
      <c r="J414" s="338"/>
      <c r="K414" s="165"/>
      <c r="L414" s="91"/>
      <c r="M414" s="92"/>
    </row>
    <row r="415" spans="1:13" s="45" customFormat="1" ht="8.5500000000000007" customHeight="1" x14ac:dyDescent="0.2">
      <c r="A415" s="43"/>
      <c r="B415" s="281" t="s">
        <v>982</v>
      </c>
      <c r="C415" s="281"/>
      <c r="D415" s="281"/>
      <c r="E415" s="281"/>
      <c r="F415" s="184"/>
      <c r="G415" s="251">
        <v>2007</v>
      </c>
      <c r="H415" s="304">
        <v>97</v>
      </c>
      <c r="I415" s="305"/>
      <c r="J415" s="302" t="s">
        <v>1145</v>
      </c>
      <c r="K415" s="164">
        <v>1</v>
      </c>
      <c r="L415" s="91"/>
      <c r="M415" s="92"/>
    </row>
    <row r="416" spans="1:13" s="45" customFormat="1" ht="8.5500000000000007" customHeight="1" x14ac:dyDescent="0.2">
      <c r="A416" s="43"/>
      <c r="B416" s="185"/>
      <c r="C416" s="185"/>
      <c r="D416" s="185"/>
      <c r="E416" s="185"/>
      <c r="F416" s="186"/>
      <c r="G416" s="252"/>
      <c r="H416" s="303"/>
      <c r="I416" s="306"/>
      <c r="J416" s="338"/>
      <c r="K416" s="165"/>
      <c r="L416" s="91"/>
      <c r="M416" s="92"/>
    </row>
    <row r="417" spans="1:13" s="45" customFormat="1" ht="8.5500000000000007" customHeight="1" x14ac:dyDescent="0.2">
      <c r="A417" s="43"/>
      <c r="B417" s="201" t="s">
        <v>502</v>
      </c>
      <c r="C417" s="201"/>
      <c r="D417" s="201"/>
      <c r="E417" s="201"/>
      <c r="F417" s="157"/>
      <c r="G417" s="251">
        <v>1998</v>
      </c>
      <c r="H417" s="304">
        <v>95</v>
      </c>
      <c r="I417" s="305"/>
      <c r="J417" s="302" t="s">
        <v>231</v>
      </c>
      <c r="K417" s="164">
        <v>1</v>
      </c>
      <c r="L417" s="91"/>
      <c r="M417" s="92"/>
    </row>
    <row r="418" spans="1:13" s="45" customFormat="1" ht="8.5500000000000007" customHeight="1" x14ac:dyDescent="0.2">
      <c r="A418" s="43"/>
      <c r="B418" s="158"/>
      <c r="C418" s="158"/>
      <c r="D418" s="158"/>
      <c r="E418" s="158"/>
      <c r="F418" s="159"/>
      <c r="G418" s="252"/>
      <c r="H418" s="303"/>
      <c r="I418" s="306"/>
      <c r="J418" s="338"/>
      <c r="K418" s="165"/>
      <c r="L418" s="91"/>
      <c r="M418" s="92"/>
    </row>
    <row r="419" spans="1:13" s="45" customFormat="1" ht="8.5500000000000007" customHeight="1" x14ac:dyDescent="0.2">
      <c r="A419" s="43"/>
      <c r="B419" s="201" t="s">
        <v>502</v>
      </c>
      <c r="C419" s="201"/>
      <c r="D419" s="201"/>
      <c r="E419" s="201"/>
      <c r="F419" s="157"/>
      <c r="G419" s="251">
        <v>2004</v>
      </c>
      <c r="H419" s="304">
        <v>97</v>
      </c>
      <c r="I419" s="305">
        <v>94</v>
      </c>
      <c r="J419" s="302" t="s">
        <v>95</v>
      </c>
      <c r="K419" s="164">
        <v>2</v>
      </c>
      <c r="L419" s="91"/>
      <c r="M419" s="92"/>
    </row>
    <row r="420" spans="1:13" s="45" customFormat="1" ht="8.5500000000000007" customHeight="1" x14ac:dyDescent="0.2">
      <c r="A420" s="43"/>
      <c r="B420" s="158"/>
      <c r="C420" s="158"/>
      <c r="D420" s="158"/>
      <c r="E420" s="158"/>
      <c r="F420" s="159"/>
      <c r="G420" s="252"/>
      <c r="H420" s="303"/>
      <c r="I420" s="306"/>
      <c r="J420" s="338"/>
      <c r="K420" s="165"/>
      <c r="L420" s="91"/>
      <c r="M420" s="92"/>
    </row>
    <row r="421" spans="1:13" s="45" customFormat="1" ht="8.5500000000000007" customHeight="1" x14ac:dyDescent="0.2">
      <c r="A421" s="43"/>
      <c r="B421" s="201" t="s">
        <v>501</v>
      </c>
      <c r="C421" s="201"/>
      <c r="D421" s="201"/>
      <c r="E421" s="201"/>
      <c r="F421" s="157"/>
      <c r="G421" s="251">
        <v>1982</v>
      </c>
      <c r="H421" s="304">
        <v>93</v>
      </c>
      <c r="I421" s="305"/>
      <c r="J421" s="305"/>
      <c r="K421" s="164">
        <v>1</v>
      </c>
      <c r="L421" s="91"/>
      <c r="M421" s="92"/>
    </row>
    <row r="422" spans="1:13" s="45" customFormat="1" ht="8.5500000000000007" customHeight="1" x14ac:dyDescent="0.2">
      <c r="A422" s="43"/>
      <c r="B422" s="158"/>
      <c r="C422" s="158"/>
      <c r="D422" s="158"/>
      <c r="E422" s="158"/>
      <c r="F422" s="159"/>
      <c r="G422" s="252"/>
      <c r="H422" s="303"/>
      <c r="I422" s="306"/>
      <c r="J422" s="306"/>
      <c r="K422" s="165"/>
      <c r="L422" s="91"/>
      <c r="M422" s="92"/>
    </row>
    <row r="423" spans="1:13" s="45" customFormat="1" ht="8.5500000000000007" customHeight="1" x14ac:dyDescent="0.2">
      <c r="A423" s="43"/>
      <c r="B423" s="201" t="s">
        <v>501</v>
      </c>
      <c r="C423" s="201"/>
      <c r="D423" s="201"/>
      <c r="E423" s="201"/>
      <c r="F423" s="157"/>
      <c r="G423" s="251">
        <v>1989</v>
      </c>
      <c r="H423" s="304">
        <v>90</v>
      </c>
      <c r="I423" s="305"/>
      <c r="J423" s="305"/>
      <c r="K423" s="164">
        <v>1</v>
      </c>
      <c r="L423" s="91"/>
      <c r="M423" s="92"/>
    </row>
    <row r="424" spans="1:13" s="45" customFormat="1" ht="8.5500000000000007" customHeight="1" x14ac:dyDescent="0.2">
      <c r="A424" s="43"/>
      <c r="B424" s="158"/>
      <c r="C424" s="158"/>
      <c r="D424" s="158"/>
      <c r="E424" s="158"/>
      <c r="F424" s="159"/>
      <c r="G424" s="252"/>
      <c r="H424" s="303"/>
      <c r="I424" s="306"/>
      <c r="J424" s="306"/>
      <c r="K424" s="165"/>
      <c r="L424" s="91"/>
      <c r="M424" s="92"/>
    </row>
    <row r="425" spans="1:13" s="45" customFormat="1" ht="8.5500000000000007" customHeight="1" x14ac:dyDescent="0.2">
      <c r="A425" s="43"/>
      <c r="B425" s="201" t="s">
        <v>501</v>
      </c>
      <c r="C425" s="201"/>
      <c r="D425" s="201"/>
      <c r="E425" s="201"/>
      <c r="F425" s="157"/>
      <c r="G425" s="251">
        <v>1990</v>
      </c>
      <c r="H425" s="304">
        <v>96</v>
      </c>
      <c r="I425" s="305"/>
      <c r="J425" s="302" t="s">
        <v>256</v>
      </c>
      <c r="K425" s="164">
        <v>1</v>
      </c>
      <c r="L425" s="91"/>
      <c r="M425" s="92"/>
    </row>
    <row r="426" spans="1:13" s="45" customFormat="1" ht="8.5500000000000007" customHeight="1" x14ac:dyDescent="0.2">
      <c r="A426" s="43"/>
      <c r="B426" s="158"/>
      <c r="C426" s="158"/>
      <c r="D426" s="158"/>
      <c r="E426" s="158"/>
      <c r="F426" s="159"/>
      <c r="G426" s="252"/>
      <c r="H426" s="303"/>
      <c r="I426" s="306"/>
      <c r="J426" s="338"/>
      <c r="K426" s="165"/>
      <c r="L426" s="91"/>
      <c r="M426" s="92"/>
    </row>
    <row r="427" spans="1:13" s="45" customFormat="1" ht="8.5500000000000007" customHeight="1" x14ac:dyDescent="0.2">
      <c r="A427" s="43"/>
      <c r="B427" s="201" t="s">
        <v>501</v>
      </c>
      <c r="C427" s="201"/>
      <c r="D427" s="201"/>
      <c r="E427" s="201"/>
      <c r="F427" s="157"/>
      <c r="G427" s="251">
        <v>2004</v>
      </c>
      <c r="H427" s="304">
        <v>95</v>
      </c>
      <c r="I427" s="305"/>
      <c r="J427" s="302" t="s">
        <v>268</v>
      </c>
      <c r="K427" s="164">
        <v>2</v>
      </c>
      <c r="L427" s="91"/>
      <c r="M427" s="92"/>
    </row>
    <row r="428" spans="1:13" s="45" customFormat="1" ht="8.5500000000000007" customHeight="1" x14ac:dyDescent="0.2">
      <c r="A428" s="43"/>
      <c r="B428" s="158"/>
      <c r="C428" s="158"/>
      <c r="D428" s="158"/>
      <c r="E428" s="158"/>
      <c r="F428" s="159"/>
      <c r="G428" s="252"/>
      <c r="H428" s="303"/>
      <c r="I428" s="306"/>
      <c r="J428" s="338"/>
      <c r="K428" s="165"/>
      <c r="L428" s="91"/>
      <c r="M428" s="92"/>
    </row>
    <row r="429" spans="1:13" s="45" customFormat="1" ht="8.5500000000000007" customHeight="1" x14ac:dyDescent="0.2">
      <c r="A429" s="43"/>
      <c r="B429" s="201" t="s">
        <v>1065</v>
      </c>
      <c r="C429" s="201"/>
      <c r="D429" s="201"/>
      <c r="E429" s="201"/>
      <c r="F429" s="157"/>
      <c r="G429" s="251">
        <v>1967</v>
      </c>
      <c r="H429" s="305"/>
      <c r="I429" s="305"/>
      <c r="J429" s="302"/>
      <c r="K429" s="164">
        <v>2</v>
      </c>
      <c r="L429" s="91"/>
      <c r="M429" s="92"/>
    </row>
    <row r="430" spans="1:13" s="45" customFormat="1" ht="8.5500000000000007" customHeight="1" x14ac:dyDescent="0.2">
      <c r="A430" s="43"/>
      <c r="B430" s="158"/>
      <c r="C430" s="158"/>
      <c r="D430" s="158"/>
      <c r="E430" s="158"/>
      <c r="F430" s="159"/>
      <c r="G430" s="252"/>
      <c r="H430" s="306"/>
      <c r="I430" s="306"/>
      <c r="J430" s="338"/>
      <c r="K430" s="165"/>
      <c r="L430" s="91"/>
      <c r="M430" s="92"/>
    </row>
    <row r="431" spans="1:13" s="45" customFormat="1" ht="8.5500000000000007" customHeight="1" x14ac:dyDescent="0.2">
      <c r="A431" s="43"/>
      <c r="B431" s="201" t="s">
        <v>1065</v>
      </c>
      <c r="C431" s="201"/>
      <c r="D431" s="201"/>
      <c r="E431" s="201"/>
      <c r="F431" s="157"/>
      <c r="G431" s="251">
        <v>1970</v>
      </c>
      <c r="H431" s="305"/>
      <c r="I431" s="305"/>
      <c r="J431" s="302"/>
      <c r="K431" s="164">
        <v>1</v>
      </c>
      <c r="L431" s="91"/>
      <c r="M431" s="92"/>
    </row>
    <row r="432" spans="1:13" s="45" customFormat="1" ht="8.5500000000000007" customHeight="1" x14ac:dyDescent="0.2">
      <c r="A432" s="43"/>
      <c r="B432" s="158"/>
      <c r="C432" s="158"/>
      <c r="D432" s="158"/>
      <c r="E432" s="158"/>
      <c r="F432" s="159"/>
      <c r="G432" s="252"/>
      <c r="H432" s="306"/>
      <c r="I432" s="306"/>
      <c r="J432" s="338"/>
      <c r="K432" s="165"/>
      <c r="L432" s="91"/>
      <c r="M432" s="92"/>
    </row>
    <row r="433" spans="1:13" s="45" customFormat="1" ht="8.5500000000000007" customHeight="1" x14ac:dyDescent="0.2">
      <c r="A433" s="43"/>
      <c r="B433" s="201" t="s">
        <v>1065</v>
      </c>
      <c r="C433" s="201"/>
      <c r="D433" s="201"/>
      <c r="E433" s="201"/>
      <c r="F433" s="157"/>
      <c r="G433" s="251">
        <v>1976</v>
      </c>
      <c r="H433" s="305"/>
      <c r="I433" s="305"/>
      <c r="J433" s="302"/>
      <c r="K433" s="164">
        <v>5</v>
      </c>
      <c r="L433" s="91"/>
      <c r="M433" s="92"/>
    </row>
    <row r="434" spans="1:13" s="45" customFormat="1" ht="8.5500000000000007" customHeight="1" x14ac:dyDescent="0.2">
      <c r="A434" s="43"/>
      <c r="B434" s="158"/>
      <c r="C434" s="158"/>
      <c r="D434" s="158"/>
      <c r="E434" s="158"/>
      <c r="F434" s="159"/>
      <c r="G434" s="252"/>
      <c r="H434" s="306"/>
      <c r="I434" s="306"/>
      <c r="J434" s="338"/>
      <c r="K434" s="165"/>
      <c r="L434" s="91"/>
      <c r="M434" s="92"/>
    </row>
    <row r="435" spans="1:13" s="45" customFormat="1" ht="8.5500000000000007" customHeight="1" x14ac:dyDescent="0.2">
      <c r="A435" s="43"/>
      <c r="B435" s="201" t="s">
        <v>1065</v>
      </c>
      <c r="C435" s="201"/>
      <c r="D435" s="201"/>
      <c r="E435" s="201"/>
      <c r="F435" s="157"/>
      <c r="G435" s="251">
        <v>1979</v>
      </c>
      <c r="H435" s="305"/>
      <c r="I435" s="305"/>
      <c r="J435" s="302"/>
      <c r="K435" s="164">
        <v>1</v>
      </c>
      <c r="L435" s="91"/>
      <c r="M435" s="92"/>
    </row>
    <row r="436" spans="1:13" s="45" customFormat="1" ht="8.5500000000000007" customHeight="1" x14ac:dyDescent="0.2">
      <c r="A436" s="43"/>
      <c r="B436" s="158"/>
      <c r="C436" s="158"/>
      <c r="D436" s="158"/>
      <c r="E436" s="158"/>
      <c r="F436" s="159"/>
      <c r="G436" s="252"/>
      <c r="H436" s="306"/>
      <c r="I436" s="306"/>
      <c r="J436" s="338"/>
      <c r="K436" s="165"/>
      <c r="L436" s="91"/>
      <c r="M436" s="92"/>
    </row>
    <row r="437" spans="1:13" s="45" customFormat="1" ht="8.5500000000000007" customHeight="1" x14ac:dyDescent="0.2">
      <c r="A437" s="43"/>
      <c r="B437" s="201" t="s">
        <v>1065</v>
      </c>
      <c r="C437" s="201"/>
      <c r="D437" s="201"/>
      <c r="E437" s="201"/>
      <c r="F437" s="157"/>
      <c r="G437" s="251">
        <v>1981</v>
      </c>
      <c r="H437" s="305"/>
      <c r="I437" s="305"/>
      <c r="J437" s="302"/>
      <c r="K437" s="164">
        <v>1</v>
      </c>
      <c r="L437" s="91"/>
      <c r="M437" s="92"/>
    </row>
    <row r="438" spans="1:13" s="45" customFormat="1" ht="8.5500000000000007" customHeight="1" x14ac:dyDescent="0.2">
      <c r="A438" s="43"/>
      <c r="B438" s="158"/>
      <c r="C438" s="158"/>
      <c r="D438" s="158"/>
      <c r="E438" s="158"/>
      <c r="F438" s="159"/>
      <c r="G438" s="252"/>
      <c r="H438" s="306"/>
      <c r="I438" s="306"/>
      <c r="J438" s="338"/>
      <c r="K438" s="165"/>
      <c r="L438" s="91"/>
      <c r="M438" s="92"/>
    </row>
    <row r="439" spans="1:13" s="45" customFormat="1" ht="8.5500000000000007" customHeight="1" x14ac:dyDescent="0.2">
      <c r="A439" s="43"/>
      <c r="B439" s="201" t="s">
        <v>1065</v>
      </c>
      <c r="C439" s="201"/>
      <c r="D439" s="201"/>
      <c r="E439" s="201"/>
      <c r="F439" s="157"/>
      <c r="G439" s="251">
        <v>1982</v>
      </c>
      <c r="H439" s="305"/>
      <c r="I439" s="305"/>
      <c r="J439" s="302"/>
      <c r="K439" s="164">
        <v>1</v>
      </c>
      <c r="L439" s="91"/>
      <c r="M439" s="92"/>
    </row>
    <row r="440" spans="1:13" s="45" customFormat="1" ht="8.5500000000000007" customHeight="1" x14ac:dyDescent="0.2">
      <c r="A440" s="43"/>
      <c r="B440" s="158"/>
      <c r="C440" s="158"/>
      <c r="D440" s="158"/>
      <c r="E440" s="158"/>
      <c r="F440" s="159"/>
      <c r="G440" s="252"/>
      <c r="H440" s="306"/>
      <c r="I440" s="306"/>
      <c r="J440" s="338"/>
      <c r="K440" s="165"/>
      <c r="L440" s="91"/>
      <c r="M440" s="92"/>
    </row>
    <row r="441" spans="1:13" s="45" customFormat="1" ht="8.5500000000000007" customHeight="1" x14ac:dyDescent="0.2">
      <c r="A441" s="43"/>
      <c r="B441" s="201" t="s">
        <v>1065</v>
      </c>
      <c r="C441" s="201"/>
      <c r="D441" s="201"/>
      <c r="E441" s="201"/>
      <c r="F441" s="157"/>
      <c r="G441" s="251">
        <v>1983</v>
      </c>
      <c r="H441" s="305"/>
      <c r="I441" s="305"/>
      <c r="J441" s="302"/>
      <c r="K441" s="164">
        <v>2</v>
      </c>
      <c r="L441" s="91"/>
      <c r="M441" s="92"/>
    </row>
    <row r="442" spans="1:13" s="45" customFormat="1" ht="8.5500000000000007" customHeight="1" x14ac:dyDescent="0.2">
      <c r="A442" s="43"/>
      <c r="B442" s="158"/>
      <c r="C442" s="158"/>
      <c r="D442" s="158"/>
      <c r="E442" s="158"/>
      <c r="F442" s="159"/>
      <c r="G442" s="252"/>
      <c r="H442" s="306"/>
      <c r="I442" s="306"/>
      <c r="J442" s="338"/>
      <c r="K442" s="165"/>
      <c r="L442" s="91"/>
      <c r="M442" s="92"/>
    </row>
    <row r="443" spans="1:13" s="45" customFormat="1" ht="8.5500000000000007" customHeight="1" x14ac:dyDescent="0.2">
      <c r="A443" s="43"/>
      <c r="B443" s="201" t="s">
        <v>1065</v>
      </c>
      <c r="C443" s="201"/>
      <c r="D443" s="201"/>
      <c r="E443" s="201"/>
      <c r="F443" s="157"/>
      <c r="G443" s="251">
        <v>1986</v>
      </c>
      <c r="H443" s="305"/>
      <c r="I443" s="305"/>
      <c r="J443" s="302"/>
      <c r="K443" s="164">
        <v>1</v>
      </c>
      <c r="L443" s="91"/>
      <c r="M443" s="92"/>
    </row>
    <row r="444" spans="1:13" s="45" customFormat="1" ht="8.5500000000000007" customHeight="1" x14ac:dyDescent="0.2">
      <c r="A444" s="43"/>
      <c r="B444" s="158"/>
      <c r="C444" s="158"/>
      <c r="D444" s="158"/>
      <c r="E444" s="158"/>
      <c r="F444" s="159"/>
      <c r="G444" s="252"/>
      <c r="H444" s="306"/>
      <c r="I444" s="306"/>
      <c r="J444" s="338"/>
      <c r="K444" s="165"/>
      <c r="L444" s="91"/>
      <c r="M444" s="92"/>
    </row>
    <row r="445" spans="1:13" s="45" customFormat="1" ht="8.5500000000000007" customHeight="1" x14ac:dyDescent="0.2">
      <c r="A445" s="43"/>
      <c r="B445" s="201" t="s">
        <v>1065</v>
      </c>
      <c r="C445" s="201"/>
      <c r="D445" s="201"/>
      <c r="E445" s="201"/>
      <c r="F445" s="157"/>
      <c r="G445" s="251">
        <v>1989</v>
      </c>
      <c r="H445" s="345">
        <v>96</v>
      </c>
      <c r="I445" s="305"/>
      <c r="J445" s="302" t="s">
        <v>225</v>
      </c>
      <c r="K445" s="164">
        <v>2</v>
      </c>
      <c r="L445" s="91"/>
      <c r="M445" s="92"/>
    </row>
    <row r="446" spans="1:13" s="45" customFormat="1" ht="8.5500000000000007" customHeight="1" x14ac:dyDescent="0.2">
      <c r="A446" s="43"/>
      <c r="B446" s="158"/>
      <c r="C446" s="158"/>
      <c r="D446" s="158"/>
      <c r="E446" s="158"/>
      <c r="F446" s="159"/>
      <c r="G446" s="252"/>
      <c r="H446" s="321"/>
      <c r="I446" s="306"/>
      <c r="J446" s="338"/>
      <c r="K446" s="165"/>
      <c r="L446" s="91"/>
      <c r="M446" s="92"/>
    </row>
    <row r="447" spans="1:13" s="45" customFormat="1" ht="8.5500000000000007" customHeight="1" x14ac:dyDescent="0.2">
      <c r="A447" s="43"/>
      <c r="B447" s="201" t="s">
        <v>1065</v>
      </c>
      <c r="C447" s="201"/>
      <c r="D447" s="201"/>
      <c r="E447" s="201"/>
      <c r="F447" s="157"/>
      <c r="G447" s="251">
        <v>1994</v>
      </c>
      <c r="H447" s="305"/>
      <c r="I447" s="305"/>
      <c r="J447" s="302"/>
      <c r="K447" s="164">
        <v>1</v>
      </c>
      <c r="L447" s="91"/>
      <c r="M447" s="92"/>
    </row>
    <row r="448" spans="1:13" s="45" customFormat="1" ht="8.5500000000000007" customHeight="1" x14ac:dyDescent="0.2">
      <c r="A448" s="43"/>
      <c r="B448" s="158"/>
      <c r="C448" s="158"/>
      <c r="D448" s="158"/>
      <c r="E448" s="158"/>
      <c r="F448" s="159"/>
      <c r="G448" s="252"/>
      <c r="H448" s="306"/>
      <c r="I448" s="306"/>
      <c r="J448" s="338"/>
      <c r="K448" s="165"/>
      <c r="L448" s="91"/>
      <c r="M448" s="92"/>
    </row>
    <row r="449" spans="1:13" s="45" customFormat="1" ht="8.5500000000000007" customHeight="1" x14ac:dyDescent="0.2">
      <c r="A449" s="43"/>
      <c r="B449" s="201" t="s">
        <v>1065</v>
      </c>
      <c r="C449" s="201"/>
      <c r="D449" s="201"/>
      <c r="E449" s="201"/>
      <c r="F449" s="157"/>
      <c r="G449" s="251">
        <v>1995</v>
      </c>
      <c r="H449" s="304">
        <v>90</v>
      </c>
      <c r="I449" s="305"/>
      <c r="J449" s="302"/>
      <c r="K449" s="164">
        <v>1</v>
      </c>
      <c r="L449" s="91"/>
      <c r="M449" s="92"/>
    </row>
    <row r="450" spans="1:13" s="45" customFormat="1" ht="8.5500000000000007" customHeight="1" x14ac:dyDescent="0.2">
      <c r="A450" s="43"/>
      <c r="B450" s="158"/>
      <c r="C450" s="158"/>
      <c r="D450" s="158"/>
      <c r="E450" s="158"/>
      <c r="F450" s="159"/>
      <c r="G450" s="252"/>
      <c r="H450" s="303"/>
      <c r="I450" s="306"/>
      <c r="J450" s="338"/>
      <c r="K450" s="165"/>
      <c r="L450" s="91"/>
      <c r="M450" s="92"/>
    </row>
    <row r="451" spans="1:13" s="45" customFormat="1" ht="8.5500000000000007" customHeight="1" x14ac:dyDescent="0.2">
      <c r="A451" s="43"/>
      <c r="B451" s="201" t="s">
        <v>1065</v>
      </c>
      <c r="C451" s="201"/>
      <c r="D451" s="201"/>
      <c r="E451" s="201"/>
      <c r="F451" s="157"/>
      <c r="G451" s="251">
        <v>1998</v>
      </c>
      <c r="H451" s="304">
        <v>91</v>
      </c>
      <c r="I451" s="305"/>
      <c r="J451" s="302"/>
      <c r="K451" s="164">
        <v>3</v>
      </c>
      <c r="L451" s="91"/>
      <c r="M451" s="92"/>
    </row>
    <row r="452" spans="1:13" s="45" customFormat="1" ht="8.5500000000000007" customHeight="1" x14ac:dyDescent="0.2">
      <c r="A452" s="43"/>
      <c r="B452" s="158"/>
      <c r="C452" s="158"/>
      <c r="D452" s="158"/>
      <c r="E452" s="158"/>
      <c r="F452" s="159"/>
      <c r="G452" s="252"/>
      <c r="H452" s="303"/>
      <c r="I452" s="306"/>
      <c r="J452" s="338"/>
      <c r="K452" s="165"/>
      <c r="L452" s="91"/>
      <c r="M452" s="92"/>
    </row>
    <row r="453" spans="1:13" s="45" customFormat="1" ht="8.5500000000000007" customHeight="1" x14ac:dyDescent="0.2">
      <c r="A453" s="43"/>
      <c r="B453" s="201" t="s">
        <v>1065</v>
      </c>
      <c r="C453" s="201"/>
      <c r="D453" s="201"/>
      <c r="E453" s="201"/>
      <c r="F453" s="157"/>
      <c r="G453" s="251">
        <v>2014</v>
      </c>
      <c r="H453" s="304">
        <v>94</v>
      </c>
      <c r="I453" s="305"/>
      <c r="J453" s="302" t="s">
        <v>582</v>
      </c>
      <c r="K453" s="164">
        <v>1</v>
      </c>
      <c r="L453" s="91"/>
      <c r="M453" s="92"/>
    </row>
    <row r="454" spans="1:13" s="45" customFormat="1" ht="8.5500000000000007" customHeight="1" x14ac:dyDescent="0.2">
      <c r="A454" s="43"/>
      <c r="B454" s="158"/>
      <c r="C454" s="158"/>
      <c r="D454" s="158"/>
      <c r="E454" s="158"/>
      <c r="F454" s="159"/>
      <c r="G454" s="252"/>
      <c r="H454" s="303"/>
      <c r="I454" s="306"/>
      <c r="J454" s="338"/>
      <c r="K454" s="165"/>
      <c r="L454" s="91"/>
      <c r="M454" s="92"/>
    </row>
    <row r="455" spans="1:13" s="45" customFormat="1" ht="8.5500000000000007" customHeight="1" x14ac:dyDescent="0.2">
      <c r="A455" s="43"/>
      <c r="B455" s="201" t="s">
        <v>504</v>
      </c>
      <c r="C455" s="201"/>
      <c r="D455" s="201"/>
      <c r="E455" s="201"/>
      <c r="F455" s="157"/>
      <c r="G455" s="251">
        <v>1983</v>
      </c>
      <c r="H455" s="304"/>
      <c r="I455" s="305"/>
      <c r="J455" s="302"/>
      <c r="K455" s="164">
        <v>1</v>
      </c>
      <c r="L455" s="91"/>
      <c r="M455" s="92"/>
    </row>
    <row r="456" spans="1:13" s="45" customFormat="1" ht="8.5500000000000007" customHeight="1" x14ac:dyDescent="0.2">
      <c r="A456" s="43"/>
      <c r="B456" s="158"/>
      <c r="C456" s="158"/>
      <c r="D456" s="158"/>
      <c r="E456" s="158"/>
      <c r="F456" s="159"/>
      <c r="G456" s="252"/>
      <c r="H456" s="303"/>
      <c r="I456" s="306"/>
      <c r="J456" s="338"/>
      <c r="K456" s="165"/>
      <c r="L456" s="91"/>
      <c r="M456" s="92"/>
    </row>
    <row r="457" spans="1:13" s="45" customFormat="1" ht="8.5500000000000007" customHeight="1" x14ac:dyDescent="0.2">
      <c r="A457" s="43"/>
      <c r="B457" s="201" t="s">
        <v>504</v>
      </c>
      <c r="C457" s="201"/>
      <c r="D457" s="201"/>
      <c r="E457" s="201"/>
      <c r="F457" s="157"/>
      <c r="G457" s="251">
        <v>1985</v>
      </c>
      <c r="H457" s="304"/>
      <c r="I457" s="305">
        <v>96</v>
      </c>
      <c r="J457" s="302"/>
      <c r="K457" s="164">
        <v>1</v>
      </c>
      <c r="L457" s="91"/>
      <c r="M457" s="92"/>
    </row>
    <row r="458" spans="1:13" s="45" customFormat="1" ht="8.5500000000000007" customHeight="1" x14ac:dyDescent="0.2">
      <c r="A458" s="43"/>
      <c r="B458" s="158"/>
      <c r="C458" s="158"/>
      <c r="D458" s="158"/>
      <c r="E458" s="158"/>
      <c r="F458" s="159"/>
      <c r="G458" s="252"/>
      <c r="H458" s="303"/>
      <c r="I458" s="306"/>
      <c r="J458" s="338"/>
      <c r="K458" s="165"/>
      <c r="L458" s="91"/>
      <c r="M458" s="92"/>
    </row>
    <row r="459" spans="1:13" s="45" customFormat="1" ht="8.5500000000000007" customHeight="1" x14ac:dyDescent="0.2">
      <c r="A459" s="43"/>
      <c r="B459" s="339" t="s">
        <v>817</v>
      </c>
      <c r="C459" s="339"/>
      <c r="D459" s="339"/>
      <c r="E459" s="339"/>
      <c r="F459" s="339"/>
      <c r="G459" s="79"/>
      <c r="H459" s="47"/>
      <c r="I459" s="48"/>
      <c r="J459" s="48"/>
      <c r="K459" s="164"/>
      <c r="L459" s="91"/>
      <c r="M459" s="92"/>
    </row>
    <row r="460" spans="1:13" s="45" customFormat="1" ht="8.5500000000000007" customHeight="1" x14ac:dyDescent="0.2">
      <c r="A460" s="43"/>
      <c r="B460" s="340"/>
      <c r="C460" s="340"/>
      <c r="D460" s="340"/>
      <c r="E460" s="340"/>
      <c r="F460" s="340"/>
      <c r="G460" s="80"/>
      <c r="H460" s="54"/>
      <c r="I460" s="49"/>
      <c r="J460" s="49"/>
      <c r="K460" s="165"/>
      <c r="L460" s="91"/>
      <c r="M460" s="92"/>
    </row>
    <row r="461" spans="1:13" s="45" customFormat="1" ht="8.5500000000000007" customHeight="1" x14ac:dyDescent="0.2">
      <c r="A461" s="43"/>
      <c r="B461" s="201" t="s">
        <v>504</v>
      </c>
      <c r="C461" s="201"/>
      <c r="D461" s="201"/>
      <c r="E461" s="201"/>
      <c r="F461" s="157"/>
      <c r="G461" s="251">
        <v>1989</v>
      </c>
      <c r="H461" s="304">
        <v>95</v>
      </c>
      <c r="I461" s="305">
        <v>98</v>
      </c>
      <c r="J461" s="302" t="s">
        <v>250</v>
      </c>
      <c r="K461" s="164">
        <v>2</v>
      </c>
      <c r="L461" s="91"/>
      <c r="M461" s="92"/>
    </row>
    <row r="462" spans="1:13" s="45" customFormat="1" ht="8.5500000000000007" customHeight="1" x14ac:dyDescent="0.2">
      <c r="A462" s="43"/>
      <c r="B462" s="158"/>
      <c r="C462" s="158"/>
      <c r="D462" s="158"/>
      <c r="E462" s="158"/>
      <c r="F462" s="159"/>
      <c r="G462" s="252"/>
      <c r="H462" s="303"/>
      <c r="I462" s="306"/>
      <c r="J462" s="338"/>
      <c r="K462" s="165"/>
      <c r="L462" s="91"/>
      <c r="M462" s="92"/>
    </row>
    <row r="463" spans="1:13" s="45" customFormat="1" ht="8.5500000000000007" customHeight="1" x14ac:dyDescent="0.2">
      <c r="A463" s="43"/>
      <c r="B463" s="201" t="s">
        <v>504</v>
      </c>
      <c r="C463" s="201"/>
      <c r="D463" s="201"/>
      <c r="E463" s="201"/>
      <c r="F463" s="157"/>
      <c r="G463" s="251">
        <v>1995</v>
      </c>
      <c r="H463" s="304">
        <v>91</v>
      </c>
      <c r="I463" s="305">
        <v>96</v>
      </c>
      <c r="J463" s="302" t="s">
        <v>362</v>
      </c>
      <c r="K463" s="164">
        <v>2</v>
      </c>
      <c r="L463" s="91"/>
      <c r="M463" s="92"/>
    </row>
    <row r="464" spans="1:13" s="45" customFormat="1" ht="8.5500000000000007" customHeight="1" x14ac:dyDescent="0.2">
      <c r="A464" s="43"/>
      <c r="B464" s="158"/>
      <c r="C464" s="158"/>
      <c r="D464" s="158"/>
      <c r="E464" s="158"/>
      <c r="F464" s="159"/>
      <c r="G464" s="252"/>
      <c r="H464" s="303"/>
      <c r="I464" s="306"/>
      <c r="J464" s="338"/>
      <c r="K464" s="165"/>
      <c r="L464" s="91"/>
      <c r="M464" s="92"/>
    </row>
    <row r="465" spans="1:13" s="45" customFormat="1" ht="8.5500000000000007" customHeight="1" x14ac:dyDescent="0.2">
      <c r="A465" s="43"/>
      <c r="B465" s="201" t="s">
        <v>504</v>
      </c>
      <c r="C465" s="201"/>
      <c r="D465" s="201"/>
      <c r="E465" s="201"/>
      <c r="F465" s="157"/>
      <c r="G465" s="251">
        <v>1996</v>
      </c>
      <c r="H465" s="304">
        <v>96</v>
      </c>
      <c r="I465" s="305">
        <v>96</v>
      </c>
      <c r="J465" s="302" t="s">
        <v>359</v>
      </c>
      <c r="K465" s="164">
        <v>2</v>
      </c>
      <c r="L465" s="91"/>
      <c r="M465" s="92"/>
    </row>
    <row r="466" spans="1:13" s="45" customFormat="1" ht="8.5500000000000007" customHeight="1" x14ac:dyDescent="0.2">
      <c r="A466" s="43"/>
      <c r="B466" s="158"/>
      <c r="C466" s="158"/>
      <c r="D466" s="158"/>
      <c r="E466" s="158"/>
      <c r="F466" s="159"/>
      <c r="G466" s="252"/>
      <c r="H466" s="303"/>
      <c r="I466" s="306"/>
      <c r="J466" s="338"/>
      <c r="K466" s="165"/>
      <c r="L466" s="91"/>
      <c r="M466" s="92"/>
    </row>
    <row r="467" spans="1:13" s="45" customFormat="1" ht="8.5500000000000007" customHeight="1" x14ac:dyDescent="0.2">
      <c r="A467" s="43"/>
      <c r="B467" s="201" t="s">
        <v>504</v>
      </c>
      <c r="C467" s="201"/>
      <c r="D467" s="201"/>
      <c r="E467" s="201"/>
      <c r="F467" s="157"/>
      <c r="G467" s="251">
        <v>1997</v>
      </c>
      <c r="H467" s="304">
        <v>96</v>
      </c>
      <c r="I467" s="305">
        <v>98</v>
      </c>
      <c r="J467" s="302" t="s">
        <v>426</v>
      </c>
      <c r="K467" s="164">
        <v>2</v>
      </c>
      <c r="L467" s="91"/>
      <c r="M467" s="92"/>
    </row>
    <row r="468" spans="1:13" s="45" customFormat="1" ht="8.5500000000000007" customHeight="1" x14ac:dyDescent="0.2">
      <c r="A468" s="43"/>
      <c r="B468" s="158"/>
      <c r="C468" s="158"/>
      <c r="D468" s="158"/>
      <c r="E468" s="158"/>
      <c r="F468" s="159"/>
      <c r="G468" s="252"/>
      <c r="H468" s="303"/>
      <c r="I468" s="306"/>
      <c r="J468" s="338"/>
      <c r="K468" s="165"/>
      <c r="L468" s="91"/>
      <c r="M468" s="92"/>
    </row>
    <row r="469" spans="1:13" s="45" customFormat="1" ht="8.5500000000000007" customHeight="1" x14ac:dyDescent="0.2">
      <c r="A469" s="43"/>
      <c r="B469" s="201" t="s">
        <v>504</v>
      </c>
      <c r="C469" s="201"/>
      <c r="D469" s="201"/>
      <c r="E469" s="201"/>
      <c r="F469" s="157"/>
      <c r="G469" s="251">
        <v>1998</v>
      </c>
      <c r="H469" s="304">
        <v>96</v>
      </c>
      <c r="I469" s="305">
        <v>95</v>
      </c>
      <c r="J469" s="302" t="s">
        <v>416</v>
      </c>
      <c r="K469" s="164">
        <v>1</v>
      </c>
      <c r="L469" s="91"/>
      <c r="M469" s="92"/>
    </row>
    <row r="470" spans="1:13" s="45" customFormat="1" ht="8.5500000000000007" customHeight="1" x14ac:dyDescent="0.2">
      <c r="A470" s="43"/>
      <c r="B470" s="158"/>
      <c r="C470" s="158"/>
      <c r="D470" s="158"/>
      <c r="E470" s="158"/>
      <c r="F470" s="159"/>
      <c r="G470" s="252"/>
      <c r="H470" s="303"/>
      <c r="I470" s="306"/>
      <c r="J470" s="338"/>
      <c r="K470" s="165"/>
      <c r="L470" s="91"/>
      <c r="M470" s="92"/>
    </row>
    <row r="471" spans="1:13" s="45" customFormat="1" ht="8.5500000000000007" customHeight="1" x14ac:dyDescent="0.2">
      <c r="A471" s="43"/>
      <c r="B471" s="201" t="s">
        <v>504</v>
      </c>
      <c r="C471" s="201"/>
      <c r="D471" s="201"/>
      <c r="E471" s="201"/>
      <c r="F471" s="157"/>
      <c r="G471" s="251">
        <v>1999</v>
      </c>
      <c r="H471" s="304">
        <v>94</v>
      </c>
      <c r="I471" s="305">
        <v>93</v>
      </c>
      <c r="J471" s="302" t="s">
        <v>283</v>
      </c>
      <c r="K471" s="164">
        <v>2</v>
      </c>
      <c r="L471" s="91"/>
      <c r="M471" s="92"/>
    </row>
    <row r="472" spans="1:13" s="45" customFormat="1" ht="8.5500000000000007" customHeight="1" x14ac:dyDescent="0.2">
      <c r="A472" s="43"/>
      <c r="B472" s="158"/>
      <c r="C472" s="158"/>
      <c r="D472" s="158"/>
      <c r="E472" s="158"/>
      <c r="F472" s="159"/>
      <c r="G472" s="252"/>
      <c r="H472" s="303"/>
      <c r="I472" s="306"/>
      <c r="J472" s="338"/>
      <c r="K472" s="165"/>
      <c r="L472" s="91"/>
      <c r="M472" s="92"/>
    </row>
    <row r="473" spans="1:13" s="45" customFormat="1" ht="8.5500000000000007" customHeight="1" x14ac:dyDescent="0.2">
      <c r="A473" s="43"/>
      <c r="B473" s="201" t="s">
        <v>504</v>
      </c>
      <c r="C473" s="201"/>
      <c r="D473" s="201"/>
      <c r="E473" s="201"/>
      <c r="F473" s="157"/>
      <c r="G473" s="251">
        <v>2000</v>
      </c>
      <c r="H473" s="304">
        <v>95</v>
      </c>
      <c r="I473" s="305">
        <v>97</v>
      </c>
      <c r="J473" s="302" t="s">
        <v>124</v>
      </c>
      <c r="K473" s="164">
        <v>2</v>
      </c>
      <c r="L473" s="91"/>
      <c r="M473" s="92"/>
    </row>
    <row r="474" spans="1:13" s="45" customFormat="1" ht="8.5500000000000007" customHeight="1" x14ac:dyDescent="0.2">
      <c r="A474" s="43"/>
      <c r="B474" s="158"/>
      <c r="C474" s="158"/>
      <c r="D474" s="158"/>
      <c r="E474" s="158"/>
      <c r="F474" s="159"/>
      <c r="G474" s="252"/>
      <c r="H474" s="303"/>
      <c r="I474" s="306"/>
      <c r="J474" s="338"/>
      <c r="K474" s="165"/>
      <c r="L474" s="91"/>
      <c r="M474" s="92"/>
    </row>
    <row r="475" spans="1:13" s="45" customFormat="1" ht="8.5500000000000007" customHeight="1" x14ac:dyDescent="0.2">
      <c r="A475" s="43"/>
      <c r="B475" s="201" t="s">
        <v>504</v>
      </c>
      <c r="C475" s="201"/>
      <c r="D475" s="201"/>
      <c r="E475" s="201"/>
      <c r="F475" s="157"/>
      <c r="G475" s="251">
        <v>2001</v>
      </c>
      <c r="H475" s="304">
        <v>95</v>
      </c>
      <c r="I475" s="305">
        <v>96</v>
      </c>
      <c r="J475" s="302" t="s">
        <v>35</v>
      </c>
      <c r="K475" s="164">
        <v>1</v>
      </c>
      <c r="L475" s="91"/>
      <c r="M475" s="92"/>
    </row>
    <row r="476" spans="1:13" s="45" customFormat="1" ht="8.5500000000000007" customHeight="1" x14ac:dyDescent="0.2">
      <c r="A476" s="43"/>
      <c r="B476" s="158"/>
      <c r="C476" s="158"/>
      <c r="D476" s="158"/>
      <c r="E476" s="158"/>
      <c r="F476" s="159"/>
      <c r="G476" s="252"/>
      <c r="H476" s="303"/>
      <c r="I476" s="306"/>
      <c r="J476" s="338"/>
      <c r="K476" s="165"/>
      <c r="L476" s="91"/>
      <c r="M476" s="92"/>
    </row>
    <row r="477" spans="1:13" s="45" customFormat="1" ht="8.5500000000000007" customHeight="1" x14ac:dyDescent="0.2">
      <c r="A477" s="43"/>
      <c r="B477" s="201" t="s">
        <v>714</v>
      </c>
      <c r="C477" s="201"/>
      <c r="D477" s="201"/>
      <c r="E477" s="201"/>
      <c r="F477" s="157"/>
      <c r="G477" s="251">
        <v>2001</v>
      </c>
      <c r="H477" s="304">
        <v>95</v>
      </c>
      <c r="I477" s="305">
        <v>96</v>
      </c>
      <c r="J477" s="302" t="s">
        <v>35</v>
      </c>
      <c r="K477" s="164">
        <v>1</v>
      </c>
      <c r="L477" s="91"/>
      <c r="M477" s="92"/>
    </row>
    <row r="478" spans="1:13" s="45" customFormat="1" ht="8.5500000000000007" customHeight="1" x14ac:dyDescent="0.2">
      <c r="A478" s="43"/>
      <c r="B478" s="158"/>
      <c r="C478" s="158"/>
      <c r="D478" s="158"/>
      <c r="E478" s="158"/>
      <c r="F478" s="159"/>
      <c r="G478" s="252"/>
      <c r="H478" s="303"/>
      <c r="I478" s="306"/>
      <c r="J478" s="338"/>
      <c r="K478" s="165"/>
      <c r="L478" s="91"/>
      <c r="M478" s="92"/>
    </row>
    <row r="479" spans="1:13" s="45" customFormat="1" ht="8.5500000000000007" customHeight="1" x14ac:dyDescent="0.2">
      <c r="A479" s="43"/>
      <c r="B479" s="281" t="s">
        <v>893</v>
      </c>
      <c r="C479" s="281"/>
      <c r="D479" s="281"/>
      <c r="E479" s="281"/>
      <c r="F479" s="184"/>
      <c r="G479" s="251">
        <v>1976</v>
      </c>
      <c r="H479" s="304"/>
      <c r="I479" s="305"/>
      <c r="J479" s="305"/>
      <c r="K479" s="164">
        <v>1</v>
      </c>
      <c r="L479" s="91"/>
      <c r="M479" s="92"/>
    </row>
    <row r="480" spans="1:13" s="45" customFormat="1" ht="8.5500000000000007" customHeight="1" x14ac:dyDescent="0.2">
      <c r="A480" s="43"/>
      <c r="B480" s="185"/>
      <c r="C480" s="185"/>
      <c r="D480" s="185"/>
      <c r="E480" s="185"/>
      <c r="F480" s="186"/>
      <c r="G480" s="252"/>
      <c r="H480" s="303"/>
      <c r="I480" s="306"/>
      <c r="J480" s="306"/>
      <c r="K480" s="165"/>
      <c r="L480" s="91"/>
      <c r="M480" s="92"/>
    </row>
    <row r="481" spans="1:13" s="45" customFormat="1" ht="8.5500000000000007" customHeight="1" x14ac:dyDescent="0.2">
      <c r="A481" s="43"/>
      <c r="B481" s="281" t="s">
        <v>897</v>
      </c>
      <c r="C481" s="281"/>
      <c r="D481" s="281"/>
      <c r="E481" s="281"/>
      <c r="F481" s="184"/>
      <c r="G481" s="251">
        <v>1982</v>
      </c>
      <c r="H481" s="304">
        <v>95</v>
      </c>
      <c r="I481" s="305"/>
      <c r="J481" s="305"/>
      <c r="K481" s="164">
        <v>1</v>
      </c>
      <c r="L481" s="91"/>
      <c r="M481" s="92"/>
    </row>
    <row r="482" spans="1:13" s="45" customFormat="1" ht="8.5500000000000007" customHeight="1" x14ac:dyDescent="0.2">
      <c r="A482" s="43"/>
      <c r="B482" s="185"/>
      <c r="C482" s="185"/>
      <c r="D482" s="185"/>
      <c r="E482" s="185"/>
      <c r="F482" s="186"/>
      <c r="G482" s="252"/>
      <c r="H482" s="303"/>
      <c r="I482" s="306"/>
      <c r="J482" s="306"/>
      <c r="K482" s="165"/>
      <c r="L482" s="91"/>
      <c r="M482" s="92"/>
    </row>
    <row r="483" spans="1:13" s="45" customFormat="1" ht="8.5500000000000007" customHeight="1" x14ac:dyDescent="0.2">
      <c r="A483" s="43"/>
      <c r="B483" s="281" t="s">
        <v>505</v>
      </c>
      <c r="C483" s="281"/>
      <c r="D483" s="281"/>
      <c r="E483" s="281"/>
      <c r="F483" s="184"/>
      <c r="G483" s="251">
        <v>1989</v>
      </c>
      <c r="H483" s="304">
        <v>98</v>
      </c>
      <c r="I483" s="305">
        <v>96</v>
      </c>
      <c r="J483" s="302" t="s">
        <v>225</v>
      </c>
      <c r="K483" s="164">
        <v>2</v>
      </c>
      <c r="L483" s="91"/>
      <c r="M483" s="92"/>
    </row>
    <row r="484" spans="1:13" s="45" customFormat="1" ht="8.5500000000000007" customHeight="1" x14ac:dyDescent="0.2">
      <c r="A484" s="43"/>
      <c r="B484" s="185"/>
      <c r="C484" s="185"/>
      <c r="D484" s="185"/>
      <c r="E484" s="185"/>
      <c r="F484" s="186"/>
      <c r="G484" s="252"/>
      <c r="H484" s="303"/>
      <c r="I484" s="306"/>
      <c r="J484" s="338"/>
      <c r="K484" s="165"/>
      <c r="L484" s="91"/>
      <c r="M484" s="92"/>
    </row>
    <row r="485" spans="1:13" s="45" customFormat="1" ht="8.5500000000000007" customHeight="1" x14ac:dyDescent="0.2">
      <c r="A485" s="43"/>
      <c r="B485" s="281" t="s">
        <v>505</v>
      </c>
      <c r="C485" s="281"/>
      <c r="D485" s="281"/>
      <c r="E485" s="281"/>
      <c r="F485" s="184"/>
      <c r="G485" s="251">
        <v>1996</v>
      </c>
      <c r="H485" s="304">
        <v>96</v>
      </c>
      <c r="I485" s="305"/>
      <c r="J485" s="302" t="s">
        <v>62</v>
      </c>
      <c r="K485" s="164">
        <v>1</v>
      </c>
      <c r="L485" s="91"/>
      <c r="M485" s="92"/>
    </row>
    <row r="486" spans="1:13" s="45" customFormat="1" ht="8.5500000000000007" customHeight="1" x14ac:dyDescent="0.2">
      <c r="A486" s="43"/>
      <c r="B486" s="185"/>
      <c r="C486" s="185"/>
      <c r="D486" s="185"/>
      <c r="E486" s="185"/>
      <c r="F486" s="186"/>
      <c r="G486" s="252"/>
      <c r="H486" s="303"/>
      <c r="I486" s="306"/>
      <c r="J486" s="338"/>
      <c r="K486" s="165"/>
      <c r="L486" s="91"/>
      <c r="M486" s="92"/>
    </row>
    <row r="487" spans="1:13" s="45" customFormat="1" ht="8.5500000000000007" customHeight="1" x14ac:dyDescent="0.2">
      <c r="A487" s="43"/>
      <c r="B487" s="281" t="s">
        <v>505</v>
      </c>
      <c r="C487" s="281"/>
      <c r="D487" s="281"/>
      <c r="E487" s="281"/>
      <c r="F487" s="184"/>
      <c r="G487" s="251">
        <v>1997</v>
      </c>
      <c r="H487" s="304">
        <v>99</v>
      </c>
      <c r="I487" s="305">
        <v>97</v>
      </c>
      <c r="J487" s="302" t="s">
        <v>459</v>
      </c>
      <c r="K487" s="164">
        <v>2</v>
      </c>
      <c r="L487" s="91"/>
      <c r="M487" s="92"/>
    </row>
    <row r="488" spans="1:13" s="45" customFormat="1" ht="8.5500000000000007" customHeight="1" x14ac:dyDescent="0.2">
      <c r="A488" s="43"/>
      <c r="B488" s="185"/>
      <c r="C488" s="185"/>
      <c r="D488" s="185"/>
      <c r="E488" s="185"/>
      <c r="F488" s="186"/>
      <c r="G488" s="252"/>
      <c r="H488" s="303"/>
      <c r="I488" s="306"/>
      <c r="J488" s="338"/>
      <c r="K488" s="165"/>
      <c r="L488" s="91"/>
      <c r="M488" s="92"/>
    </row>
    <row r="489" spans="1:13" s="45" customFormat="1" ht="8.5500000000000007" customHeight="1" x14ac:dyDescent="0.2">
      <c r="A489" s="43"/>
      <c r="B489" s="281" t="s">
        <v>505</v>
      </c>
      <c r="C489" s="281"/>
      <c r="D489" s="281"/>
      <c r="E489" s="281"/>
      <c r="F489" s="184"/>
      <c r="G489" s="251">
        <v>1998</v>
      </c>
      <c r="H489" s="304">
        <v>95</v>
      </c>
      <c r="I489" s="305"/>
      <c r="J489" s="302"/>
      <c r="K489" s="164">
        <v>2</v>
      </c>
      <c r="L489" s="91"/>
      <c r="M489" s="92"/>
    </row>
    <row r="490" spans="1:13" s="45" customFormat="1" ht="8.5500000000000007" customHeight="1" x14ac:dyDescent="0.2">
      <c r="A490" s="43"/>
      <c r="B490" s="185"/>
      <c r="C490" s="185"/>
      <c r="D490" s="185"/>
      <c r="E490" s="185"/>
      <c r="F490" s="186"/>
      <c r="G490" s="252"/>
      <c r="H490" s="303"/>
      <c r="I490" s="306"/>
      <c r="J490" s="338"/>
      <c r="K490" s="165"/>
      <c r="L490" s="91"/>
      <c r="M490" s="92"/>
    </row>
    <row r="491" spans="1:13" s="45" customFormat="1" ht="8.5500000000000007" customHeight="1" x14ac:dyDescent="0.2">
      <c r="A491" s="43"/>
      <c r="B491" s="281" t="s">
        <v>893</v>
      </c>
      <c r="C491" s="281"/>
      <c r="D491" s="281"/>
      <c r="E491" s="281"/>
      <c r="F491" s="184"/>
      <c r="G491" s="251">
        <v>2000</v>
      </c>
      <c r="H491" s="304">
        <v>95</v>
      </c>
      <c r="I491" s="305">
        <v>96</v>
      </c>
      <c r="J491" s="302" t="s">
        <v>124</v>
      </c>
      <c r="K491" s="164">
        <v>2</v>
      </c>
      <c r="L491" s="91"/>
      <c r="M491" s="92"/>
    </row>
    <row r="492" spans="1:13" s="45" customFormat="1" ht="8.5500000000000007" customHeight="1" x14ac:dyDescent="0.2">
      <c r="A492" s="43"/>
      <c r="B492" s="185"/>
      <c r="C492" s="185"/>
      <c r="D492" s="185"/>
      <c r="E492" s="185"/>
      <c r="F492" s="186"/>
      <c r="G492" s="252"/>
      <c r="H492" s="303"/>
      <c r="I492" s="306"/>
      <c r="J492" s="338"/>
      <c r="K492" s="165"/>
      <c r="L492" s="91"/>
      <c r="M492" s="92"/>
    </row>
    <row r="493" spans="1:13" s="45" customFormat="1" ht="8.5500000000000007" customHeight="1" x14ac:dyDescent="0.2">
      <c r="A493" s="43"/>
      <c r="B493" s="281" t="s">
        <v>897</v>
      </c>
      <c r="C493" s="281"/>
      <c r="D493" s="281"/>
      <c r="E493" s="281"/>
      <c r="F493" s="184"/>
      <c r="G493" s="251">
        <v>2001</v>
      </c>
      <c r="H493" s="304">
        <v>96</v>
      </c>
      <c r="I493" s="305"/>
      <c r="J493" s="302" t="s">
        <v>352</v>
      </c>
      <c r="K493" s="164">
        <v>1</v>
      </c>
      <c r="L493" s="91"/>
      <c r="M493" s="92"/>
    </row>
    <row r="494" spans="1:13" s="45" customFormat="1" ht="8.5500000000000007" customHeight="1" x14ac:dyDescent="0.2">
      <c r="A494" s="43"/>
      <c r="B494" s="185"/>
      <c r="C494" s="185"/>
      <c r="D494" s="185"/>
      <c r="E494" s="185"/>
      <c r="F494" s="186"/>
      <c r="G494" s="252"/>
      <c r="H494" s="303"/>
      <c r="I494" s="306"/>
      <c r="J494" s="338"/>
      <c r="K494" s="165"/>
      <c r="L494" s="91"/>
      <c r="M494" s="92"/>
    </row>
    <row r="495" spans="1:13" s="45" customFormat="1" ht="8.5500000000000007" customHeight="1" x14ac:dyDescent="0.2">
      <c r="A495" s="43"/>
      <c r="B495" s="281" t="s">
        <v>505</v>
      </c>
      <c r="C495" s="281"/>
      <c r="D495" s="281"/>
      <c r="E495" s="281"/>
      <c r="F495" s="184"/>
      <c r="G495" s="251">
        <v>2003</v>
      </c>
      <c r="H495" s="304" t="s">
        <v>625</v>
      </c>
      <c r="I495" s="305">
        <v>93</v>
      </c>
      <c r="J495" s="302" t="s">
        <v>127</v>
      </c>
      <c r="K495" s="164">
        <v>2</v>
      </c>
      <c r="L495" s="91"/>
      <c r="M495" s="92"/>
    </row>
    <row r="496" spans="1:13" s="45" customFormat="1" ht="8.5500000000000007" customHeight="1" x14ac:dyDescent="0.2">
      <c r="A496" s="43"/>
      <c r="B496" s="185"/>
      <c r="C496" s="185"/>
      <c r="D496" s="185"/>
      <c r="E496" s="185"/>
      <c r="F496" s="186"/>
      <c r="G496" s="252"/>
      <c r="H496" s="303"/>
      <c r="I496" s="306"/>
      <c r="J496" s="338"/>
      <c r="K496" s="165"/>
      <c r="L496" s="91"/>
      <c r="M496" s="92"/>
    </row>
    <row r="497" spans="1:13" s="45" customFormat="1" ht="8.5500000000000007" customHeight="1" x14ac:dyDescent="0.2">
      <c r="A497" s="43"/>
      <c r="B497" s="281" t="s">
        <v>508</v>
      </c>
      <c r="C497" s="281"/>
      <c r="D497" s="281"/>
      <c r="E497" s="281"/>
      <c r="F497" s="184"/>
      <c r="G497" s="251">
        <v>1989</v>
      </c>
      <c r="H497" s="304">
        <v>97</v>
      </c>
      <c r="I497" s="305"/>
      <c r="J497" s="302" t="s">
        <v>225</v>
      </c>
      <c r="K497" s="164">
        <v>1</v>
      </c>
      <c r="L497" s="91"/>
      <c r="M497" s="92"/>
    </row>
    <row r="498" spans="1:13" s="45" customFormat="1" ht="8.5500000000000007" customHeight="1" x14ac:dyDescent="0.2">
      <c r="A498" s="43"/>
      <c r="B498" s="185"/>
      <c r="C498" s="185"/>
      <c r="D498" s="185"/>
      <c r="E498" s="185"/>
      <c r="F498" s="186"/>
      <c r="G498" s="252"/>
      <c r="H498" s="303"/>
      <c r="I498" s="306"/>
      <c r="J498" s="338"/>
      <c r="K498" s="165"/>
      <c r="L498" s="91"/>
      <c r="M498" s="92"/>
    </row>
    <row r="499" spans="1:13" s="45" customFormat="1" ht="8.5500000000000007" customHeight="1" x14ac:dyDescent="0.2">
      <c r="A499" s="43"/>
      <c r="B499" s="281" t="s">
        <v>508</v>
      </c>
      <c r="C499" s="281"/>
      <c r="D499" s="281"/>
      <c r="E499" s="281"/>
      <c r="F499" s="184"/>
      <c r="G499" s="251">
        <v>1990</v>
      </c>
      <c r="H499" s="304">
        <v>98</v>
      </c>
      <c r="I499" s="305"/>
      <c r="J499" s="302" t="s">
        <v>259</v>
      </c>
      <c r="K499" s="164">
        <v>1</v>
      </c>
      <c r="L499" s="91"/>
      <c r="M499" s="92"/>
    </row>
    <row r="500" spans="1:13" s="45" customFormat="1" ht="8.5500000000000007" customHeight="1" x14ac:dyDescent="0.2">
      <c r="A500" s="43"/>
      <c r="B500" s="185"/>
      <c r="C500" s="185"/>
      <c r="D500" s="185"/>
      <c r="E500" s="185"/>
      <c r="F500" s="186"/>
      <c r="G500" s="252"/>
      <c r="H500" s="303"/>
      <c r="I500" s="306"/>
      <c r="J500" s="338"/>
      <c r="K500" s="165"/>
      <c r="L500" s="91"/>
      <c r="M500" s="92"/>
    </row>
    <row r="501" spans="1:13" s="45" customFormat="1" ht="8.5500000000000007" customHeight="1" x14ac:dyDescent="0.2">
      <c r="A501" s="43"/>
      <c r="B501" s="281" t="s">
        <v>508</v>
      </c>
      <c r="C501" s="281"/>
      <c r="D501" s="281"/>
      <c r="E501" s="281"/>
      <c r="F501" s="184"/>
      <c r="G501" s="251">
        <v>2001</v>
      </c>
      <c r="H501" s="304">
        <v>94</v>
      </c>
      <c r="I501" s="305"/>
      <c r="J501" s="302"/>
      <c r="K501" s="164">
        <v>1</v>
      </c>
      <c r="L501" s="91"/>
      <c r="M501" s="92"/>
    </row>
    <row r="502" spans="1:13" s="45" customFormat="1" ht="8.5500000000000007" customHeight="1" x14ac:dyDescent="0.2">
      <c r="A502" s="43"/>
      <c r="B502" s="185"/>
      <c r="C502" s="185"/>
      <c r="D502" s="185"/>
      <c r="E502" s="185"/>
      <c r="F502" s="186"/>
      <c r="G502" s="252"/>
      <c r="H502" s="303"/>
      <c r="I502" s="306"/>
      <c r="J502" s="338"/>
      <c r="K502" s="165"/>
      <c r="L502" s="91"/>
      <c r="M502" s="92"/>
    </row>
    <row r="503" spans="1:13" s="45" customFormat="1" ht="8.5500000000000007" customHeight="1" x14ac:dyDescent="0.2">
      <c r="A503" s="43"/>
      <c r="B503" s="281" t="s">
        <v>508</v>
      </c>
      <c r="C503" s="281"/>
      <c r="D503" s="281"/>
      <c r="E503" s="281"/>
      <c r="F503" s="184"/>
      <c r="G503" s="251">
        <v>2003</v>
      </c>
      <c r="H503" s="304">
        <v>91</v>
      </c>
      <c r="I503" s="305">
        <v>94</v>
      </c>
      <c r="J503" s="302" t="s">
        <v>121</v>
      </c>
      <c r="K503" s="164">
        <v>1</v>
      </c>
      <c r="L503" s="91"/>
      <c r="M503" s="92"/>
    </row>
    <row r="504" spans="1:13" s="45" customFormat="1" ht="8.5500000000000007" customHeight="1" x14ac:dyDescent="0.2">
      <c r="A504" s="43"/>
      <c r="B504" s="185"/>
      <c r="C504" s="185"/>
      <c r="D504" s="185"/>
      <c r="E504" s="185"/>
      <c r="F504" s="186"/>
      <c r="G504" s="252"/>
      <c r="H504" s="303"/>
      <c r="I504" s="306"/>
      <c r="J504" s="338"/>
      <c r="K504" s="165"/>
      <c r="L504" s="91"/>
      <c r="M504" s="92"/>
    </row>
    <row r="505" spans="1:13" s="45" customFormat="1" ht="8.5500000000000007" customHeight="1" x14ac:dyDescent="0.2">
      <c r="A505" s="43"/>
      <c r="B505" s="201" t="s">
        <v>1386</v>
      </c>
      <c r="C505" s="201"/>
      <c r="D505" s="201"/>
      <c r="E505" s="201"/>
      <c r="F505" s="157"/>
      <c r="G505" s="251">
        <v>1985</v>
      </c>
      <c r="H505" s="305"/>
      <c r="I505" s="305"/>
      <c r="J505" s="302"/>
      <c r="K505" s="164">
        <v>1</v>
      </c>
      <c r="L505" s="91"/>
      <c r="M505" s="92"/>
    </row>
    <row r="506" spans="1:13" s="45" customFormat="1" ht="8.5500000000000007" customHeight="1" x14ac:dyDescent="0.2">
      <c r="A506" s="43"/>
      <c r="B506" s="158"/>
      <c r="C506" s="158"/>
      <c r="D506" s="158"/>
      <c r="E506" s="158"/>
      <c r="F506" s="159"/>
      <c r="G506" s="252"/>
      <c r="H506" s="306"/>
      <c r="I506" s="306"/>
      <c r="J506" s="338"/>
      <c r="K506" s="165"/>
      <c r="L506" s="91"/>
      <c r="M506" s="92"/>
    </row>
    <row r="507" spans="1:13" s="45" customFormat="1" ht="8.5500000000000007" customHeight="1" x14ac:dyDescent="0.2">
      <c r="A507" s="43"/>
      <c r="B507" s="201" t="s">
        <v>1294</v>
      </c>
      <c r="C507" s="201"/>
      <c r="D507" s="201"/>
      <c r="E507" s="201"/>
      <c r="F507" s="157"/>
      <c r="G507" s="251">
        <v>1985</v>
      </c>
      <c r="H507" s="305"/>
      <c r="I507" s="305"/>
      <c r="J507" s="302"/>
      <c r="K507" s="164">
        <v>2</v>
      </c>
      <c r="L507" s="91"/>
      <c r="M507" s="92"/>
    </row>
    <row r="508" spans="1:13" s="45" customFormat="1" ht="8.5500000000000007" customHeight="1" x14ac:dyDescent="0.2">
      <c r="A508" s="43"/>
      <c r="B508" s="158"/>
      <c r="C508" s="158"/>
      <c r="D508" s="158"/>
      <c r="E508" s="158"/>
      <c r="F508" s="159"/>
      <c r="G508" s="252"/>
      <c r="H508" s="306"/>
      <c r="I508" s="306"/>
      <c r="J508" s="338"/>
      <c r="K508" s="165"/>
      <c r="L508" s="91"/>
      <c r="M508" s="92"/>
    </row>
    <row r="509" spans="1:13" s="45" customFormat="1" ht="8.5500000000000007" customHeight="1" x14ac:dyDescent="0.2">
      <c r="A509" s="43"/>
      <c r="B509" s="201" t="s">
        <v>1295</v>
      </c>
      <c r="C509" s="201"/>
      <c r="D509" s="201"/>
      <c r="E509" s="201"/>
      <c r="F509" s="157"/>
      <c r="G509" s="251">
        <v>1985</v>
      </c>
      <c r="H509" s="305"/>
      <c r="I509" s="305"/>
      <c r="J509" s="302"/>
      <c r="K509" s="164">
        <v>3</v>
      </c>
      <c r="L509" s="91"/>
      <c r="M509" s="92"/>
    </row>
    <row r="510" spans="1:13" s="45" customFormat="1" ht="8.5500000000000007" customHeight="1" x14ac:dyDescent="0.2">
      <c r="A510" s="43"/>
      <c r="B510" s="158"/>
      <c r="C510" s="158"/>
      <c r="D510" s="158"/>
      <c r="E510" s="158"/>
      <c r="F510" s="159"/>
      <c r="G510" s="252"/>
      <c r="H510" s="306"/>
      <c r="I510" s="306"/>
      <c r="J510" s="338"/>
      <c r="K510" s="165"/>
      <c r="L510" s="91"/>
      <c r="M510" s="92"/>
    </row>
    <row r="511" spans="1:13" s="45" customFormat="1" ht="8.5500000000000007" customHeight="1" x14ac:dyDescent="0.2">
      <c r="A511" s="43"/>
      <c r="B511" s="201" t="s">
        <v>1296</v>
      </c>
      <c r="C511" s="201"/>
      <c r="D511" s="201"/>
      <c r="E511" s="201"/>
      <c r="F511" s="157"/>
      <c r="G511" s="251">
        <v>1988</v>
      </c>
      <c r="H511" s="305"/>
      <c r="I511" s="305"/>
      <c r="J511" s="302"/>
      <c r="K511" s="164">
        <v>1</v>
      </c>
      <c r="L511" s="91"/>
      <c r="M511" s="92"/>
    </row>
    <row r="512" spans="1:13" s="45" customFormat="1" ht="8.5500000000000007" customHeight="1" x14ac:dyDescent="0.2">
      <c r="A512" s="43"/>
      <c r="B512" s="158"/>
      <c r="C512" s="158"/>
      <c r="D512" s="158"/>
      <c r="E512" s="158"/>
      <c r="F512" s="159"/>
      <c r="G512" s="252"/>
      <c r="H512" s="306"/>
      <c r="I512" s="306"/>
      <c r="J512" s="338"/>
      <c r="K512" s="165"/>
      <c r="L512" s="91"/>
      <c r="M512" s="92"/>
    </row>
    <row r="513" spans="1:13" s="45" customFormat="1" ht="8.5500000000000007" customHeight="1" x14ac:dyDescent="0.2">
      <c r="A513" s="43"/>
      <c r="B513" s="201" t="s">
        <v>1060</v>
      </c>
      <c r="C513" s="201"/>
      <c r="D513" s="201"/>
      <c r="E513" s="201"/>
      <c r="F513" s="157"/>
      <c r="G513" s="251">
        <v>1985</v>
      </c>
      <c r="H513" s="304"/>
      <c r="I513" s="305"/>
      <c r="J513" s="302"/>
      <c r="K513" s="164">
        <v>1</v>
      </c>
      <c r="L513" s="91"/>
      <c r="M513" s="92"/>
    </row>
    <row r="514" spans="1:13" s="45" customFormat="1" ht="8.5500000000000007" customHeight="1" x14ac:dyDescent="0.2">
      <c r="A514" s="43"/>
      <c r="B514" s="158"/>
      <c r="C514" s="158"/>
      <c r="D514" s="158"/>
      <c r="E514" s="158"/>
      <c r="F514" s="159"/>
      <c r="G514" s="252"/>
      <c r="H514" s="303"/>
      <c r="I514" s="306"/>
      <c r="J514" s="338"/>
      <c r="K514" s="165"/>
      <c r="L514" s="91"/>
      <c r="M514" s="92"/>
    </row>
    <row r="515" spans="1:13" s="45" customFormat="1" ht="8.5500000000000007" customHeight="1" x14ac:dyDescent="0.2">
      <c r="A515" s="43"/>
      <c r="B515" s="339" t="s">
        <v>817</v>
      </c>
      <c r="C515" s="339"/>
      <c r="D515" s="339"/>
      <c r="E515" s="339"/>
      <c r="F515" s="339"/>
      <c r="G515" s="79"/>
      <c r="H515" s="47"/>
      <c r="I515" s="48"/>
      <c r="J515" s="48"/>
      <c r="K515" s="164"/>
      <c r="L515" s="91"/>
      <c r="M515" s="92"/>
    </row>
    <row r="516" spans="1:13" s="45" customFormat="1" ht="8.5500000000000007" customHeight="1" x14ac:dyDescent="0.2">
      <c r="A516" s="43"/>
      <c r="B516" s="340"/>
      <c r="C516" s="340"/>
      <c r="D516" s="340"/>
      <c r="E516" s="340"/>
      <c r="F516" s="340"/>
      <c r="G516" s="80"/>
      <c r="H516" s="54"/>
      <c r="I516" s="49"/>
      <c r="J516" s="49"/>
      <c r="K516" s="165"/>
      <c r="L516" s="91"/>
      <c r="M516" s="92"/>
    </row>
    <row r="517" spans="1:13" s="45" customFormat="1" ht="8.5500000000000007" customHeight="1" x14ac:dyDescent="0.2">
      <c r="A517" s="43"/>
      <c r="B517" s="201" t="s">
        <v>1060</v>
      </c>
      <c r="C517" s="201"/>
      <c r="D517" s="201"/>
      <c r="E517" s="201"/>
      <c r="F517" s="157"/>
      <c r="G517" s="251">
        <v>2010</v>
      </c>
      <c r="H517" s="304" t="s">
        <v>1146</v>
      </c>
      <c r="I517" s="305"/>
      <c r="J517" s="302" t="s">
        <v>1147</v>
      </c>
      <c r="K517" s="164">
        <v>1</v>
      </c>
      <c r="L517" s="91"/>
      <c r="M517" s="92"/>
    </row>
    <row r="518" spans="1:13" s="45" customFormat="1" ht="8.5500000000000007" customHeight="1" x14ac:dyDescent="0.2">
      <c r="A518" s="43"/>
      <c r="B518" s="158"/>
      <c r="C518" s="158"/>
      <c r="D518" s="158"/>
      <c r="E518" s="158"/>
      <c r="F518" s="159"/>
      <c r="G518" s="252"/>
      <c r="H518" s="303"/>
      <c r="I518" s="306"/>
      <c r="J518" s="338"/>
      <c r="K518" s="165"/>
      <c r="L518" s="91"/>
      <c r="M518" s="92"/>
    </row>
    <row r="519" spans="1:13" s="45" customFormat="1" ht="8.5500000000000007" customHeight="1" x14ac:dyDescent="0.2">
      <c r="A519" s="43"/>
      <c r="B519" s="201" t="s">
        <v>1088</v>
      </c>
      <c r="C519" s="201"/>
      <c r="D519" s="201"/>
      <c r="E519" s="201"/>
      <c r="F519" s="157"/>
      <c r="G519" s="251">
        <v>1997</v>
      </c>
      <c r="H519" s="304">
        <v>97</v>
      </c>
      <c r="I519" s="305"/>
      <c r="J519" s="302" t="s">
        <v>1148</v>
      </c>
      <c r="K519" s="164">
        <v>1</v>
      </c>
      <c r="L519" s="91"/>
      <c r="M519" s="92"/>
    </row>
    <row r="520" spans="1:13" s="45" customFormat="1" ht="8.5500000000000007" customHeight="1" x14ac:dyDescent="0.2">
      <c r="A520" s="43"/>
      <c r="B520" s="158"/>
      <c r="C520" s="158"/>
      <c r="D520" s="158"/>
      <c r="E520" s="158"/>
      <c r="F520" s="159"/>
      <c r="G520" s="252"/>
      <c r="H520" s="303"/>
      <c r="I520" s="306"/>
      <c r="J520" s="338"/>
      <c r="K520" s="165"/>
      <c r="L520" s="91"/>
      <c r="M520" s="92"/>
    </row>
    <row r="521" spans="1:13" s="45" customFormat="1" ht="8.5500000000000007" customHeight="1" x14ac:dyDescent="0.2">
      <c r="A521" s="43"/>
      <c r="B521" s="201" t="s">
        <v>1773</v>
      </c>
      <c r="C521" s="201"/>
      <c r="D521" s="201"/>
      <c r="E521" s="201"/>
      <c r="F521" s="157"/>
      <c r="G521" s="251">
        <v>2020</v>
      </c>
      <c r="H521" s="304">
        <v>90</v>
      </c>
      <c r="I521" s="305"/>
      <c r="J521" s="302" t="s">
        <v>1868</v>
      </c>
      <c r="K521" s="164">
        <v>3</v>
      </c>
      <c r="L521" s="91"/>
      <c r="M521" s="92"/>
    </row>
    <row r="522" spans="1:13" s="45" customFormat="1" ht="8.5500000000000007" customHeight="1" x14ac:dyDescent="0.2">
      <c r="A522" s="43"/>
      <c r="B522" s="158"/>
      <c r="C522" s="158"/>
      <c r="D522" s="158"/>
      <c r="E522" s="158"/>
      <c r="F522" s="159"/>
      <c r="G522" s="252"/>
      <c r="H522" s="303"/>
      <c r="I522" s="306"/>
      <c r="J522" s="338"/>
      <c r="K522" s="165"/>
      <c r="L522" s="91"/>
      <c r="M522" s="92"/>
    </row>
    <row r="523" spans="1:13" s="45" customFormat="1" ht="8.5500000000000007" customHeight="1" x14ac:dyDescent="0.2">
      <c r="A523" s="43"/>
      <c r="B523" s="201" t="s">
        <v>1791</v>
      </c>
      <c r="C523" s="201"/>
      <c r="D523" s="201"/>
      <c r="E523" s="201"/>
      <c r="F523" s="157"/>
      <c r="G523" s="251">
        <v>2018</v>
      </c>
      <c r="H523" s="304">
        <v>90</v>
      </c>
      <c r="I523" s="305"/>
      <c r="J523" s="302" t="s">
        <v>1784</v>
      </c>
      <c r="K523" s="164">
        <v>2</v>
      </c>
      <c r="L523" s="91"/>
      <c r="M523" s="92"/>
    </row>
    <row r="524" spans="1:13" s="45" customFormat="1" ht="8.5500000000000007" customHeight="1" x14ac:dyDescent="0.2">
      <c r="A524" s="43"/>
      <c r="B524" s="158"/>
      <c r="C524" s="158"/>
      <c r="D524" s="158"/>
      <c r="E524" s="158"/>
      <c r="F524" s="159"/>
      <c r="G524" s="252"/>
      <c r="H524" s="303"/>
      <c r="I524" s="306"/>
      <c r="J524" s="338"/>
      <c r="K524" s="165"/>
      <c r="L524" s="91"/>
      <c r="M524" s="92"/>
    </row>
    <row r="525" spans="1:13" s="45" customFormat="1" ht="8.5500000000000007" customHeight="1" x14ac:dyDescent="0.2">
      <c r="A525" s="43"/>
      <c r="B525" s="201" t="s">
        <v>503</v>
      </c>
      <c r="C525" s="201"/>
      <c r="D525" s="201"/>
      <c r="E525" s="201"/>
      <c r="F525" s="157"/>
      <c r="G525" s="251">
        <v>2005</v>
      </c>
      <c r="H525" s="304">
        <v>95</v>
      </c>
      <c r="I525" s="305">
        <v>95</v>
      </c>
      <c r="J525" s="302" t="s">
        <v>263</v>
      </c>
      <c r="K525" s="164">
        <v>1</v>
      </c>
      <c r="L525" s="91"/>
      <c r="M525" s="92"/>
    </row>
    <row r="526" spans="1:13" s="45" customFormat="1" ht="8.5500000000000007" customHeight="1" x14ac:dyDescent="0.2">
      <c r="A526" s="43"/>
      <c r="B526" s="158"/>
      <c r="C526" s="158"/>
      <c r="D526" s="158"/>
      <c r="E526" s="158"/>
      <c r="F526" s="159"/>
      <c r="G526" s="252"/>
      <c r="H526" s="303"/>
      <c r="I526" s="306"/>
      <c r="J526" s="338"/>
      <c r="K526" s="165"/>
      <c r="L526" s="91"/>
      <c r="M526" s="92"/>
    </row>
    <row r="527" spans="1:13" s="45" customFormat="1" ht="8.5500000000000007" customHeight="1" x14ac:dyDescent="0.2">
      <c r="A527" s="43"/>
      <c r="B527" s="201" t="s">
        <v>1983</v>
      </c>
      <c r="C527" s="201"/>
      <c r="D527" s="201"/>
      <c r="E527" s="201"/>
      <c r="F527" s="157"/>
      <c r="G527" s="251">
        <v>2022</v>
      </c>
      <c r="H527" s="304"/>
      <c r="I527" s="305"/>
      <c r="J527" s="302"/>
      <c r="K527" s="164">
        <v>2</v>
      </c>
      <c r="L527" s="91"/>
      <c r="M527" s="92"/>
    </row>
    <row r="528" spans="1:13" s="45" customFormat="1" ht="8.5500000000000007" customHeight="1" x14ac:dyDescent="0.2">
      <c r="A528" s="43"/>
      <c r="B528" s="158"/>
      <c r="C528" s="158"/>
      <c r="D528" s="158"/>
      <c r="E528" s="158"/>
      <c r="F528" s="159"/>
      <c r="G528" s="252"/>
      <c r="H528" s="303"/>
      <c r="I528" s="306"/>
      <c r="J528" s="338"/>
      <c r="K528" s="165"/>
      <c r="L528" s="91"/>
      <c r="M528" s="92"/>
    </row>
    <row r="529" spans="1:13" s="45" customFormat="1" ht="8.5500000000000007" customHeight="1" x14ac:dyDescent="0.2">
      <c r="A529" s="43"/>
      <c r="B529" s="201" t="s">
        <v>1958</v>
      </c>
      <c r="C529" s="201"/>
      <c r="D529" s="201"/>
      <c r="E529" s="201"/>
      <c r="F529" s="157"/>
      <c r="G529" s="251">
        <v>2022</v>
      </c>
      <c r="H529" s="304"/>
      <c r="I529" s="305"/>
      <c r="J529" s="302"/>
      <c r="K529" s="164">
        <v>2</v>
      </c>
      <c r="L529" s="91"/>
      <c r="M529" s="92"/>
    </row>
    <row r="530" spans="1:13" s="45" customFormat="1" ht="8.5500000000000007" customHeight="1" x14ac:dyDescent="0.2">
      <c r="A530" s="43"/>
      <c r="B530" s="158"/>
      <c r="C530" s="158"/>
      <c r="D530" s="158"/>
      <c r="E530" s="158"/>
      <c r="F530" s="159"/>
      <c r="G530" s="252"/>
      <c r="H530" s="303"/>
      <c r="I530" s="306"/>
      <c r="J530" s="338"/>
      <c r="K530" s="165"/>
      <c r="L530" s="91"/>
      <c r="M530" s="92"/>
    </row>
    <row r="531" spans="1:13" s="45" customFormat="1" ht="8.5500000000000007" customHeight="1" x14ac:dyDescent="0.2">
      <c r="A531" s="43"/>
      <c r="B531" s="201" t="s">
        <v>1959</v>
      </c>
      <c r="C531" s="201"/>
      <c r="D531" s="201"/>
      <c r="E531" s="201"/>
      <c r="F531" s="157"/>
      <c r="G531" s="251">
        <v>2023</v>
      </c>
      <c r="H531" s="304"/>
      <c r="I531" s="305"/>
      <c r="J531" s="302"/>
      <c r="K531" s="164">
        <v>1</v>
      </c>
      <c r="L531" s="91"/>
      <c r="M531" s="92"/>
    </row>
    <row r="532" spans="1:13" s="45" customFormat="1" ht="8.5500000000000007" customHeight="1" x14ac:dyDescent="0.2">
      <c r="A532" s="43"/>
      <c r="B532" s="158"/>
      <c r="C532" s="158"/>
      <c r="D532" s="158"/>
      <c r="E532" s="158"/>
      <c r="F532" s="159"/>
      <c r="G532" s="252"/>
      <c r="H532" s="303"/>
      <c r="I532" s="306"/>
      <c r="J532" s="338"/>
      <c r="K532" s="165"/>
      <c r="L532" s="91"/>
      <c r="M532" s="92"/>
    </row>
    <row r="533" spans="1:13" s="45" customFormat="1" ht="8.5500000000000007" customHeight="1" x14ac:dyDescent="0.2">
      <c r="A533" s="43"/>
      <c r="B533" s="201" t="s">
        <v>1953</v>
      </c>
      <c r="C533" s="201"/>
      <c r="D533" s="201"/>
      <c r="E533" s="201"/>
      <c r="F533" s="157"/>
      <c r="G533" s="251">
        <v>2023</v>
      </c>
      <c r="H533" s="304"/>
      <c r="I533" s="305"/>
      <c r="J533" s="302"/>
      <c r="K533" s="164">
        <v>2</v>
      </c>
      <c r="L533" s="91"/>
      <c r="M533" s="92"/>
    </row>
    <row r="534" spans="1:13" s="45" customFormat="1" ht="8.5500000000000007" customHeight="1" x14ac:dyDescent="0.2">
      <c r="A534" s="43"/>
      <c r="B534" s="158"/>
      <c r="C534" s="158"/>
      <c r="D534" s="158"/>
      <c r="E534" s="158"/>
      <c r="F534" s="159"/>
      <c r="G534" s="252"/>
      <c r="H534" s="303"/>
      <c r="I534" s="306"/>
      <c r="J534" s="338"/>
      <c r="K534" s="165"/>
      <c r="L534" s="91"/>
      <c r="M534" s="92"/>
    </row>
    <row r="535" spans="1:13" s="45" customFormat="1" ht="8.5500000000000007" customHeight="1" x14ac:dyDescent="0.2">
      <c r="A535" s="43"/>
      <c r="B535" s="201" t="s">
        <v>1954</v>
      </c>
      <c r="C535" s="201"/>
      <c r="D535" s="201"/>
      <c r="E535" s="201"/>
      <c r="F535" s="157"/>
      <c r="G535" s="251">
        <v>2023</v>
      </c>
      <c r="H535" s="304"/>
      <c r="I535" s="305"/>
      <c r="J535" s="302"/>
      <c r="K535" s="164">
        <v>2</v>
      </c>
      <c r="L535" s="91"/>
      <c r="M535" s="92"/>
    </row>
    <row r="536" spans="1:13" s="45" customFormat="1" ht="8.5500000000000007" customHeight="1" x14ac:dyDescent="0.2">
      <c r="A536" s="43"/>
      <c r="B536" s="158"/>
      <c r="C536" s="158"/>
      <c r="D536" s="158"/>
      <c r="E536" s="158"/>
      <c r="F536" s="159"/>
      <c r="G536" s="252"/>
      <c r="H536" s="303"/>
      <c r="I536" s="306"/>
      <c r="J536" s="338"/>
      <c r="K536" s="165"/>
      <c r="L536" s="91"/>
      <c r="M536" s="92"/>
    </row>
    <row r="537" spans="1:13" s="45" customFormat="1" ht="8.5500000000000007" customHeight="1" x14ac:dyDescent="0.2">
      <c r="A537" s="43"/>
      <c r="B537" s="201" t="s">
        <v>2000</v>
      </c>
      <c r="C537" s="201"/>
      <c r="D537" s="201"/>
      <c r="E537" s="201"/>
      <c r="F537" s="157"/>
      <c r="G537" s="251">
        <v>2010</v>
      </c>
      <c r="H537" s="304"/>
      <c r="I537" s="305"/>
      <c r="J537" s="302"/>
      <c r="K537" s="164">
        <v>2</v>
      </c>
      <c r="L537" s="91"/>
      <c r="M537" s="92"/>
    </row>
    <row r="538" spans="1:13" s="45" customFormat="1" ht="8.5500000000000007" customHeight="1" x14ac:dyDescent="0.2">
      <c r="A538" s="43"/>
      <c r="B538" s="158"/>
      <c r="C538" s="158"/>
      <c r="D538" s="158"/>
      <c r="E538" s="158"/>
      <c r="F538" s="159"/>
      <c r="G538" s="252"/>
      <c r="H538" s="303"/>
      <c r="I538" s="306"/>
      <c r="J538" s="338"/>
      <c r="K538" s="165"/>
      <c r="L538" s="91"/>
      <c r="M538" s="92"/>
    </row>
    <row r="539" spans="1:13" s="45" customFormat="1" ht="8.5500000000000007" customHeight="1" x14ac:dyDescent="0.2">
      <c r="A539" s="43"/>
      <c r="B539" s="201" t="s">
        <v>2000</v>
      </c>
      <c r="C539" s="201"/>
      <c r="D539" s="201"/>
      <c r="E539" s="201"/>
      <c r="F539" s="157"/>
      <c r="G539" s="251">
        <v>2016</v>
      </c>
      <c r="H539" s="304"/>
      <c r="I539" s="305"/>
      <c r="J539" s="302"/>
      <c r="K539" s="164">
        <v>2</v>
      </c>
      <c r="L539" s="91"/>
      <c r="M539" s="92"/>
    </row>
    <row r="540" spans="1:13" s="45" customFormat="1" ht="8.5500000000000007" customHeight="1" x14ac:dyDescent="0.2">
      <c r="A540" s="43"/>
      <c r="B540" s="158"/>
      <c r="C540" s="158"/>
      <c r="D540" s="158"/>
      <c r="E540" s="158"/>
      <c r="F540" s="159"/>
      <c r="G540" s="252"/>
      <c r="H540" s="303"/>
      <c r="I540" s="306"/>
      <c r="J540" s="338"/>
      <c r="K540" s="165"/>
      <c r="L540" s="91"/>
      <c r="M540" s="92"/>
    </row>
    <row r="541" spans="1:13" s="45" customFormat="1" ht="8.5500000000000007" customHeight="1" x14ac:dyDescent="0.2">
      <c r="A541" s="43"/>
      <c r="B541" s="201" t="s">
        <v>2000</v>
      </c>
      <c r="C541" s="201"/>
      <c r="D541" s="201"/>
      <c r="E541" s="201"/>
      <c r="F541" s="157"/>
      <c r="G541" s="251">
        <v>2019</v>
      </c>
      <c r="H541" s="304"/>
      <c r="I541" s="305"/>
      <c r="J541" s="302"/>
      <c r="K541" s="164">
        <v>2</v>
      </c>
      <c r="L541" s="91"/>
      <c r="M541" s="92"/>
    </row>
    <row r="542" spans="1:13" s="45" customFormat="1" ht="8.5500000000000007" customHeight="1" x14ac:dyDescent="0.2">
      <c r="A542" s="43"/>
      <c r="B542" s="158"/>
      <c r="C542" s="158"/>
      <c r="D542" s="158"/>
      <c r="E542" s="158"/>
      <c r="F542" s="159"/>
      <c r="G542" s="252"/>
      <c r="H542" s="303"/>
      <c r="I542" s="306"/>
      <c r="J542" s="338"/>
      <c r="K542" s="165"/>
      <c r="L542" s="91"/>
      <c r="M542" s="92"/>
    </row>
    <row r="543" spans="1:13" s="45" customFormat="1" ht="8.5500000000000007" customHeight="1" x14ac:dyDescent="0.2">
      <c r="A543" s="43"/>
      <c r="B543" s="201" t="s">
        <v>2001</v>
      </c>
      <c r="C543" s="201"/>
      <c r="D543" s="201"/>
      <c r="E543" s="201"/>
      <c r="F543" s="157"/>
      <c r="G543" s="251">
        <v>2010</v>
      </c>
      <c r="H543" s="304"/>
      <c r="I543" s="305"/>
      <c r="J543" s="302"/>
      <c r="K543" s="164">
        <v>2</v>
      </c>
      <c r="L543" s="91"/>
      <c r="M543" s="92"/>
    </row>
    <row r="544" spans="1:13" s="45" customFormat="1" ht="8.5500000000000007" customHeight="1" x14ac:dyDescent="0.2">
      <c r="A544" s="43"/>
      <c r="B544" s="158"/>
      <c r="C544" s="158"/>
      <c r="D544" s="158"/>
      <c r="E544" s="158"/>
      <c r="F544" s="159"/>
      <c r="G544" s="252"/>
      <c r="H544" s="303"/>
      <c r="I544" s="306"/>
      <c r="J544" s="338"/>
      <c r="K544" s="165"/>
      <c r="L544" s="91"/>
      <c r="M544" s="92"/>
    </row>
    <row r="545" spans="1:13" s="45" customFormat="1" ht="8.5500000000000007" customHeight="1" x14ac:dyDescent="0.2">
      <c r="A545" s="43"/>
      <c r="B545" s="201" t="s">
        <v>2001</v>
      </c>
      <c r="C545" s="201"/>
      <c r="D545" s="201"/>
      <c r="E545" s="201"/>
      <c r="F545" s="157"/>
      <c r="G545" s="251">
        <v>2016</v>
      </c>
      <c r="H545" s="304"/>
      <c r="I545" s="305"/>
      <c r="J545" s="302"/>
      <c r="K545" s="164">
        <v>2</v>
      </c>
      <c r="L545" s="91"/>
      <c r="M545" s="92"/>
    </row>
    <row r="546" spans="1:13" s="45" customFormat="1" ht="8.5500000000000007" customHeight="1" x14ac:dyDescent="0.2">
      <c r="A546" s="43"/>
      <c r="B546" s="158"/>
      <c r="C546" s="158"/>
      <c r="D546" s="158"/>
      <c r="E546" s="158"/>
      <c r="F546" s="159"/>
      <c r="G546" s="252"/>
      <c r="H546" s="303"/>
      <c r="I546" s="306"/>
      <c r="J546" s="338"/>
      <c r="K546" s="165"/>
      <c r="L546" s="91"/>
      <c r="M546" s="92"/>
    </row>
    <row r="547" spans="1:13" s="45" customFormat="1" ht="8.5500000000000007" customHeight="1" x14ac:dyDescent="0.2">
      <c r="A547" s="43"/>
      <c r="B547" s="201" t="s">
        <v>2001</v>
      </c>
      <c r="C547" s="201"/>
      <c r="D547" s="201"/>
      <c r="E547" s="201"/>
      <c r="F547" s="157"/>
      <c r="G547" s="251">
        <v>2019</v>
      </c>
      <c r="H547" s="304"/>
      <c r="I547" s="305"/>
      <c r="J547" s="302"/>
      <c r="K547" s="164">
        <v>2</v>
      </c>
      <c r="L547" s="91"/>
      <c r="M547" s="92"/>
    </row>
    <row r="548" spans="1:13" s="45" customFormat="1" ht="8.5500000000000007" customHeight="1" x14ac:dyDescent="0.2">
      <c r="A548" s="43"/>
      <c r="B548" s="158"/>
      <c r="C548" s="158"/>
      <c r="D548" s="158"/>
      <c r="E548" s="158"/>
      <c r="F548" s="159"/>
      <c r="G548" s="252"/>
      <c r="H548" s="303"/>
      <c r="I548" s="306"/>
      <c r="J548" s="338"/>
      <c r="K548" s="165"/>
      <c r="L548" s="91"/>
      <c r="M548" s="92"/>
    </row>
    <row r="549" spans="1:13" s="45" customFormat="1" ht="8.5500000000000007" customHeight="1" x14ac:dyDescent="0.2">
      <c r="A549" s="43"/>
      <c r="B549" s="213" t="s">
        <v>818</v>
      </c>
      <c r="C549" s="213"/>
      <c r="D549" s="213"/>
      <c r="E549" s="213"/>
      <c r="F549" s="213"/>
      <c r="G549" s="47"/>
      <c r="H549" s="47"/>
      <c r="I549" s="48"/>
      <c r="J549" s="48"/>
      <c r="K549" s="236">
        <v>110</v>
      </c>
      <c r="L549" s="290">
        <f>+K549</f>
        <v>110</v>
      </c>
      <c r="M549" s="92"/>
    </row>
    <row r="550" spans="1:13" s="45" customFormat="1" ht="8.5500000000000007" customHeight="1" x14ac:dyDescent="0.2">
      <c r="A550" s="43"/>
      <c r="B550" s="171"/>
      <c r="C550" s="171"/>
      <c r="D550" s="171"/>
      <c r="E550" s="171"/>
      <c r="F550" s="171"/>
      <c r="G550" s="54"/>
      <c r="H550" s="54"/>
      <c r="I550" s="49"/>
      <c r="J550" s="49"/>
      <c r="K550" s="225"/>
      <c r="L550" s="231"/>
      <c r="M550" s="92"/>
    </row>
    <row r="551" spans="1:13" s="45" customFormat="1" ht="8.5500000000000007" customHeight="1" x14ac:dyDescent="0.2">
      <c r="A551" s="43"/>
      <c r="B551" s="213" t="s">
        <v>819</v>
      </c>
      <c r="C551" s="213"/>
      <c r="D551" s="213"/>
      <c r="E551" s="213"/>
      <c r="F551" s="213"/>
      <c r="G551" s="47"/>
      <c r="H551" s="47"/>
      <c r="I551" s="48"/>
      <c r="J551" s="48"/>
      <c r="K551" s="236">
        <v>435</v>
      </c>
      <c r="L551" s="367"/>
      <c r="M551" s="336">
        <f>+K551</f>
        <v>435</v>
      </c>
    </row>
    <row r="552" spans="1:13" s="45" customFormat="1" ht="8.5500000000000007" customHeight="1" x14ac:dyDescent="0.2">
      <c r="A552" s="43"/>
      <c r="B552" s="171"/>
      <c r="C552" s="171"/>
      <c r="D552" s="171"/>
      <c r="E552" s="171"/>
      <c r="F552" s="171"/>
      <c r="G552" s="54"/>
      <c r="H552" s="54"/>
      <c r="I552" s="49"/>
      <c r="J552" s="49"/>
      <c r="K552" s="225"/>
      <c r="L552" s="368"/>
      <c r="M552" s="337"/>
    </row>
    <row r="553" spans="1:13" s="45" customFormat="1" ht="8.5500000000000007" customHeight="1" x14ac:dyDescent="0.2">
      <c r="A553" s="43"/>
      <c r="B553" s="357" t="s">
        <v>820</v>
      </c>
      <c r="C553" s="357"/>
      <c r="D553" s="357"/>
      <c r="E553" s="357"/>
      <c r="F553" s="357"/>
      <c r="G553" s="47"/>
      <c r="H553" s="47"/>
      <c r="I553" s="362"/>
      <c r="J553" s="48"/>
      <c r="K553" s="164"/>
      <c r="L553" s="91"/>
      <c r="M553" s="92"/>
    </row>
    <row r="554" spans="1:13" s="45" customFormat="1" ht="8.5500000000000007" customHeight="1" x14ac:dyDescent="0.2">
      <c r="A554" s="43"/>
      <c r="B554" s="358"/>
      <c r="C554" s="358"/>
      <c r="D554" s="358"/>
      <c r="E554" s="358"/>
      <c r="F554" s="358"/>
      <c r="G554" s="54"/>
      <c r="H554" s="54"/>
      <c r="I554" s="363"/>
      <c r="J554" s="49"/>
      <c r="K554" s="165"/>
      <c r="L554" s="91"/>
      <c r="M554" s="92"/>
    </row>
    <row r="555" spans="1:13" s="45" customFormat="1" ht="8.5500000000000007" customHeight="1" x14ac:dyDescent="0.2">
      <c r="A555" s="43"/>
      <c r="B555" s="339" t="s">
        <v>821</v>
      </c>
      <c r="C555" s="339"/>
      <c r="D555" s="339"/>
      <c r="E555" s="339"/>
      <c r="F555" s="339"/>
      <c r="G555" s="47"/>
      <c r="H555" s="47"/>
      <c r="I555" s="362"/>
      <c r="J555" s="48"/>
      <c r="K555" s="164"/>
      <c r="L555" s="91"/>
      <c r="M555" s="92"/>
    </row>
    <row r="556" spans="1:13" s="45" customFormat="1" ht="8.5500000000000007" customHeight="1" x14ac:dyDescent="0.2">
      <c r="A556" s="43"/>
      <c r="B556" s="340"/>
      <c r="C556" s="340"/>
      <c r="D556" s="340"/>
      <c r="E556" s="340"/>
      <c r="F556" s="340"/>
      <c r="G556" s="54"/>
      <c r="H556" s="54"/>
      <c r="I556" s="363"/>
      <c r="J556" s="49"/>
      <c r="K556" s="165"/>
      <c r="L556" s="91"/>
      <c r="M556" s="92"/>
    </row>
    <row r="557" spans="1:13" s="45" customFormat="1" ht="8.5500000000000007" customHeight="1" x14ac:dyDescent="0.2">
      <c r="A557" s="43"/>
      <c r="B557" s="201" t="s">
        <v>729</v>
      </c>
      <c r="C557" s="201"/>
      <c r="D557" s="201"/>
      <c r="E557" s="201"/>
      <c r="F557" s="157"/>
      <c r="G557" s="251">
        <v>1991</v>
      </c>
      <c r="H557" s="304">
        <v>94</v>
      </c>
      <c r="I557" s="305"/>
      <c r="J557" s="302"/>
      <c r="K557" s="164">
        <v>2</v>
      </c>
      <c r="L557" s="91"/>
      <c r="M557" s="92"/>
    </row>
    <row r="558" spans="1:13" s="45" customFormat="1" ht="8.5500000000000007" customHeight="1" x14ac:dyDescent="0.2">
      <c r="A558" s="43"/>
      <c r="B558" s="158"/>
      <c r="C558" s="158"/>
      <c r="D558" s="158"/>
      <c r="E558" s="158"/>
      <c r="F558" s="159"/>
      <c r="G558" s="252"/>
      <c r="H558" s="303"/>
      <c r="I558" s="306"/>
      <c r="J558" s="338"/>
      <c r="K558" s="165"/>
      <c r="L558" s="91"/>
      <c r="M558" s="92"/>
    </row>
    <row r="559" spans="1:13" s="45" customFormat="1" ht="8.5500000000000007" customHeight="1" x14ac:dyDescent="0.2">
      <c r="A559" s="43"/>
      <c r="B559" s="201" t="s">
        <v>729</v>
      </c>
      <c r="C559" s="201"/>
      <c r="D559" s="201"/>
      <c r="E559" s="201"/>
      <c r="F559" s="157"/>
      <c r="G559" s="251">
        <v>1995</v>
      </c>
      <c r="H559" s="304">
        <v>98</v>
      </c>
      <c r="I559" s="305"/>
      <c r="J559" s="302" t="s">
        <v>839</v>
      </c>
      <c r="K559" s="164">
        <v>1</v>
      </c>
      <c r="L559" s="91"/>
      <c r="M559" s="92"/>
    </row>
    <row r="560" spans="1:13" s="45" customFormat="1" ht="8.5500000000000007" customHeight="1" x14ac:dyDescent="0.2">
      <c r="A560" s="43"/>
      <c r="B560" s="158"/>
      <c r="C560" s="158"/>
      <c r="D560" s="158"/>
      <c r="E560" s="158"/>
      <c r="F560" s="159"/>
      <c r="G560" s="252"/>
      <c r="H560" s="303"/>
      <c r="I560" s="306"/>
      <c r="J560" s="338"/>
      <c r="K560" s="165"/>
      <c r="L560" s="91"/>
      <c r="M560" s="92"/>
    </row>
    <row r="561" spans="1:13" s="45" customFormat="1" ht="8.5500000000000007" customHeight="1" x14ac:dyDescent="0.2">
      <c r="A561" s="43"/>
      <c r="B561" s="201" t="s">
        <v>729</v>
      </c>
      <c r="C561" s="201"/>
      <c r="D561" s="201"/>
      <c r="E561" s="201"/>
      <c r="F561" s="157"/>
      <c r="G561" s="251">
        <v>1996</v>
      </c>
      <c r="H561" s="304">
        <v>87</v>
      </c>
      <c r="I561" s="305"/>
      <c r="J561" s="302"/>
      <c r="K561" s="164">
        <v>1</v>
      </c>
      <c r="L561" s="91"/>
      <c r="M561" s="92"/>
    </row>
    <row r="562" spans="1:13" s="45" customFormat="1" ht="8.5500000000000007" customHeight="1" x14ac:dyDescent="0.2">
      <c r="A562" s="43"/>
      <c r="B562" s="158"/>
      <c r="C562" s="158"/>
      <c r="D562" s="158"/>
      <c r="E562" s="158"/>
      <c r="F562" s="159"/>
      <c r="G562" s="252"/>
      <c r="H562" s="303"/>
      <c r="I562" s="306"/>
      <c r="J562" s="338"/>
      <c r="K562" s="165"/>
      <c r="L562" s="91"/>
      <c r="M562" s="92"/>
    </row>
    <row r="563" spans="1:13" s="45" customFormat="1" ht="8.5500000000000007" customHeight="1" x14ac:dyDescent="0.2">
      <c r="A563" s="43"/>
      <c r="B563" s="201" t="s">
        <v>729</v>
      </c>
      <c r="C563" s="201"/>
      <c r="D563" s="201"/>
      <c r="E563" s="201"/>
      <c r="F563" s="157"/>
      <c r="G563" s="251">
        <v>1997</v>
      </c>
      <c r="H563" s="304">
        <v>93</v>
      </c>
      <c r="I563" s="305"/>
      <c r="J563" s="305"/>
      <c r="K563" s="164">
        <v>2</v>
      </c>
      <c r="L563" s="91"/>
      <c r="M563" s="92"/>
    </row>
    <row r="564" spans="1:13" s="45" customFormat="1" ht="8.5500000000000007" customHeight="1" x14ac:dyDescent="0.2">
      <c r="A564" s="43"/>
      <c r="B564" s="158"/>
      <c r="C564" s="158"/>
      <c r="D564" s="158"/>
      <c r="E564" s="158"/>
      <c r="F564" s="159"/>
      <c r="G564" s="252"/>
      <c r="H564" s="303"/>
      <c r="I564" s="306"/>
      <c r="J564" s="306"/>
      <c r="K564" s="165"/>
      <c r="L564" s="91"/>
      <c r="M564" s="92"/>
    </row>
    <row r="565" spans="1:13" s="45" customFormat="1" ht="8.5500000000000007" customHeight="1" x14ac:dyDescent="0.2">
      <c r="A565" s="43"/>
      <c r="B565" s="201" t="s">
        <v>729</v>
      </c>
      <c r="C565" s="201"/>
      <c r="D565" s="201"/>
      <c r="E565" s="201"/>
      <c r="F565" s="157"/>
      <c r="G565" s="251">
        <v>1998</v>
      </c>
      <c r="H565" s="304">
        <v>94</v>
      </c>
      <c r="I565" s="305"/>
      <c r="J565" s="302" t="s">
        <v>256</v>
      </c>
      <c r="K565" s="164">
        <v>2</v>
      </c>
      <c r="L565" s="91"/>
      <c r="M565" s="92"/>
    </row>
    <row r="566" spans="1:13" s="45" customFormat="1" ht="8.5500000000000007" customHeight="1" x14ac:dyDescent="0.2">
      <c r="A566" s="43"/>
      <c r="B566" s="158"/>
      <c r="C566" s="158"/>
      <c r="D566" s="158"/>
      <c r="E566" s="158"/>
      <c r="F566" s="159"/>
      <c r="G566" s="252"/>
      <c r="H566" s="303"/>
      <c r="I566" s="306"/>
      <c r="J566" s="338"/>
      <c r="K566" s="165"/>
      <c r="L566" s="91"/>
      <c r="M566" s="92"/>
    </row>
    <row r="567" spans="1:13" s="45" customFormat="1" ht="8.5500000000000007" customHeight="1" x14ac:dyDescent="0.2">
      <c r="A567" s="43"/>
      <c r="B567" s="201" t="s">
        <v>729</v>
      </c>
      <c r="C567" s="201"/>
      <c r="D567" s="201"/>
      <c r="E567" s="201"/>
      <c r="F567" s="157"/>
      <c r="G567" s="251">
        <v>1999</v>
      </c>
      <c r="H567" s="304">
        <v>95</v>
      </c>
      <c r="I567" s="305">
        <v>91</v>
      </c>
      <c r="J567" s="302" t="s">
        <v>96</v>
      </c>
      <c r="K567" s="164">
        <v>3</v>
      </c>
      <c r="L567" s="91"/>
      <c r="M567" s="92"/>
    </row>
    <row r="568" spans="1:13" s="45" customFormat="1" ht="8.5500000000000007" customHeight="1" x14ac:dyDescent="0.2">
      <c r="A568" s="43"/>
      <c r="B568" s="158"/>
      <c r="C568" s="158"/>
      <c r="D568" s="158"/>
      <c r="E568" s="158"/>
      <c r="F568" s="159"/>
      <c r="G568" s="252"/>
      <c r="H568" s="303"/>
      <c r="I568" s="306"/>
      <c r="J568" s="338"/>
      <c r="K568" s="165"/>
      <c r="L568" s="91"/>
      <c r="M568" s="92"/>
    </row>
    <row r="569" spans="1:13" s="45" customFormat="1" ht="8.5500000000000007" customHeight="1" x14ac:dyDescent="0.2">
      <c r="A569" s="43"/>
      <c r="B569" s="201" t="s">
        <v>729</v>
      </c>
      <c r="C569" s="201"/>
      <c r="D569" s="201"/>
      <c r="E569" s="201"/>
      <c r="F569" s="157"/>
      <c r="G569" s="251">
        <v>2001</v>
      </c>
      <c r="H569" s="304">
        <v>96</v>
      </c>
      <c r="I569" s="305"/>
      <c r="J569" s="302" t="s">
        <v>322</v>
      </c>
      <c r="K569" s="164">
        <v>1</v>
      </c>
      <c r="L569" s="91"/>
      <c r="M569" s="92"/>
    </row>
    <row r="570" spans="1:13" s="45" customFormat="1" ht="8.5500000000000007" customHeight="1" x14ac:dyDescent="0.2">
      <c r="A570" s="43"/>
      <c r="B570" s="158"/>
      <c r="C570" s="158"/>
      <c r="D570" s="158"/>
      <c r="E570" s="158"/>
      <c r="F570" s="159"/>
      <c r="G570" s="252"/>
      <c r="H570" s="303"/>
      <c r="I570" s="306"/>
      <c r="J570" s="338"/>
      <c r="K570" s="165"/>
      <c r="L570" s="91"/>
      <c r="M570" s="92"/>
    </row>
    <row r="571" spans="1:13" s="45" customFormat="1" ht="8.5500000000000007" customHeight="1" x14ac:dyDescent="0.2">
      <c r="A571" s="43"/>
      <c r="B571" s="339" t="s">
        <v>822</v>
      </c>
      <c r="C571" s="339"/>
      <c r="D571" s="339"/>
      <c r="E571" s="339"/>
      <c r="F571" s="339"/>
      <c r="G571" s="79"/>
      <c r="H571" s="79"/>
      <c r="I571" s="79"/>
      <c r="J571" s="79"/>
      <c r="K571" s="164"/>
      <c r="L571" s="91"/>
      <c r="M571" s="92"/>
    </row>
    <row r="572" spans="1:13" s="45" customFormat="1" ht="8.5500000000000007" customHeight="1" x14ac:dyDescent="0.2">
      <c r="A572" s="43"/>
      <c r="B572" s="340"/>
      <c r="C572" s="340"/>
      <c r="D572" s="340"/>
      <c r="E572" s="340"/>
      <c r="F572" s="340"/>
      <c r="G572" s="80"/>
      <c r="H572" s="80"/>
      <c r="I572" s="80"/>
      <c r="J572" s="80"/>
      <c r="K572" s="165"/>
      <c r="L572" s="91"/>
      <c r="M572" s="92"/>
    </row>
    <row r="573" spans="1:13" s="45" customFormat="1" ht="8.5500000000000007" customHeight="1" x14ac:dyDescent="0.2">
      <c r="A573" s="43"/>
      <c r="B573" s="201" t="s">
        <v>729</v>
      </c>
      <c r="C573" s="201"/>
      <c r="D573" s="201"/>
      <c r="E573" s="201"/>
      <c r="F573" s="157"/>
      <c r="G573" s="251">
        <v>2003</v>
      </c>
      <c r="H573" s="304">
        <v>93</v>
      </c>
      <c r="I573" s="305"/>
      <c r="J573" s="302"/>
      <c r="K573" s="164">
        <v>3</v>
      </c>
      <c r="L573" s="91"/>
      <c r="M573" s="92"/>
    </row>
    <row r="574" spans="1:13" s="45" customFormat="1" ht="8.5500000000000007" customHeight="1" x14ac:dyDescent="0.2">
      <c r="A574" s="43"/>
      <c r="B574" s="158"/>
      <c r="C574" s="158"/>
      <c r="D574" s="158"/>
      <c r="E574" s="158"/>
      <c r="F574" s="159"/>
      <c r="G574" s="252"/>
      <c r="H574" s="303"/>
      <c r="I574" s="306"/>
      <c r="J574" s="338"/>
      <c r="K574" s="165"/>
      <c r="L574" s="91"/>
      <c r="M574" s="92"/>
    </row>
    <row r="575" spans="1:13" s="45" customFormat="1" ht="8.5500000000000007" customHeight="1" x14ac:dyDescent="0.2">
      <c r="A575" s="43"/>
      <c r="B575" s="201" t="s">
        <v>729</v>
      </c>
      <c r="C575" s="201"/>
      <c r="D575" s="201"/>
      <c r="E575" s="201"/>
      <c r="F575" s="157"/>
      <c r="G575" s="251">
        <v>2004</v>
      </c>
      <c r="H575" s="304" t="s">
        <v>654</v>
      </c>
      <c r="I575" s="305"/>
      <c r="J575" s="302" t="s">
        <v>323</v>
      </c>
      <c r="K575" s="164">
        <v>2</v>
      </c>
      <c r="L575" s="91"/>
      <c r="M575" s="92"/>
    </row>
    <row r="576" spans="1:13" s="45" customFormat="1" ht="8.5500000000000007" customHeight="1" x14ac:dyDescent="0.2">
      <c r="A576" s="43"/>
      <c r="B576" s="158"/>
      <c r="C576" s="158"/>
      <c r="D576" s="158"/>
      <c r="E576" s="158"/>
      <c r="F576" s="159"/>
      <c r="G576" s="252"/>
      <c r="H576" s="303"/>
      <c r="I576" s="306"/>
      <c r="J576" s="338"/>
      <c r="K576" s="165"/>
      <c r="L576" s="91"/>
      <c r="M576" s="92"/>
    </row>
    <row r="577" spans="1:13" s="45" customFormat="1" ht="8.5500000000000007" customHeight="1" x14ac:dyDescent="0.2">
      <c r="A577" s="43"/>
      <c r="B577" s="201" t="s">
        <v>1348</v>
      </c>
      <c r="C577" s="201"/>
      <c r="D577" s="201"/>
      <c r="E577" s="201"/>
      <c r="F577" s="157"/>
      <c r="G577" s="251">
        <v>2004</v>
      </c>
      <c r="H577" s="304" t="s">
        <v>654</v>
      </c>
      <c r="I577" s="305"/>
      <c r="J577" s="302" t="s">
        <v>323</v>
      </c>
      <c r="K577" s="164">
        <v>1</v>
      </c>
      <c r="L577" s="91"/>
      <c r="M577" s="92"/>
    </row>
    <row r="578" spans="1:13" s="45" customFormat="1" ht="8.5500000000000007" customHeight="1" x14ac:dyDescent="0.2">
      <c r="A578" s="43"/>
      <c r="B578" s="158"/>
      <c r="C578" s="158"/>
      <c r="D578" s="158"/>
      <c r="E578" s="158"/>
      <c r="F578" s="159"/>
      <c r="G578" s="252"/>
      <c r="H578" s="303"/>
      <c r="I578" s="306"/>
      <c r="J578" s="338"/>
      <c r="K578" s="165"/>
      <c r="L578" s="91"/>
      <c r="M578" s="92"/>
    </row>
    <row r="579" spans="1:13" s="45" customFormat="1" ht="8.5500000000000007" customHeight="1" x14ac:dyDescent="0.2">
      <c r="A579" s="43"/>
      <c r="B579" s="201" t="s">
        <v>729</v>
      </c>
      <c r="C579" s="201"/>
      <c r="D579" s="201"/>
      <c r="E579" s="201"/>
      <c r="F579" s="157"/>
      <c r="G579" s="251">
        <v>2005</v>
      </c>
      <c r="H579" s="304">
        <v>92</v>
      </c>
      <c r="I579" s="305"/>
      <c r="J579" s="302" t="s">
        <v>263</v>
      </c>
      <c r="K579" s="164">
        <v>4</v>
      </c>
      <c r="L579" s="91"/>
      <c r="M579" s="92"/>
    </row>
    <row r="580" spans="1:13" s="45" customFormat="1" ht="8.5500000000000007" customHeight="1" x14ac:dyDescent="0.2">
      <c r="A580" s="43"/>
      <c r="B580" s="158"/>
      <c r="C580" s="158"/>
      <c r="D580" s="158"/>
      <c r="E580" s="158"/>
      <c r="F580" s="159"/>
      <c r="G580" s="252"/>
      <c r="H580" s="303"/>
      <c r="I580" s="306"/>
      <c r="J580" s="338"/>
      <c r="K580" s="165"/>
      <c r="L580" s="91"/>
      <c r="M580" s="92"/>
    </row>
    <row r="581" spans="1:13" s="45" customFormat="1" ht="8.5500000000000007" customHeight="1" x14ac:dyDescent="0.2">
      <c r="A581" s="43"/>
      <c r="B581" s="201" t="s">
        <v>729</v>
      </c>
      <c r="C581" s="201"/>
      <c r="D581" s="201"/>
      <c r="E581" s="201"/>
      <c r="F581" s="157"/>
      <c r="G581" s="251">
        <v>2006</v>
      </c>
      <c r="H581" s="304">
        <v>87</v>
      </c>
      <c r="I581" s="305"/>
      <c r="J581" s="302" t="s">
        <v>263</v>
      </c>
      <c r="K581" s="164">
        <v>1</v>
      </c>
      <c r="L581" s="91"/>
      <c r="M581" s="92"/>
    </row>
    <row r="582" spans="1:13" s="45" customFormat="1" ht="8.5500000000000007" customHeight="1" x14ac:dyDescent="0.2">
      <c r="A582" s="43"/>
      <c r="B582" s="158"/>
      <c r="C582" s="158"/>
      <c r="D582" s="158"/>
      <c r="E582" s="158"/>
      <c r="F582" s="159"/>
      <c r="G582" s="252"/>
      <c r="H582" s="303"/>
      <c r="I582" s="306"/>
      <c r="J582" s="338"/>
      <c r="K582" s="165"/>
      <c r="L582" s="91"/>
      <c r="M582" s="92"/>
    </row>
    <row r="583" spans="1:13" s="45" customFormat="1" ht="8.5500000000000007" customHeight="1" x14ac:dyDescent="0.2">
      <c r="A583" s="43"/>
      <c r="B583" s="201" t="s">
        <v>1311</v>
      </c>
      <c r="C583" s="201"/>
      <c r="D583" s="201"/>
      <c r="E583" s="201"/>
      <c r="F583" s="157"/>
      <c r="G583" s="251">
        <v>2013</v>
      </c>
      <c r="H583" s="304"/>
      <c r="I583" s="305"/>
      <c r="J583" s="302"/>
      <c r="K583" s="164">
        <v>5</v>
      </c>
      <c r="L583" s="91"/>
      <c r="M583" s="92"/>
    </row>
    <row r="584" spans="1:13" s="45" customFormat="1" ht="8.5500000000000007" customHeight="1" x14ac:dyDescent="0.2">
      <c r="A584" s="43"/>
      <c r="B584" s="158"/>
      <c r="C584" s="158"/>
      <c r="D584" s="158"/>
      <c r="E584" s="158"/>
      <c r="F584" s="159"/>
      <c r="G584" s="252"/>
      <c r="H584" s="303"/>
      <c r="I584" s="306"/>
      <c r="J584" s="338"/>
      <c r="K584" s="165"/>
      <c r="L584" s="91"/>
      <c r="M584" s="92"/>
    </row>
    <row r="585" spans="1:13" s="45" customFormat="1" ht="8.5500000000000007" customHeight="1" x14ac:dyDescent="0.2">
      <c r="A585" s="43"/>
      <c r="B585" s="201" t="s">
        <v>1311</v>
      </c>
      <c r="C585" s="201"/>
      <c r="D585" s="201"/>
      <c r="E585" s="201"/>
      <c r="F585" s="157"/>
      <c r="G585" s="251">
        <v>2014</v>
      </c>
      <c r="H585" s="304"/>
      <c r="I585" s="305"/>
      <c r="J585" s="302"/>
      <c r="K585" s="164">
        <v>1</v>
      </c>
      <c r="L585" s="91"/>
      <c r="M585" s="92"/>
    </row>
    <row r="586" spans="1:13" s="45" customFormat="1" ht="8.5500000000000007" customHeight="1" x14ac:dyDescent="0.2">
      <c r="A586" s="43"/>
      <c r="B586" s="158"/>
      <c r="C586" s="158"/>
      <c r="D586" s="158"/>
      <c r="E586" s="158"/>
      <c r="F586" s="159"/>
      <c r="G586" s="252"/>
      <c r="H586" s="303"/>
      <c r="I586" s="306"/>
      <c r="J586" s="338"/>
      <c r="K586" s="165"/>
      <c r="L586" s="91"/>
      <c r="M586" s="92"/>
    </row>
    <row r="587" spans="1:13" s="45" customFormat="1" ht="8.5500000000000007" customHeight="1" x14ac:dyDescent="0.2">
      <c r="A587" s="43"/>
      <c r="B587" s="201" t="s">
        <v>1311</v>
      </c>
      <c r="C587" s="201"/>
      <c r="D587" s="201"/>
      <c r="E587" s="201"/>
      <c r="F587" s="157"/>
      <c r="G587" s="251">
        <v>2015</v>
      </c>
      <c r="H587" s="304"/>
      <c r="I587" s="305"/>
      <c r="J587" s="302"/>
      <c r="K587" s="164">
        <v>1</v>
      </c>
      <c r="L587" s="91"/>
      <c r="M587" s="92"/>
    </row>
    <row r="588" spans="1:13" s="45" customFormat="1" ht="8.5500000000000007" customHeight="1" x14ac:dyDescent="0.2">
      <c r="A588" s="43"/>
      <c r="B588" s="158"/>
      <c r="C588" s="158"/>
      <c r="D588" s="158"/>
      <c r="E588" s="158"/>
      <c r="F588" s="159"/>
      <c r="G588" s="252"/>
      <c r="H588" s="303"/>
      <c r="I588" s="306"/>
      <c r="J588" s="338"/>
      <c r="K588" s="165"/>
      <c r="L588" s="91"/>
      <c r="M588" s="92"/>
    </row>
    <row r="589" spans="1:13" s="45" customFormat="1" ht="8.5500000000000007" customHeight="1" x14ac:dyDescent="0.2">
      <c r="A589" s="43"/>
      <c r="B589" s="201" t="s">
        <v>1311</v>
      </c>
      <c r="C589" s="201"/>
      <c r="D589" s="201"/>
      <c r="E589" s="201"/>
      <c r="F589" s="157"/>
      <c r="G589" s="251">
        <v>2020</v>
      </c>
      <c r="H589" s="304"/>
      <c r="I589" s="305"/>
      <c r="J589" s="302"/>
      <c r="K589" s="164">
        <v>5</v>
      </c>
      <c r="L589" s="91"/>
      <c r="M589" s="92"/>
    </row>
    <row r="590" spans="1:13" s="45" customFormat="1" ht="8.5500000000000007" customHeight="1" x14ac:dyDescent="0.2">
      <c r="A590" s="43"/>
      <c r="B590" s="158"/>
      <c r="C590" s="158"/>
      <c r="D590" s="158"/>
      <c r="E590" s="158"/>
      <c r="F590" s="159"/>
      <c r="G590" s="252"/>
      <c r="H590" s="303"/>
      <c r="I590" s="306"/>
      <c r="J590" s="338"/>
      <c r="K590" s="165"/>
      <c r="L590" s="91"/>
      <c r="M590" s="92"/>
    </row>
    <row r="591" spans="1:13" s="45" customFormat="1" ht="8.5500000000000007" customHeight="1" x14ac:dyDescent="0.2">
      <c r="A591" s="43"/>
      <c r="B591" s="281" t="s">
        <v>1297</v>
      </c>
      <c r="C591" s="281"/>
      <c r="D591" s="281"/>
      <c r="E591" s="281"/>
      <c r="F591" s="184"/>
      <c r="G591" s="251">
        <v>1995</v>
      </c>
      <c r="H591" s="304">
        <v>94</v>
      </c>
      <c r="I591" s="305"/>
      <c r="J591" s="302" t="s">
        <v>355</v>
      </c>
      <c r="K591" s="164">
        <v>1</v>
      </c>
      <c r="L591" s="91"/>
      <c r="M591" s="92"/>
    </row>
    <row r="592" spans="1:13" s="45" customFormat="1" ht="8.5500000000000007" customHeight="1" x14ac:dyDescent="0.2">
      <c r="A592" s="43"/>
      <c r="B592" s="185"/>
      <c r="C592" s="185"/>
      <c r="D592" s="185"/>
      <c r="E592" s="185"/>
      <c r="F592" s="186"/>
      <c r="G592" s="252"/>
      <c r="H592" s="303"/>
      <c r="I592" s="306"/>
      <c r="J592" s="338"/>
      <c r="K592" s="165"/>
      <c r="L592" s="91"/>
      <c r="M592" s="92"/>
    </row>
    <row r="593" spans="1:13" s="45" customFormat="1" ht="8.5500000000000007" customHeight="1" x14ac:dyDescent="0.2">
      <c r="A593" s="43"/>
      <c r="B593" s="281" t="s">
        <v>1298</v>
      </c>
      <c r="C593" s="281"/>
      <c r="D593" s="281"/>
      <c r="E593" s="281"/>
      <c r="F593" s="184"/>
      <c r="G593" s="251">
        <v>1997</v>
      </c>
      <c r="H593" s="304">
        <v>93</v>
      </c>
      <c r="I593" s="305"/>
      <c r="J593" s="302"/>
      <c r="K593" s="164">
        <v>2</v>
      </c>
      <c r="L593" s="91"/>
      <c r="M593" s="92"/>
    </row>
    <row r="594" spans="1:13" s="45" customFormat="1" ht="8.5500000000000007" customHeight="1" x14ac:dyDescent="0.2">
      <c r="A594" s="43"/>
      <c r="B594" s="185"/>
      <c r="C594" s="185"/>
      <c r="D594" s="185"/>
      <c r="E594" s="185"/>
      <c r="F594" s="186"/>
      <c r="G594" s="252"/>
      <c r="H594" s="303"/>
      <c r="I594" s="306"/>
      <c r="J594" s="338"/>
      <c r="K594" s="165"/>
      <c r="L594" s="91"/>
      <c r="M594" s="92"/>
    </row>
    <row r="595" spans="1:13" s="45" customFormat="1" ht="8.5500000000000007" customHeight="1" x14ac:dyDescent="0.2">
      <c r="A595" s="43"/>
      <c r="B595" s="281" t="s">
        <v>1297</v>
      </c>
      <c r="C595" s="281"/>
      <c r="D595" s="281"/>
      <c r="E595" s="281"/>
      <c r="F595" s="184"/>
      <c r="G595" s="251">
        <v>1999</v>
      </c>
      <c r="H595" s="304">
        <v>97</v>
      </c>
      <c r="I595" s="305"/>
      <c r="J595" s="302"/>
      <c r="K595" s="164">
        <v>2</v>
      </c>
      <c r="L595" s="91"/>
      <c r="M595" s="92"/>
    </row>
    <row r="596" spans="1:13" s="45" customFormat="1" ht="8.5500000000000007" customHeight="1" x14ac:dyDescent="0.2">
      <c r="A596" s="43"/>
      <c r="B596" s="185"/>
      <c r="C596" s="185"/>
      <c r="D596" s="185"/>
      <c r="E596" s="185"/>
      <c r="F596" s="186"/>
      <c r="G596" s="252"/>
      <c r="H596" s="303"/>
      <c r="I596" s="306"/>
      <c r="J596" s="338"/>
      <c r="K596" s="165"/>
      <c r="L596" s="91"/>
      <c r="M596" s="92"/>
    </row>
    <row r="597" spans="1:13" s="45" customFormat="1" ht="8.5500000000000007" customHeight="1" x14ac:dyDescent="0.2">
      <c r="A597" s="43"/>
      <c r="B597" s="281" t="s">
        <v>1297</v>
      </c>
      <c r="C597" s="281"/>
      <c r="D597" s="281"/>
      <c r="E597" s="281"/>
      <c r="F597" s="184"/>
      <c r="G597" s="251">
        <v>2001</v>
      </c>
      <c r="H597" s="304">
        <v>96</v>
      </c>
      <c r="I597" s="305">
        <v>100</v>
      </c>
      <c r="J597" s="302" t="s">
        <v>414</v>
      </c>
      <c r="K597" s="164">
        <v>2</v>
      </c>
      <c r="L597" s="91"/>
      <c r="M597" s="92"/>
    </row>
    <row r="598" spans="1:13" s="45" customFormat="1" ht="8.5500000000000007" customHeight="1" x14ac:dyDescent="0.2">
      <c r="A598" s="43"/>
      <c r="B598" s="185"/>
      <c r="C598" s="185"/>
      <c r="D598" s="185"/>
      <c r="E598" s="185"/>
      <c r="F598" s="186"/>
      <c r="G598" s="252"/>
      <c r="H598" s="303"/>
      <c r="I598" s="306"/>
      <c r="J598" s="338"/>
      <c r="K598" s="165"/>
      <c r="L598" s="91"/>
      <c r="M598" s="92"/>
    </row>
    <row r="599" spans="1:13" s="45" customFormat="1" ht="8.5500000000000007" customHeight="1" x14ac:dyDescent="0.2">
      <c r="A599" s="43"/>
      <c r="B599" s="281" t="s">
        <v>1298</v>
      </c>
      <c r="C599" s="281"/>
      <c r="D599" s="281"/>
      <c r="E599" s="281"/>
      <c r="F599" s="184"/>
      <c r="G599" s="251">
        <v>2004</v>
      </c>
      <c r="H599" s="304" t="s">
        <v>620</v>
      </c>
      <c r="I599" s="305"/>
      <c r="J599" s="302" t="s">
        <v>95</v>
      </c>
      <c r="K599" s="164">
        <v>3</v>
      </c>
      <c r="L599" s="91"/>
      <c r="M599" s="92"/>
    </row>
    <row r="600" spans="1:13" s="45" customFormat="1" ht="8.5500000000000007" customHeight="1" x14ac:dyDescent="0.2">
      <c r="A600" s="43"/>
      <c r="B600" s="185"/>
      <c r="C600" s="185"/>
      <c r="D600" s="185"/>
      <c r="E600" s="185"/>
      <c r="F600" s="186"/>
      <c r="G600" s="252"/>
      <c r="H600" s="303"/>
      <c r="I600" s="306"/>
      <c r="J600" s="338"/>
      <c r="K600" s="165"/>
      <c r="L600" s="91"/>
      <c r="M600" s="92"/>
    </row>
    <row r="601" spans="1:13" s="45" customFormat="1" ht="8.5500000000000007" customHeight="1" x14ac:dyDescent="0.2">
      <c r="A601" s="43"/>
      <c r="B601" s="281" t="s">
        <v>1297</v>
      </c>
      <c r="C601" s="281"/>
      <c r="D601" s="281"/>
      <c r="E601" s="281"/>
      <c r="F601" s="184"/>
      <c r="G601" s="251">
        <v>2005</v>
      </c>
      <c r="H601" s="304">
        <v>95</v>
      </c>
      <c r="I601" s="305"/>
      <c r="J601" s="302"/>
      <c r="K601" s="164">
        <v>1</v>
      </c>
      <c r="L601" s="91"/>
      <c r="M601" s="92"/>
    </row>
    <row r="602" spans="1:13" s="45" customFormat="1" ht="8.5500000000000007" customHeight="1" x14ac:dyDescent="0.2">
      <c r="A602" s="43"/>
      <c r="B602" s="185"/>
      <c r="C602" s="185"/>
      <c r="D602" s="185"/>
      <c r="E602" s="185"/>
      <c r="F602" s="186"/>
      <c r="G602" s="252"/>
      <c r="H602" s="303"/>
      <c r="I602" s="306"/>
      <c r="J602" s="338"/>
      <c r="K602" s="165"/>
      <c r="L602" s="91"/>
      <c r="M602" s="92"/>
    </row>
    <row r="603" spans="1:13" s="45" customFormat="1" ht="8.5500000000000007" customHeight="1" x14ac:dyDescent="0.2">
      <c r="A603" s="43"/>
      <c r="B603" s="281" t="s">
        <v>1297</v>
      </c>
      <c r="C603" s="281"/>
      <c r="D603" s="281"/>
      <c r="E603" s="281"/>
      <c r="F603" s="184"/>
      <c r="G603" s="251">
        <v>2006</v>
      </c>
      <c r="H603" s="304">
        <v>96</v>
      </c>
      <c r="I603" s="305"/>
      <c r="J603" s="302" t="s">
        <v>415</v>
      </c>
      <c r="K603" s="164">
        <v>1</v>
      </c>
      <c r="L603" s="91"/>
      <c r="M603" s="92"/>
    </row>
    <row r="604" spans="1:13" s="45" customFormat="1" ht="8.5500000000000007" customHeight="1" x14ac:dyDescent="0.2">
      <c r="A604" s="43"/>
      <c r="B604" s="185"/>
      <c r="C604" s="185"/>
      <c r="D604" s="185"/>
      <c r="E604" s="185"/>
      <c r="F604" s="186"/>
      <c r="G604" s="252"/>
      <c r="H604" s="303"/>
      <c r="I604" s="306"/>
      <c r="J604" s="338"/>
      <c r="K604" s="165"/>
      <c r="L604" s="91"/>
      <c r="M604" s="92"/>
    </row>
    <row r="605" spans="1:13" s="45" customFormat="1" ht="8.5500000000000007" customHeight="1" x14ac:dyDescent="0.2">
      <c r="A605" s="43"/>
      <c r="B605" s="201" t="s">
        <v>711</v>
      </c>
      <c r="C605" s="201"/>
      <c r="D605" s="201"/>
      <c r="E605" s="201"/>
      <c r="F605" s="157"/>
      <c r="G605" s="251">
        <v>1995</v>
      </c>
      <c r="H605" s="304">
        <v>93</v>
      </c>
      <c r="I605" s="305">
        <v>95</v>
      </c>
      <c r="J605" s="302" t="s">
        <v>1573</v>
      </c>
      <c r="K605" s="164">
        <v>1</v>
      </c>
      <c r="L605" s="91"/>
      <c r="M605" s="92"/>
    </row>
    <row r="606" spans="1:13" s="45" customFormat="1" ht="8.5500000000000007" customHeight="1" x14ac:dyDescent="0.2">
      <c r="A606" s="43"/>
      <c r="B606" s="158"/>
      <c r="C606" s="158"/>
      <c r="D606" s="158"/>
      <c r="E606" s="158"/>
      <c r="F606" s="159"/>
      <c r="G606" s="252"/>
      <c r="H606" s="303"/>
      <c r="I606" s="306"/>
      <c r="J606" s="338"/>
      <c r="K606" s="165"/>
      <c r="L606" s="91"/>
      <c r="M606" s="92"/>
    </row>
    <row r="607" spans="1:13" s="45" customFormat="1" ht="8.5500000000000007" customHeight="1" x14ac:dyDescent="0.2">
      <c r="A607" s="43"/>
      <c r="B607" s="201" t="s">
        <v>711</v>
      </c>
      <c r="C607" s="201"/>
      <c r="D607" s="201"/>
      <c r="E607" s="201"/>
      <c r="F607" s="157"/>
      <c r="G607" s="251">
        <v>1997</v>
      </c>
      <c r="H607" s="304">
        <v>88</v>
      </c>
      <c r="I607" s="305">
        <v>97</v>
      </c>
      <c r="J607" s="302" t="s">
        <v>465</v>
      </c>
      <c r="K607" s="164">
        <v>1</v>
      </c>
      <c r="L607" s="91"/>
      <c r="M607" s="92"/>
    </row>
    <row r="608" spans="1:13" s="45" customFormat="1" ht="8.5500000000000007" customHeight="1" x14ac:dyDescent="0.2">
      <c r="A608" s="43"/>
      <c r="B608" s="158"/>
      <c r="C608" s="158"/>
      <c r="D608" s="158"/>
      <c r="E608" s="158"/>
      <c r="F608" s="159"/>
      <c r="G608" s="252"/>
      <c r="H608" s="303"/>
      <c r="I608" s="306"/>
      <c r="J608" s="338"/>
      <c r="K608" s="165"/>
      <c r="L608" s="91"/>
      <c r="M608" s="92"/>
    </row>
    <row r="609" spans="1:13" s="45" customFormat="1" ht="8.5500000000000007" customHeight="1" x14ac:dyDescent="0.2">
      <c r="A609" s="43"/>
      <c r="B609" s="201" t="s">
        <v>711</v>
      </c>
      <c r="C609" s="201"/>
      <c r="D609" s="201"/>
      <c r="E609" s="201"/>
      <c r="F609" s="157"/>
      <c r="G609" s="251">
        <v>1999</v>
      </c>
      <c r="H609" s="304">
        <v>95</v>
      </c>
      <c r="I609" s="305">
        <v>97</v>
      </c>
      <c r="J609" s="302" t="s">
        <v>259</v>
      </c>
      <c r="K609" s="164">
        <v>2</v>
      </c>
      <c r="L609" s="91"/>
      <c r="M609" s="92"/>
    </row>
    <row r="610" spans="1:13" s="45" customFormat="1" ht="8.5500000000000007" customHeight="1" x14ac:dyDescent="0.2">
      <c r="A610" s="43"/>
      <c r="B610" s="158"/>
      <c r="C610" s="158"/>
      <c r="D610" s="158"/>
      <c r="E610" s="158"/>
      <c r="F610" s="159"/>
      <c r="G610" s="252"/>
      <c r="H610" s="303"/>
      <c r="I610" s="306"/>
      <c r="J610" s="338"/>
      <c r="K610" s="165"/>
      <c r="L610" s="91"/>
      <c r="M610" s="92"/>
    </row>
    <row r="611" spans="1:13" s="45" customFormat="1" ht="8.5500000000000007" customHeight="1" x14ac:dyDescent="0.2">
      <c r="A611" s="43"/>
      <c r="B611" s="201" t="s">
        <v>711</v>
      </c>
      <c r="C611" s="201"/>
      <c r="D611" s="201"/>
      <c r="E611" s="201"/>
      <c r="F611" s="157"/>
      <c r="G611" s="251">
        <v>2001</v>
      </c>
      <c r="H611" s="304">
        <v>93</v>
      </c>
      <c r="I611" s="305">
        <v>100</v>
      </c>
      <c r="J611" s="302" t="s">
        <v>38</v>
      </c>
      <c r="K611" s="164">
        <v>2</v>
      </c>
      <c r="L611" s="91"/>
      <c r="M611" s="92"/>
    </row>
    <row r="612" spans="1:13" s="45" customFormat="1" ht="8.5500000000000007" customHeight="1" x14ac:dyDescent="0.2">
      <c r="A612" s="43"/>
      <c r="B612" s="158"/>
      <c r="C612" s="158"/>
      <c r="D612" s="158"/>
      <c r="E612" s="158"/>
      <c r="F612" s="159"/>
      <c r="G612" s="252"/>
      <c r="H612" s="303"/>
      <c r="I612" s="306"/>
      <c r="J612" s="338"/>
      <c r="K612" s="165"/>
      <c r="L612" s="91"/>
      <c r="M612" s="92"/>
    </row>
    <row r="613" spans="1:13" s="45" customFormat="1" ht="8.5500000000000007" customHeight="1" x14ac:dyDescent="0.2">
      <c r="A613" s="43"/>
      <c r="B613" s="201" t="s">
        <v>711</v>
      </c>
      <c r="C613" s="201"/>
      <c r="D613" s="201"/>
      <c r="E613" s="201"/>
      <c r="F613" s="157"/>
      <c r="G613" s="251">
        <v>2004</v>
      </c>
      <c r="H613" s="304">
        <v>99</v>
      </c>
      <c r="I613" s="305"/>
      <c r="J613" s="302" t="s">
        <v>25</v>
      </c>
      <c r="K613" s="164">
        <v>2</v>
      </c>
      <c r="L613" s="91"/>
      <c r="M613" s="92"/>
    </row>
    <row r="614" spans="1:13" s="45" customFormat="1" ht="8.5500000000000007" customHeight="1" x14ac:dyDescent="0.2">
      <c r="A614" s="43"/>
      <c r="B614" s="158"/>
      <c r="C614" s="158"/>
      <c r="D614" s="158"/>
      <c r="E614" s="158"/>
      <c r="F614" s="159"/>
      <c r="G614" s="252"/>
      <c r="H614" s="303"/>
      <c r="I614" s="306"/>
      <c r="J614" s="338"/>
      <c r="K614" s="165"/>
      <c r="L614" s="91"/>
      <c r="M614" s="92"/>
    </row>
    <row r="615" spans="1:13" s="45" customFormat="1" ht="8.5500000000000007" customHeight="1" x14ac:dyDescent="0.2">
      <c r="A615" s="43"/>
      <c r="B615" s="201" t="s">
        <v>1360</v>
      </c>
      <c r="C615" s="201"/>
      <c r="D615" s="201"/>
      <c r="E615" s="201"/>
      <c r="F615" s="157"/>
      <c r="G615" s="251">
        <v>1945</v>
      </c>
      <c r="H615" s="305"/>
      <c r="I615" s="305"/>
      <c r="J615" s="305"/>
      <c r="K615" s="164">
        <v>1</v>
      </c>
      <c r="L615" s="91"/>
      <c r="M615" s="92"/>
    </row>
    <row r="616" spans="1:13" s="45" customFormat="1" ht="8.5500000000000007" customHeight="1" x14ac:dyDescent="0.2">
      <c r="A616" s="43"/>
      <c r="B616" s="158"/>
      <c r="C616" s="158"/>
      <c r="D616" s="158"/>
      <c r="E616" s="158"/>
      <c r="F616" s="159"/>
      <c r="G616" s="252"/>
      <c r="H616" s="306"/>
      <c r="I616" s="306"/>
      <c r="J616" s="306"/>
      <c r="K616" s="165"/>
      <c r="L616" s="91"/>
      <c r="M616" s="92"/>
    </row>
    <row r="617" spans="1:13" s="45" customFormat="1" ht="8.5500000000000007" customHeight="1" x14ac:dyDescent="0.2">
      <c r="A617" s="43"/>
      <c r="B617" s="201" t="s">
        <v>983</v>
      </c>
      <c r="C617" s="201"/>
      <c r="D617" s="201"/>
      <c r="E617" s="201"/>
      <c r="F617" s="157"/>
      <c r="G617" s="251">
        <v>1955</v>
      </c>
      <c r="H617" s="304">
        <v>94</v>
      </c>
      <c r="I617" s="305"/>
      <c r="J617" s="305"/>
      <c r="K617" s="164">
        <v>1</v>
      </c>
      <c r="L617" s="91"/>
      <c r="M617" s="92"/>
    </row>
    <row r="618" spans="1:13" s="45" customFormat="1" ht="8.5500000000000007" customHeight="1" x14ac:dyDescent="0.2">
      <c r="A618" s="43"/>
      <c r="B618" s="158"/>
      <c r="C618" s="158"/>
      <c r="D618" s="158"/>
      <c r="E618" s="158"/>
      <c r="F618" s="159"/>
      <c r="G618" s="252"/>
      <c r="H618" s="303"/>
      <c r="I618" s="306"/>
      <c r="J618" s="306"/>
      <c r="K618" s="165"/>
      <c r="L618" s="91"/>
      <c r="M618" s="92"/>
    </row>
    <row r="619" spans="1:13" s="45" customFormat="1" ht="8.5500000000000007" customHeight="1" x14ac:dyDescent="0.2">
      <c r="A619" s="43"/>
      <c r="B619" s="201" t="s">
        <v>983</v>
      </c>
      <c r="C619" s="201"/>
      <c r="D619" s="201"/>
      <c r="E619" s="201"/>
      <c r="F619" s="157"/>
      <c r="G619" s="251">
        <v>1961</v>
      </c>
      <c r="H619" s="305"/>
      <c r="I619" s="305"/>
      <c r="J619" s="305"/>
      <c r="K619" s="164">
        <v>1</v>
      </c>
      <c r="L619" s="91"/>
      <c r="M619" s="92"/>
    </row>
    <row r="620" spans="1:13" s="45" customFormat="1" ht="8.5500000000000007" customHeight="1" x14ac:dyDescent="0.2">
      <c r="A620" s="43"/>
      <c r="B620" s="158"/>
      <c r="C620" s="158"/>
      <c r="D620" s="158"/>
      <c r="E620" s="158"/>
      <c r="F620" s="159"/>
      <c r="G620" s="252"/>
      <c r="H620" s="306"/>
      <c r="I620" s="306"/>
      <c r="J620" s="306"/>
      <c r="K620" s="165"/>
      <c r="L620" s="91"/>
      <c r="M620" s="92"/>
    </row>
    <row r="621" spans="1:13" s="45" customFormat="1" ht="8.5500000000000007" customHeight="1" x14ac:dyDescent="0.2">
      <c r="A621" s="43"/>
      <c r="B621" s="201" t="s">
        <v>983</v>
      </c>
      <c r="C621" s="201"/>
      <c r="D621" s="201"/>
      <c r="E621" s="201"/>
      <c r="F621" s="157"/>
      <c r="G621" s="251">
        <v>1964</v>
      </c>
      <c r="H621" s="305"/>
      <c r="I621" s="305"/>
      <c r="J621" s="305"/>
      <c r="K621" s="164">
        <v>1</v>
      </c>
      <c r="L621" s="91"/>
      <c r="M621" s="92"/>
    </row>
    <row r="622" spans="1:13" s="45" customFormat="1" ht="8.5500000000000007" customHeight="1" x14ac:dyDescent="0.2">
      <c r="A622" s="43"/>
      <c r="B622" s="158"/>
      <c r="C622" s="158"/>
      <c r="D622" s="158"/>
      <c r="E622" s="158"/>
      <c r="F622" s="159"/>
      <c r="G622" s="252"/>
      <c r="H622" s="306"/>
      <c r="I622" s="306"/>
      <c r="J622" s="306"/>
      <c r="K622" s="165"/>
      <c r="L622" s="91"/>
      <c r="M622" s="92"/>
    </row>
    <row r="623" spans="1:13" s="45" customFormat="1" ht="8.5500000000000007" customHeight="1" x14ac:dyDescent="0.2">
      <c r="A623" s="43"/>
      <c r="B623" s="201" t="s">
        <v>983</v>
      </c>
      <c r="C623" s="201"/>
      <c r="D623" s="201"/>
      <c r="E623" s="201"/>
      <c r="F623" s="157"/>
      <c r="G623" s="251">
        <v>1996</v>
      </c>
      <c r="H623" s="305"/>
      <c r="I623" s="305"/>
      <c r="J623" s="305"/>
      <c r="K623" s="164">
        <v>1</v>
      </c>
      <c r="L623" s="91"/>
      <c r="M623" s="92"/>
    </row>
    <row r="624" spans="1:13" s="45" customFormat="1" ht="8.5500000000000007" customHeight="1" x14ac:dyDescent="0.2">
      <c r="A624" s="43"/>
      <c r="B624" s="158"/>
      <c r="C624" s="158"/>
      <c r="D624" s="158"/>
      <c r="E624" s="158"/>
      <c r="F624" s="159"/>
      <c r="G624" s="252"/>
      <c r="H624" s="306"/>
      <c r="I624" s="306"/>
      <c r="J624" s="306"/>
      <c r="K624" s="165"/>
      <c r="L624" s="91"/>
      <c r="M624" s="92"/>
    </row>
    <row r="625" spans="1:13" s="45" customFormat="1" ht="8.5500000000000007" customHeight="1" x14ac:dyDescent="0.2">
      <c r="A625" s="43"/>
      <c r="B625" s="201" t="s">
        <v>983</v>
      </c>
      <c r="C625" s="201"/>
      <c r="D625" s="201"/>
      <c r="E625" s="201"/>
      <c r="F625" s="157"/>
      <c r="G625" s="251">
        <v>2006</v>
      </c>
      <c r="H625" s="304">
        <v>95</v>
      </c>
      <c r="I625" s="305">
        <v>97</v>
      </c>
      <c r="J625" s="302" t="s">
        <v>342</v>
      </c>
      <c r="K625" s="164">
        <v>1</v>
      </c>
      <c r="L625" s="91"/>
      <c r="M625" s="92"/>
    </row>
    <row r="626" spans="1:13" s="45" customFormat="1" ht="8.5500000000000007" customHeight="1" x14ac:dyDescent="0.2">
      <c r="A626" s="43"/>
      <c r="B626" s="158"/>
      <c r="C626" s="158"/>
      <c r="D626" s="158"/>
      <c r="E626" s="158"/>
      <c r="F626" s="159"/>
      <c r="G626" s="252"/>
      <c r="H626" s="303"/>
      <c r="I626" s="306"/>
      <c r="J626" s="338"/>
      <c r="K626" s="165"/>
      <c r="L626" s="91"/>
      <c r="M626" s="92"/>
    </row>
    <row r="627" spans="1:13" s="45" customFormat="1" ht="8.5500000000000007" customHeight="1" x14ac:dyDescent="0.2">
      <c r="A627" s="43"/>
      <c r="B627" s="339" t="s">
        <v>822</v>
      </c>
      <c r="C627" s="339"/>
      <c r="D627" s="339"/>
      <c r="E627" s="339"/>
      <c r="F627" s="339"/>
      <c r="G627" s="79"/>
      <c r="H627" s="79"/>
      <c r="I627" s="79"/>
      <c r="J627" s="79"/>
      <c r="K627" s="164"/>
      <c r="L627" s="91"/>
      <c r="M627" s="92"/>
    </row>
    <row r="628" spans="1:13" s="45" customFormat="1" ht="8.5500000000000007" customHeight="1" x14ac:dyDescent="0.2">
      <c r="A628" s="43"/>
      <c r="B628" s="340"/>
      <c r="C628" s="340"/>
      <c r="D628" s="340"/>
      <c r="E628" s="340"/>
      <c r="F628" s="340"/>
      <c r="G628" s="80"/>
      <c r="H628" s="80"/>
      <c r="I628" s="80"/>
      <c r="J628" s="80"/>
      <c r="K628" s="165"/>
      <c r="L628" s="91"/>
      <c r="M628" s="92"/>
    </row>
    <row r="629" spans="1:13" s="45" customFormat="1" ht="8.5500000000000007" customHeight="1" x14ac:dyDescent="0.2">
      <c r="A629" s="43"/>
      <c r="B629" s="201" t="s">
        <v>1037</v>
      </c>
      <c r="C629" s="201"/>
      <c r="D629" s="201"/>
      <c r="E629" s="201"/>
      <c r="F629" s="157"/>
      <c r="G629" s="251">
        <v>1997</v>
      </c>
      <c r="H629" s="304">
        <v>86</v>
      </c>
      <c r="I629" s="305">
        <v>93</v>
      </c>
      <c r="J629" s="302" t="s">
        <v>602</v>
      </c>
      <c r="K629" s="164">
        <v>1</v>
      </c>
      <c r="L629" s="91"/>
      <c r="M629" s="92"/>
    </row>
    <row r="630" spans="1:13" s="45" customFormat="1" ht="8.5500000000000007" customHeight="1" x14ac:dyDescent="0.2">
      <c r="A630" s="43"/>
      <c r="B630" s="158"/>
      <c r="C630" s="158"/>
      <c r="D630" s="158"/>
      <c r="E630" s="158"/>
      <c r="F630" s="159"/>
      <c r="G630" s="252"/>
      <c r="H630" s="303"/>
      <c r="I630" s="306"/>
      <c r="J630" s="338"/>
      <c r="K630" s="165"/>
      <c r="L630" s="91"/>
      <c r="M630" s="92"/>
    </row>
    <row r="631" spans="1:13" s="45" customFormat="1" ht="8.5500000000000007" customHeight="1" x14ac:dyDescent="0.2">
      <c r="A631" s="43"/>
      <c r="B631" s="201" t="s">
        <v>730</v>
      </c>
      <c r="C631" s="201"/>
      <c r="D631" s="201"/>
      <c r="E631" s="201"/>
      <c r="F631" s="157"/>
      <c r="G631" s="251">
        <v>2004</v>
      </c>
      <c r="H631" s="304">
        <v>94</v>
      </c>
      <c r="I631" s="305"/>
      <c r="J631" s="302" t="s">
        <v>324</v>
      </c>
      <c r="K631" s="164">
        <v>1</v>
      </c>
      <c r="L631" s="91"/>
      <c r="M631" s="92"/>
    </row>
    <row r="632" spans="1:13" s="45" customFormat="1" ht="8.5500000000000007" customHeight="1" x14ac:dyDescent="0.2">
      <c r="A632" s="43"/>
      <c r="B632" s="158"/>
      <c r="C632" s="158"/>
      <c r="D632" s="158"/>
      <c r="E632" s="158"/>
      <c r="F632" s="159"/>
      <c r="G632" s="252"/>
      <c r="H632" s="303"/>
      <c r="I632" s="306"/>
      <c r="J632" s="338"/>
      <c r="K632" s="165"/>
      <c r="L632" s="91"/>
      <c r="M632" s="92"/>
    </row>
    <row r="633" spans="1:13" s="45" customFormat="1" ht="8.5500000000000007" customHeight="1" x14ac:dyDescent="0.2">
      <c r="A633" s="43"/>
      <c r="B633" s="201" t="s">
        <v>678</v>
      </c>
      <c r="C633" s="201"/>
      <c r="D633" s="201"/>
      <c r="E633" s="201"/>
      <c r="F633" s="157"/>
      <c r="G633" s="251">
        <v>2006</v>
      </c>
      <c r="H633" s="304">
        <v>94</v>
      </c>
      <c r="I633" s="305"/>
      <c r="J633" s="302" t="s">
        <v>415</v>
      </c>
      <c r="K633" s="164">
        <v>1</v>
      </c>
      <c r="L633" s="91"/>
      <c r="M633" s="92"/>
    </row>
    <row r="634" spans="1:13" s="45" customFormat="1" ht="8.5500000000000007" customHeight="1" x14ac:dyDescent="0.2">
      <c r="A634" s="43"/>
      <c r="B634" s="158"/>
      <c r="C634" s="158"/>
      <c r="D634" s="158"/>
      <c r="E634" s="158"/>
      <c r="F634" s="159"/>
      <c r="G634" s="252"/>
      <c r="H634" s="303"/>
      <c r="I634" s="306"/>
      <c r="J634" s="338"/>
      <c r="K634" s="165"/>
      <c r="L634" s="91"/>
      <c r="M634" s="92"/>
    </row>
    <row r="635" spans="1:13" s="45" customFormat="1" ht="8.5500000000000007" customHeight="1" x14ac:dyDescent="0.2">
      <c r="A635" s="43"/>
      <c r="B635" s="201" t="s">
        <v>1391</v>
      </c>
      <c r="C635" s="201"/>
      <c r="D635" s="201"/>
      <c r="E635" s="201"/>
      <c r="F635" s="157"/>
      <c r="G635" s="251">
        <v>2004</v>
      </c>
      <c r="H635" s="304">
        <v>97</v>
      </c>
      <c r="I635" s="305"/>
      <c r="J635" s="302" t="s">
        <v>324</v>
      </c>
      <c r="K635" s="164">
        <v>2</v>
      </c>
      <c r="L635" s="91"/>
      <c r="M635" s="92"/>
    </row>
    <row r="636" spans="1:13" s="45" customFormat="1" ht="8.5500000000000007" customHeight="1" x14ac:dyDescent="0.2">
      <c r="A636" s="43"/>
      <c r="B636" s="158"/>
      <c r="C636" s="158"/>
      <c r="D636" s="158"/>
      <c r="E636" s="158"/>
      <c r="F636" s="159"/>
      <c r="G636" s="252"/>
      <c r="H636" s="303"/>
      <c r="I636" s="306"/>
      <c r="J636" s="338"/>
      <c r="K636" s="165"/>
      <c r="L636" s="91"/>
      <c r="M636" s="92"/>
    </row>
    <row r="637" spans="1:13" s="45" customFormat="1" ht="8.5500000000000007" customHeight="1" x14ac:dyDescent="0.2">
      <c r="A637" s="43"/>
      <c r="B637" s="201" t="s">
        <v>1391</v>
      </c>
      <c r="C637" s="201"/>
      <c r="D637" s="201"/>
      <c r="E637" s="201"/>
      <c r="F637" s="157"/>
      <c r="G637" s="251">
        <v>2006</v>
      </c>
      <c r="H637" s="304">
        <v>98</v>
      </c>
      <c r="I637" s="305"/>
      <c r="J637" s="302" t="s">
        <v>322</v>
      </c>
      <c r="K637" s="164">
        <v>3</v>
      </c>
      <c r="L637" s="91"/>
      <c r="M637" s="92"/>
    </row>
    <row r="638" spans="1:13" s="45" customFormat="1" ht="8.5500000000000007" customHeight="1" x14ac:dyDescent="0.2">
      <c r="A638" s="43"/>
      <c r="B638" s="158"/>
      <c r="C638" s="158"/>
      <c r="D638" s="158"/>
      <c r="E638" s="158"/>
      <c r="F638" s="159"/>
      <c r="G638" s="252"/>
      <c r="H638" s="303"/>
      <c r="I638" s="306"/>
      <c r="J638" s="338"/>
      <c r="K638" s="165"/>
      <c r="L638" s="91"/>
      <c r="M638" s="92"/>
    </row>
    <row r="639" spans="1:13" s="45" customFormat="1" ht="8.5500000000000007" customHeight="1" x14ac:dyDescent="0.2">
      <c r="A639" s="43"/>
      <c r="B639" s="201" t="s">
        <v>731</v>
      </c>
      <c r="C639" s="201"/>
      <c r="D639" s="201"/>
      <c r="E639" s="201"/>
      <c r="F639" s="157"/>
      <c r="G639" s="251">
        <v>2004</v>
      </c>
      <c r="H639" s="304">
        <v>96</v>
      </c>
      <c r="I639" s="305"/>
      <c r="J639" s="302" t="s">
        <v>251</v>
      </c>
      <c r="K639" s="164">
        <v>1</v>
      </c>
      <c r="L639" s="91"/>
      <c r="M639" s="92"/>
    </row>
    <row r="640" spans="1:13" s="45" customFormat="1" ht="8.5500000000000007" customHeight="1" x14ac:dyDescent="0.2">
      <c r="A640" s="43"/>
      <c r="B640" s="158"/>
      <c r="C640" s="158"/>
      <c r="D640" s="158"/>
      <c r="E640" s="158"/>
      <c r="F640" s="159"/>
      <c r="G640" s="252"/>
      <c r="H640" s="303"/>
      <c r="I640" s="306"/>
      <c r="J640" s="338"/>
      <c r="K640" s="165"/>
      <c r="L640" s="91"/>
      <c r="M640" s="92"/>
    </row>
    <row r="641" spans="1:13" s="45" customFormat="1" ht="8.5500000000000007" customHeight="1" x14ac:dyDescent="0.2">
      <c r="A641" s="43"/>
      <c r="B641" s="201" t="s">
        <v>1038</v>
      </c>
      <c r="C641" s="201"/>
      <c r="D641" s="201"/>
      <c r="E641" s="201"/>
      <c r="F641" s="157"/>
      <c r="G641" s="251">
        <v>2007</v>
      </c>
      <c r="H641" s="304">
        <v>93</v>
      </c>
      <c r="I641" s="305"/>
      <c r="J641" s="302" t="s">
        <v>509</v>
      </c>
      <c r="K641" s="164">
        <v>1</v>
      </c>
      <c r="L641" s="91"/>
      <c r="M641" s="92"/>
    </row>
    <row r="642" spans="1:13" s="45" customFormat="1" ht="8.5500000000000007" customHeight="1" x14ac:dyDescent="0.2">
      <c r="A642" s="43"/>
      <c r="B642" s="158"/>
      <c r="C642" s="158"/>
      <c r="D642" s="158"/>
      <c r="E642" s="158"/>
      <c r="F642" s="159"/>
      <c r="G642" s="252"/>
      <c r="H642" s="303"/>
      <c r="I642" s="306"/>
      <c r="J642" s="338"/>
      <c r="K642" s="165"/>
      <c r="L642" s="91"/>
      <c r="M642" s="92"/>
    </row>
    <row r="643" spans="1:13" s="45" customFormat="1" ht="8.5500000000000007" customHeight="1" x14ac:dyDescent="0.2">
      <c r="A643" s="43"/>
      <c r="B643" s="201" t="s">
        <v>779</v>
      </c>
      <c r="C643" s="201"/>
      <c r="D643" s="201"/>
      <c r="E643" s="201"/>
      <c r="F643" s="157"/>
      <c r="G643" s="251">
        <v>2004</v>
      </c>
      <c r="H643" s="304">
        <v>92</v>
      </c>
      <c r="I643" s="305">
        <v>96</v>
      </c>
      <c r="J643" s="302"/>
      <c r="K643" s="164">
        <v>2</v>
      </c>
      <c r="L643" s="91"/>
      <c r="M643" s="92"/>
    </row>
    <row r="644" spans="1:13" s="45" customFormat="1" ht="8.5500000000000007" customHeight="1" x14ac:dyDescent="0.2">
      <c r="A644" s="43"/>
      <c r="B644" s="158"/>
      <c r="C644" s="158"/>
      <c r="D644" s="158"/>
      <c r="E644" s="158"/>
      <c r="F644" s="159"/>
      <c r="G644" s="252"/>
      <c r="H644" s="303"/>
      <c r="I644" s="306"/>
      <c r="J644" s="338"/>
      <c r="K644" s="165"/>
      <c r="L644" s="91"/>
      <c r="M644" s="92"/>
    </row>
    <row r="645" spans="1:13" s="45" customFormat="1" ht="8.5500000000000007" customHeight="1" x14ac:dyDescent="0.2">
      <c r="A645" s="43"/>
      <c r="B645" s="201" t="s">
        <v>1093</v>
      </c>
      <c r="C645" s="201"/>
      <c r="D645" s="201"/>
      <c r="E645" s="201"/>
      <c r="F645" s="157"/>
      <c r="G645" s="251">
        <v>2006</v>
      </c>
      <c r="H645" s="304">
        <v>97</v>
      </c>
      <c r="I645" s="305"/>
      <c r="J645" s="302"/>
      <c r="K645" s="164">
        <v>2</v>
      </c>
      <c r="L645" s="91"/>
      <c r="M645" s="92"/>
    </row>
    <row r="646" spans="1:13" s="45" customFormat="1" ht="8.5500000000000007" customHeight="1" x14ac:dyDescent="0.2">
      <c r="A646" s="43"/>
      <c r="B646" s="158"/>
      <c r="C646" s="158"/>
      <c r="D646" s="158"/>
      <c r="E646" s="158"/>
      <c r="F646" s="159"/>
      <c r="G646" s="252"/>
      <c r="H646" s="303"/>
      <c r="I646" s="306"/>
      <c r="J646" s="338"/>
      <c r="K646" s="165"/>
      <c r="L646" s="91"/>
      <c r="M646" s="92"/>
    </row>
    <row r="647" spans="1:13" s="45" customFormat="1" ht="8.5500000000000007" customHeight="1" x14ac:dyDescent="0.2">
      <c r="A647" s="43"/>
      <c r="B647" s="201" t="s">
        <v>1459</v>
      </c>
      <c r="C647" s="201"/>
      <c r="D647" s="201"/>
      <c r="E647" s="201"/>
      <c r="F647" s="157"/>
      <c r="G647" s="251">
        <v>2015</v>
      </c>
      <c r="H647" s="304">
        <v>94</v>
      </c>
      <c r="I647" s="305"/>
      <c r="J647" s="302"/>
      <c r="K647" s="164">
        <v>3</v>
      </c>
      <c r="L647" s="91"/>
      <c r="M647" s="92"/>
    </row>
    <row r="648" spans="1:13" s="45" customFormat="1" ht="8.5500000000000007" customHeight="1" x14ac:dyDescent="0.2">
      <c r="A648" s="43"/>
      <c r="B648" s="158"/>
      <c r="C648" s="158"/>
      <c r="D648" s="158"/>
      <c r="E648" s="158"/>
      <c r="F648" s="159"/>
      <c r="G648" s="252"/>
      <c r="H648" s="303"/>
      <c r="I648" s="306"/>
      <c r="J648" s="338"/>
      <c r="K648" s="165"/>
      <c r="L648" s="91"/>
      <c r="M648" s="92"/>
    </row>
    <row r="649" spans="1:13" s="45" customFormat="1" ht="8.5500000000000007" customHeight="1" x14ac:dyDescent="0.2">
      <c r="A649" s="243"/>
      <c r="B649" s="205" t="s">
        <v>1768</v>
      </c>
      <c r="C649" s="205"/>
      <c r="D649" s="205"/>
      <c r="E649" s="205"/>
      <c r="F649" s="173"/>
      <c r="G649" s="341">
        <v>2016</v>
      </c>
      <c r="H649" s="343"/>
      <c r="I649" s="364"/>
      <c r="J649" s="369"/>
      <c r="K649" s="228">
        <v>2</v>
      </c>
      <c r="L649" s="91"/>
      <c r="M649" s="92"/>
    </row>
    <row r="650" spans="1:13" s="45" customFormat="1" ht="8.5500000000000007" customHeight="1" x14ac:dyDescent="0.2">
      <c r="A650" s="243"/>
      <c r="B650" s="174"/>
      <c r="C650" s="174"/>
      <c r="D650" s="174"/>
      <c r="E650" s="174"/>
      <c r="F650" s="175"/>
      <c r="G650" s="342"/>
      <c r="H650" s="344"/>
      <c r="I650" s="365"/>
      <c r="J650" s="370"/>
      <c r="K650" s="229"/>
      <c r="L650" s="91"/>
      <c r="M650" s="92"/>
    </row>
    <row r="651" spans="1:13" s="45" customFormat="1" ht="8.5500000000000007" customHeight="1" x14ac:dyDescent="0.2">
      <c r="A651" s="243"/>
      <c r="B651" s="205" t="s">
        <v>1817</v>
      </c>
      <c r="C651" s="205"/>
      <c r="D651" s="205"/>
      <c r="E651" s="205"/>
      <c r="F651" s="173"/>
      <c r="G651" s="341">
        <v>2018</v>
      </c>
      <c r="H651" s="343">
        <v>95</v>
      </c>
      <c r="I651" s="364"/>
      <c r="J651" s="302" t="s">
        <v>1869</v>
      </c>
      <c r="K651" s="228">
        <v>2</v>
      </c>
      <c r="L651" s="91"/>
      <c r="M651" s="92"/>
    </row>
    <row r="652" spans="1:13" s="45" customFormat="1" ht="8.5500000000000007" customHeight="1" x14ac:dyDescent="0.2">
      <c r="A652" s="243"/>
      <c r="B652" s="174"/>
      <c r="C652" s="174"/>
      <c r="D652" s="174"/>
      <c r="E652" s="174"/>
      <c r="F652" s="175"/>
      <c r="G652" s="342"/>
      <c r="H652" s="344"/>
      <c r="I652" s="365"/>
      <c r="J652" s="338"/>
      <c r="K652" s="229"/>
      <c r="L652" s="91"/>
      <c r="M652" s="92"/>
    </row>
    <row r="653" spans="1:13" s="45" customFormat="1" ht="8.5500000000000007" customHeight="1" x14ac:dyDescent="0.2">
      <c r="A653" s="243"/>
      <c r="B653" s="205" t="s">
        <v>1818</v>
      </c>
      <c r="C653" s="205"/>
      <c r="D653" s="205"/>
      <c r="E653" s="205"/>
      <c r="F653" s="173"/>
      <c r="G653" s="341">
        <v>2019</v>
      </c>
      <c r="H653" s="343"/>
      <c r="I653" s="364"/>
      <c r="J653" s="369"/>
      <c r="K653" s="228">
        <v>2</v>
      </c>
      <c r="L653" s="91"/>
      <c r="M653" s="92"/>
    </row>
    <row r="654" spans="1:13" s="45" customFormat="1" ht="8.5500000000000007" customHeight="1" x14ac:dyDescent="0.2">
      <c r="A654" s="243"/>
      <c r="B654" s="174"/>
      <c r="C654" s="174"/>
      <c r="D654" s="174"/>
      <c r="E654" s="174"/>
      <c r="F654" s="175"/>
      <c r="G654" s="342"/>
      <c r="H654" s="344"/>
      <c r="I654" s="365"/>
      <c r="J654" s="370"/>
      <c r="K654" s="229"/>
      <c r="L654" s="91"/>
      <c r="M654" s="92"/>
    </row>
    <row r="655" spans="1:13" s="45" customFormat="1" ht="8.5500000000000007" customHeight="1" x14ac:dyDescent="0.2">
      <c r="A655" s="243"/>
      <c r="B655" s="205" t="s">
        <v>1819</v>
      </c>
      <c r="C655" s="205"/>
      <c r="D655" s="205"/>
      <c r="E655" s="205"/>
      <c r="F655" s="173"/>
      <c r="G655" s="341">
        <v>2019</v>
      </c>
      <c r="H655" s="343"/>
      <c r="I655" s="364"/>
      <c r="J655" s="369"/>
      <c r="K655" s="228">
        <v>1</v>
      </c>
      <c r="L655" s="91"/>
      <c r="M655" s="92"/>
    </row>
    <row r="656" spans="1:13" s="45" customFormat="1" ht="8.5500000000000007" customHeight="1" x14ac:dyDescent="0.2">
      <c r="A656" s="243"/>
      <c r="B656" s="174"/>
      <c r="C656" s="174"/>
      <c r="D656" s="174"/>
      <c r="E656" s="174"/>
      <c r="F656" s="175"/>
      <c r="G656" s="342"/>
      <c r="H656" s="344"/>
      <c r="I656" s="365"/>
      <c r="J656" s="370"/>
      <c r="K656" s="229"/>
      <c r="L656" s="91"/>
      <c r="M656" s="92"/>
    </row>
    <row r="657" spans="1:13" s="45" customFormat="1" ht="8.5500000000000007" customHeight="1" x14ac:dyDescent="0.2">
      <c r="A657" s="43"/>
      <c r="B657" s="213" t="s">
        <v>823</v>
      </c>
      <c r="C657" s="213"/>
      <c r="D657" s="213"/>
      <c r="E657" s="213"/>
      <c r="F657" s="213"/>
      <c r="G657" s="47"/>
      <c r="H657" s="47"/>
      <c r="I657" s="48"/>
      <c r="J657" s="48"/>
      <c r="K657" s="236">
        <v>85</v>
      </c>
      <c r="L657" s="290">
        <f>+K657</f>
        <v>85</v>
      </c>
      <c r="M657" s="92"/>
    </row>
    <row r="658" spans="1:13" s="45" customFormat="1" ht="8.5500000000000007" customHeight="1" x14ac:dyDescent="0.2">
      <c r="A658" s="43"/>
      <c r="B658" s="171"/>
      <c r="C658" s="171"/>
      <c r="D658" s="171"/>
      <c r="E658" s="171"/>
      <c r="F658" s="171"/>
      <c r="G658" s="54"/>
      <c r="H658" s="54"/>
      <c r="I658" s="49"/>
      <c r="J658" s="49"/>
      <c r="K658" s="225"/>
      <c r="L658" s="231"/>
      <c r="M658" s="92"/>
    </row>
    <row r="659" spans="1:13" s="45" customFormat="1" ht="8.5500000000000007" customHeight="1" x14ac:dyDescent="0.2">
      <c r="A659" s="43"/>
      <c r="B659" s="339" t="s">
        <v>824</v>
      </c>
      <c r="C659" s="339"/>
      <c r="D659" s="339"/>
      <c r="E659" s="339"/>
      <c r="F659" s="339"/>
      <c r="G659" s="47"/>
      <c r="H659" s="47"/>
      <c r="I659" s="48"/>
      <c r="J659" s="48"/>
      <c r="K659" s="164"/>
      <c r="L659" s="91"/>
      <c r="M659" s="92"/>
    </row>
    <row r="660" spans="1:13" s="45" customFormat="1" ht="8.5500000000000007" customHeight="1" x14ac:dyDescent="0.2">
      <c r="A660" s="43"/>
      <c r="B660" s="340"/>
      <c r="C660" s="340"/>
      <c r="D660" s="340"/>
      <c r="E660" s="340"/>
      <c r="F660" s="340"/>
      <c r="G660" s="54"/>
      <c r="H660" s="54"/>
      <c r="I660" s="49"/>
      <c r="J660" s="49"/>
      <c r="K660" s="165"/>
      <c r="L660" s="91"/>
      <c r="M660" s="92"/>
    </row>
    <row r="661" spans="1:13" s="45" customFormat="1" ht="8.5500000000000007" customHeight="1" x14ac:dyDescent="0.2">
      <c r="A661" s="43"/>
      <c r="B661" s="201" t="s">
        <v>562</v>
      </c>
      <c r="C661" s="201"/>
      <c r="D661" s="201"/>
      <c r="E661" s="201"/>
      <c r="F661" s="157"/>
      <c r="G661" s="251">
        <v>2004</v>
      </c>
      <c r="H661" s="304">
        <v>96</v>
      </c>
      <c r="I661" s="305">
        <v>96</v>
      </c>
      <c r="J661" s="302" t="s">
        <v>324</v>
      </c>
      <c r="K661" s="164">
        <v>3</v>
      </c>
      <c r="L661" s="91"/>
      <c r="M661" s="92"/>
    </row>
    <row r="662" spans="1:13" s="45" customFormat="1" ht="8.5500000000000007" customHeight="1" x14ac:dyDescent="0.2">
      <c r="A662" s="43"/>
      <c r="B662" s="158"/>
      <c r="C662" s="158"/>
      <c r="D662" s="158"/>
      <c r="E662" s="158"/>
      <c r="F662" s="159"/>
      <c r="G662" s="252"/>
      <c r="H662" s="303"/>
      <c r="I662" s="306"/>
      <c r="J662" s="338"/>
      <c r="K662" s="165"/>
      <c r="L662" s="91"/>
      <c r="M662" s="92"/>
    </row>
    <row r="663" spans="1:13" s="45" customFormat="1" ht="8.5500000000000007" customHeight="1" x14ac:dyDescent="0.2">
      <c r="A663" s="43"/>
      <c r="B663" s="201" t="s">
        <v>562</v>
      </c>
      <c r="C663" s="201"/>
      <c r="D663" s="201"/>
      <c r="E663" s="201"/>
      <c r="F663" s="157"/>
      <c r="G663" s="251">
        <v>2006</v>
      </c>
      <c r="H663" s="304">
        <v>94</v>
      </c>
      <c r="I663" s="305">
        <v>97</v>
      </c>
      <c r="J663" s="302" t="s">
        <v>855</v>
      </c>
      <c r="K663" s="164">
        <v>3</v>
      </c>
      <c r="L663" s="91"/>
      <c r="M663" s="92"/>
    </row>
    <row r="664" spans="1:13" s="45" customFormat="1" ht="8.5500000000000007" customHeight="1" x14ac:dyDescent="0.2">
      <c r="A664" s="43"/>
      <c r="B664" s="158"/>
      <c r="C664" s="158"/>
      <c r="D664" s="158"/>
      <c r="E664" s="158"/>
      <c r="F664" s="159"/>
      <c r="G664" s="252"/>
      <c r="H664" s="303"/>
      <c r="I664" s="306"/>
      <c r="J664" s="338"/>
      <c r="K664" s="165"/>
      <c r="L664" s="91"/>
      <c r="M664" s="92"/>
    </row>
    <row r="665" spans="1:13" s="45" customFormat="1" ht="8.5500000000000007" customHeight="1" x14ac:dyDescent="0.2">
      <c r="A665" s="43"/>
      <c r="B665" s="201" t="s">
        <v>562</v>
      </c>
      <c r="C665" s="201"/>
      <c r="D665" s="201"/>
      <c r="E665" s="201"/>
      <c r="F665" s="157"/>
      <c r="G665" s="251">
        <v>2007</v>
      </c>
      <c r="H665" s="304">
        <v>97</v>
      </c>
      <c r="I665" s="305">
        <v>94</v>
      </c>
      <c r="J665" s="302" t="s">
        <v>325</v>
      </c>
      <c r="K665" s="164">
        <v>4</v>
      </c>
      <c r="L665" s="91"/>
      <c r="M665" s="92"/>
    </row>
    <row r="666" spans="1:13" s="45" customFormat="1" ht="8.5500000000000007" customHeight="1" x14ac:dyDescent="0.2">
      <c r="A666" s="43"/>
      <c r="B666" s="158"/>
      <c r="C666" s="158"/>
      <c r="D666" s="158"/>
      <c r="E666" s="158"/>
      <c r="F666" s="159"/>
      <c r="G666" s="252"/>
      <c r="H666" s="303"/>
      <c r="I666" s="306"/>
      <c r="J666" s="338"/>
      <c r="K666" s="165"/>
      <c r="L666" s="91"/>
      <c r="M666" s="92"/>
    </row>
    <row r="667" spans="1:13" s="45" customFormat="1" ht="8.5500000000000007" customHeight="1" x14ac:dyDescent="0.2">
      <c r="A667" s="43"/>
      <c r="B667" s="201" t="s">
        <v>562</v>
      </c>
      <c r="C667" s="201"/>
      <c r="D667" s="201"/>
      <c r="E667" s="201"/>
      <c r="F667" s="157"/>
      <c r="G667" s="251">
        <v>2009</v>
      </c>
      <c r="H667" s="304" t="s">
        <v>1571</v>
      </c>
      <c r="I667" s="305"/>
      <c r="J667" s="302" t="s">
        <v>1550</v>
      </c>
      <c r="K667" s="164">
        <v>4</v>
      </c>
      <c r="L667" s="91"/>
      <c r="M667" s="92"/>
    </row>
    <row r="668" spans="1:13" s="45" customFormat="1" ht="8.5500000000000007" customHeight="1" x14ac:dyDescent="0.2">
      <c r="A668" s="43"/>
      <c r="B668" s="158"/>
      <c r="C668" s="158"/>
      <c r="D668" s="158"/>
      <c r="E668" s="158"/>
      <c r="F668" s="159"/>
      <c r="G668" s="252"/>
      <c r="H668" s="303"/>
      <c r="I668" s="306"/>
      <c r="J668" s="338"/>
      <c r="K668" s="165"/>
      <c r="L668" s="91"/>
      <c r="M668" s="92"/>
    </row>
    <row r="669" spans="1:13" s="45" customFormat="1" ht="8.5500000000000007" customHeight="1" x14ac:dyDescent="0.2">
      <c r="A669" s="43"/>
      <c r="B669" s="201" t="s">
        <v>561</v>
      </c>
      <c r="C669" s="201"/>
      <c r="D669" s="201"/>
      <c r="E669" s="201"/>
      <c r="F669" s="157"/>
      <c r="G669" s="251">
        <v>1977</v>
      </c>
      <c r="H669" s="304"/>
      <c r="I669" s="305"/>
      <c r="J669" s="332"/>
      <c r="K669" s="164">
        <v>1</v>
      </c>
      <c r="L669" s="91"/>
      <c r="M669" s="92"/>
    </row>
    <row r="670" spans="1:13" s="45" customFormat="1" ht="8.5500000000000007" customHeight="1" x14ac:dyDescent="0.2">
      <c r="A670" s="43"/>
      <c r="B670" s="158"/>
      <c r="C670" s="158"/>
      <c r="D670" s="158"/>
      <c r="E670" s="158"/>
      <c r="F670" s="159"/>
      <c r="G670" s="252"/>
      <c r="H670" s="303"/>
      <c r="I670" s="306"/>
      <c r="J670" s="349"/>
      <c r="K670" s="165"/>
      <c r="L670" s="91"/>
      <c r="M670" s="92"/>
    </row>
    <row r="671" spans="1:13" s="45" customFormat="1" ht="8.5500000000000007" customHeight="1" x14ac:dyDescent="0.2">
      <c r="A671" s="43"/>
      <c r="B671" s="201" t="s">
        <v>561</v>
      </c>
      <c r="C671" s="201"/>
      <c r="D671" s="201"/>
      <c r="E671" s="201"/>
      <c r="F671" s="157"/>
      <c r="G671" s="251">
        <v>1997</v>
      </c>
      <c r="H671" s="304">
        <v>94</v>
      </c>
      <c r="I671" s="305"/>
      <c r="J671" s="332"/>
      <c r="K671" s="164">
        <v>2</v>
      </c>
      <c r="L671" s="91"/>
      <c r="M671" s="92"/>
    </row>
    <row r="672" spans="1:13" s="45" customFormat="1" ht="8.5500000000000007" customHeight="1" x14ac:dyDescent="0.2">
      <c r="A672" s="43"/>
      <c r="B672" s="158"/>
      <c r="C672" s="158"/>
      <c r="D672" s="158"/>
      <c r="E672" s="158"/>
      <c r="F672" s="159"/>
      <c r="G672" s="252"/>
      <c r="H672" s="303"/>
      <c r="I672" s="306"/>
      <c r="J672" s="349"/>
      <c r="K672" s="165"/>
      <c r="L672" s="91"/>
      <c r="M672" s="92"/>
    </row>
    <row r="673" spans="1:13" s="45" customFormat="1" ht="8.5500000000000007" customHeight="1" x14ac:dyDescent="0.2">
      <c r="A673" s="43"/>
      <c r="B673" s="201" t="s">
        <v>561</v>
      </c>
      <c r="C673" s="201"/>
      <c r="D673" s="201"/>
      <c r="E673" s="201"/>
      <c r="F673" s="157"/>
      <c r="G673" s="251">
        <v>1998</v>
      </c>
      <c r="H673" s="304">
        <v>91</v>
      </c>
      <c r="I673" s="305">
        <v>89</v>
      </c>
      <c r="J673" s="332" t="s">
        <v>115</v>
      </c>
      <c r="K673" s="164">
        <v>1</v>
      </c>
      <c r="L673" s="91"/>
      <c r="M673" s="92"/>
    </row>
    <row r="674" spans="1:13" s="45" customFormat="1" ht="8.5500000000000007" customHeight="1" x14ac:dyDescent="0.2">
      <c r="A674" s="43"/>
      <c r="B674" s="158"/>
      <c r="C674" s="158"/>
      <c r="D674" s="158"/>
      <c r="E674" s="158"/>
      <c r="F674" s="159"/>
      <c r="G674" s="252"/>
      <c r="H674" s="303"/>
      <c r="I674" s="306"/>
      <c r="J674" s="349"/>
      <c r="K674" s="165"/>
      <c r="L674" s="91"/>
      <c r="M674" s="92"/>
    </row>
    <row r="675" spans="1:13" s="45" customFormat="1" ht="8.5500000000000007" customHeight="1" x14ac:dyDescent="0.2">
      <c r="A675" s="43"/>
      <c r="B675" s="201" t="s">
        <v>561</v>
      </c>
      <c r="C675" s="201"/>
      <c r="D675" s="201"/>
      <c r="E675" s="201"/>
      <c r="F675" s="157"/>
      <c r="G675" s="251">
        <v>2001</v>
      </c>
      <c r="H675" s="304">
        <v>93</v>
      </c>
      <c r="I675" s="305"/>
      <c r="J675" s="332" t="s">
        <v>1574</v>
      </c>
      <c r="K675" s="164">
        <v>1</v>
      </c>
      <c r="L675" s="91"/>
      <c r="M675" s="92"/>
    </row>
    <row r="676" spans="1:13" s="45" customFormat="1" ht="8.5500000000000007" customHeight="1" x14ac:dyDescent="0.2">
      <c r="A676" s="43"/>
      <c r="B676" s="158"/>
      <c r="C676" s="158"/>
      <c r="D676" s="158"/>
      <c r="E676" s="158"/>
      <c r="F676" s="159"/>
      <c r="G676" s="252"/>
      <c r="H676" s="303"/>
      <c r="I676" s="306"/>
      <c r="J676" s="349"/>
      <c r="K676" s="165"/>
      <c r="L676" s="91"/>
      <c r="M676" s="92"/>
    </row>
    <row r="677" spans="1:13" s="45" customFormat="1" ht="8.5500000000000007" customHeight="1" x14ac:dyDescent="0.2">
      <c r="A677" s="43"/>
      <c r="B677" s="201" t="s">
        <v>561</v>
      </c>
      <c r="C677" s="201"/>
      <c r="D677" s="201"/>
      <c r="E677" s="201"/>
      <c r="F677" s="157"/>
      <c r="G677" s="251">
        <v>2004</v>
      </c>
      <c r="H677" s="304">
        <v>93</v>
      </c>
      <c r="I677" s="305"/>
      <c r="J677" s="332"/>
      <c r="K677" s="164">
        <v>2</v>
      </c>
      <c r="L677" s="91"/>
      <c r="M677" s="92"/>
    </row>
    <row r="678" spans="1:13" s="45" customFormat="1" ht="8.5500000000000007" customHeight="1" x14ac:dyDescent="0.2">
      <c r="A678" s="43"/>
      <c r="B678" s="158"/>
      <c r="C678" s="158"/>
      <c r="D678" s="158"/>
      <c r="E678" s="158"/>
      <c r="F678" s="159"/>
      <c r="G678" s="252"/>
      <c r="H678" s="303"/>
      <c r="I678" s="306"/>
      <c r="J678" s="349"/>
      <c r="K678" s="165"/>
      <c r="L678" s="91"/>
      <c r="M678" s="92"/>
    </row>
    <row r="679" spans="1:13" s="45" customFormat="1" ht="8.5500000000000007" customHeight="1" x14ac:dyDescent="0.2">
      <c r="A679" s="43"/>
      <c r="B679" s="201" t="s">
        <v>561</v>
      </c>
      <c r="C679" s="201"/>
      <c r="D679" s="201"/>
      <c r="E679" s="201"/>
      <c r="F679" s="157"/>
      <c r="G679" s="251">
        <v>2005</v>
      </c>
      <c r="H679" s="304">
        <v>92</v>
      </c>
      <c r="I679" s="305"/>
      <c r="J679" s="332" t="s">
        <v>1575</v>
      </c>
      <c r="K679" s="164">
        <v>1</v>
      </c>
      <c r="L679" s="91"/>
      <c r="M679" s="92"/>
    </row>
    <row r="680" spans="1:13" s="45" customFormat="1" ht="8.5500000000000007" customHeight="1" x14ac:dyDescent="0.2">
      <c r="A680" s="43"/>
      <c r="B680" s="158"/>
      <c r="C680" s="158"/>
      <c r="D680" s="158"/>
      <c r="E680" s="158"/>
      <c r="F680" s="159"/>
      <c r="G680" s="252"/>
      <c r="H680" s="303"/>
      <c r="I680" s="306"/>
      <c r="J680" s="349"/>
      <c r="K680" s="165"/>
      <c r="L680" s="91"/>
      <c r="M680" s="92"/>
    </row>
    <row r="681" spans="1:13" s="45" customFormat="1" ht="8.5500000000000007" customHeight="1" x14ac:dyDescent="0.2">
      <c r="A681" s="43"/>
      <c r="B681" s="201" t="s">
        <v>561</v>
      </c>
      <c r="C681" s="201"/>
      <c r="D681" s="201"/>
      <c r="E681" s="201"/>
      <c r="F681" s="157"/>
      <c r="G681" s="251">
        <v>2007</v>
      </c>
      <c r="H681" s="304">
        <v>95</v>
      </c>
      <c r="I681" s="305">
        <v>92</v>
      </c>
      <c r="J681" s="302" t="s">
        <v>262</v>
      </c>
      <c r="K681" s="164">
        <v>1</v>
      </c>
      <c r="L681" s="91"/>
      <c r="M681" s="92"/>
    </row>
    <row r="682" spans="1:13" s="45" customFormat="1" ht="8.5500000000000007" customHeight="1" x14ac:dyDescent="0.2">
      <c r="A682" s="43"/>
      <c r="B682" s="158"/>
      <c r="C682" s="158"/>
      <c r="D682" s="158"/>
      <c r="E682" s="158"/>
      <c r="F682" s="159"/>
      <c r="G682" s="252"/>
      <c r="H682" s="303"/>
      <c r="I682" s="306"/>
      <c r="J682" s="338"/>
      <c r="K682" s="165"/>
      <c r="L682" s="91"/>
      <c r="M682" s="92"/>
    </row>
    <row r="683" spans="1:13" s="45" customFormat="1" ht="8.5500000000000007" customHeight="1" x14ac:dyDescent="0.2">
      <c r="A683" s="43"/>
      <c r="B683" s="339" t="s">
        <v>825</v>
      </c>
      <c r="C683" s="339"/>
      <c r="D683" s="339"/>
      <c r="E683" s="339"/>
      <c r="F683" s="339"/>
      <c r="G683" s="79"/>
      <c r="H683" s="79"/>
      <c r="I683" s="79"/>
      <c r="J683" s="79"/>
      <c r="K683" s="164"/>
      <c r="L683" s="91"/>
      <c r="M683" s="92"/>
    </row>
    <row r="684" spans="1:13" s="45" customFormat="1" ht="8.5500000000000007" customHeight="1" x14ac:dyDescent="0.2">
      <c r="A684" s="43"/>
      <c r="B684" s="340"/>
      <c r="C684" s="340"/>
      <c r="D684" s="340"/>
      <c r="E684" s="340"/>
      <c r="F684" s="340"/>
      <c r="G684" s="80"/>
      <c r="H684" s="80"/>
      <c r="I684" s="80"/>
      <c r="J684" s="80"/>
      <c r="K684" s="165"/>
      <c r="L684" s="91"/>
      <c r="M684" s="92"/>
    </row>
    <row r="685" spans="1:13" s="45" customFormat="1" ht="8.5500000000000007" customHeight="1" x14ac:dyDescent="0.2">
      <c r="A685" s="43"/>
      <c r="B685" s="201" t="s">
        <v>561</v>
      </c>
      <c r="C685" s="201"/>
      <c r="D685" s="201"/>
      <c r="E685" s="201"/>
      <c r="F685" s="157"/>
      <c r="G685" s="251">
        <v>2016</v>
      </c>
      <c r="H685" s="304">
        <v>97</v>
      </c>
      <c r="I685" s="305"/>
      <c r="J685" s="302" t="s">
        <v>265</v>
      </c>
      <c r="K685" s="164">
        <v>3</v>
      </c>
      <c r="L685" s="91"/>
      <c r="M685" s="92"/>
    </row>
    <row r="686" spans="1:13" s="45" customFormat="1" ht="8.5500000000000007" customHeight="1" x14ac:dyDescent="0.2">
      <c r="A686" s="43"/>
      <c r="B686" s="158"/>
      <c r="C686" s="158"/>
      <c r="D686" s="158"/>
      <c r="E686" s="158"/>
      <c r="F686" s="159"/>
      <c r="G686" s="252"/>
      <c r="H686" s="303"/>
      <c r="I686" s="306"/>
      <c r="J686" s="338"/>
      <c r="K686" s="165"/>
      <c r="L686" s="91"/>
      <c r="M686" s="92"/>
    </row>
    <row r="687" spans="1:13" s="45" customFormat="1" ht="8.5500000000000007" customHeight="1" x14ac:dyDescent="0.2">
      <c r="A687" s="43"/>
      <c r="B687" s="201" t="s">
        <v>561</v>
      </c>
      <c r="C687" s="201"/>
      <c r="D687" s="201"/>
      <c r="E687" s="201"/>
      <c r="F687" s="157"/>
      <c r="G687" s="251">
        <v>2021</v>
      </c>
      <c r="H687" s="304">
        <v>98</v>
      </c>
      <c r="I687" s="305"/>
      <c r="J687" s="302" t="s">
        <v>1870</v>
      </c>
      <c r="K687" s="164">
        <v>4</v>
      </c>
      <c r="L687" s="91"/>
      <c r="M687" s="92"/>
    </row>
    <row r="688" spans="1:13" s="45" customFormat="1" ht="8.5500000000000007" customHeight="1" x14ac:dyDescent="0.2">
      <c r="A688" s="43"/>
      <c r="B688" s="158"/>
      <c r="C688" s="158"/>
      <c r="D688" s="158"/>
      <c r="E688" s="158"/>
      <c r="F688" s="159"/>
      <c r="G688" s="252"/>
      <c r="H688" s="303"/>
      <c r="I688" s="306"/>
      <c r="J688" s="338"/>
      <c r="K688" s="165"/>
      <c r="L688" s="91"/>
      <c r="M688" s="92"/>
    </row>
    <row r="689" spans="1:13" s="45" customFormat="1" ht="8.5500000000000007" customHeight="1" x14ac:dyDescent="0.2">
      <c r="A689" s="43"/>
      <c r="B689" s="201" t="s">
        <v>1063</v>
      </c>
      <c r="C689" s="201"/>
      <c r="D689" s="201"/>
      <c r="E689" s="201"/>
      <c r="F689" s="157"/>
      <c r="G689" s="251">
        <v>1998</v>
      </c>
      <c r="H689" s="304">
        <v>92</v>
      </c>
      <c r="I689" s="305"/>
      <c r="J689" s="302"/>
      <c r="K689" s="164">
        <v>1</v>
      </c>
      <c r="L689" s="91"/>
      <c r="M689" s="92"/>
    </row>
    <row r="690" spans="1:13" s="45" customFormat="1" ht="8.5500000000000007" customHeight="1" x14ac:dyDescent="0.2">
      <c r="A690" s="43"/>
      <c r="B690" s="158"/>
      <c r="C690" s="158"/>
      <c r="D690" s="158"/>
      <c r="E690" s="158"/>
      <c r="F690" s="159"/>
      <c r="G690" s="252"/>
      <c r="H690" s="303"/>
      <c r="I690" s="306"/>
      <c r="J690" s="338"/>
      <c r="K690" s="165"/>
      <c r="L690" s="91"/>
      <c r="M690" s="92"/>
    </row>
    <row r="691" spans="1:13" s="45" customFormat="1" ht="8.5500000000000007" customHeight="1" x14ac:dyDescent="0.2">
      <c r="A691" s="43"/>
      <c r="B691" s="201" t="s">
        <v>1063</v>
      </c>
      <c r="C691" s="201"/>
      <c r="D691" s="201"/>
      <c r="E691" s="201"/>
      <c r="F691" s="157"/>
      <c r="G691" s="251">
        <v>2008</v>
      </c>
      <c r="H691" s="304">
        <v>95</v>
      </c>
      <c r="I691" s="305"/>
      <c r="J691" s="302" t="s">
        <v>1147</v>
      </c>
      <c r="K691" s="164">
        <v>3</v>
      </c>
      <c r="L691" s="91"/>
      <c r="M691" s="92"/>
    </row>
    <row r="692" spans="1:13" s="45" customFormat="1" ht="8.5500000000000007" customHeight="1" x14ac:dyDescent="0.2">
      <c r="A692" s="43"/>
      <c r="B692" s="158"/>
      <c r="C692" s="158"/>
      <c r="D692" s="158"/>
      <c r="E692" s="158"/>
      <c r="F692" s="159"/>
      <c r="G692" s="252"/>
      <c r="H692" s="303"/>
      <c r="I692" s="306"/>
      <c r="J692" s="338"/>
      <c r="K692" s="165"/>
      <c r="L692" s="91"/>
      <c r="M692" s="92"/>
    </row>
    <row r="693" spans="1:13" s="45" customFormat="1" ht="8.5500000000000007" customHeight="1" x14ac:dyDescent="0.2">
      <c r="A693" s="43"/>
      <c r="B693" s="201" t="s">
        <v>1063</v>
      </c>
      <c r="C693" s="201"/>
      <c r="D693" s="201"/>
      <c r="E693" s="201"/>
      <c r="F693" s="157"/>
      <c r="G693" s="251">
        <v>2011</v>
      </c>
      <c r="H693" s="304">
        <v>95</v>
      </c>
      <c r="I693" s="305"/>
      <c r="J693" s="302"/>
      <c r="K693" s="164">
        <v>2</v>
      </c>
      <c r="L693" s="91"/>
      <c r="M693" s="92"/>
    </row>
    <row r="694" spans="1:13" s="45" customFormat="1" ht="8.5500000000000007" customHeight="1" x14ac:dyDescent="0.2">
      <c r="A694" s="43"/>
      <c r="B694" s="158"/>
      <c r="C694" s="158"/>
      <c r="D694" s="158"/>
      <c r="E694" s="158"/>
      <c r="F694" s="159"/>
      <c r="G694" s="252"/>
      <c r="H694" s="303"/>
      <c r="I694" s="306"/>
      <c r="J694" s="338"/>
      <c r="K694" s="165"/>
      <c r="L694" s="91"/>
      <c r="M694" s="92"/>
    </row>
    <row r="695" spans="1:13" s="45" customFormat="1" ht="8.5500000000000007" customHeight="1" x14ac:dyDescent="0.2">
      <c r="A695" s="43"/>
      <c r="B695" s="201" t="s">
        <v>1063</v>
      </c>
      <c r="C695" s="201"/>
      <c r="D695" s="201"/>
      <c r="E695" s="201"/>
      <c r="F695" s="157"/>
      <c r="G695" s="251">
        <v>2013</v>
      </c>
      <c r="H695" s="304">
        <v>96</v>
      </c>
      <c r="I695" s="305"/>
      <c r="J695" s="302"/>
      <c r="K695" s="164">
        <v>3</v>
      </c>
      <c r="L695" s="91"/>
      <c r="M695" s="92"/>
    </row>
    <row r="696" spans="1:13" s="45" customFormat="1" ht="8.5500000000000007" customHeight="1" x14ac:dyDescent="0.2">
      <c r="A696" s="43"/>
      <c r="B696" s="158"/>
      <c r="C696" s="158"/>
      <c r="D696" s="158"/>
      <c r="E696" s="158"/>
      <c r="F696" s="159"/>
      <c r="G696" s="252"/>
      <c r="H696" s="303"/>
      <c r="I696" s="306"/>
      <c r="J696" s="338"/>
      <c r="K696" s="165"/>
      <c r="L696" s="91"/>
      <c r="M696" s="92"/>
    </row>
    <row r="697" spans="1:13" s="45" customFormat="1" ht="8.5500000000000007" customHeight="1" x14ac:dyDescent="0.2">
      <c r="A697" s="43"/>
      <c r="B697" s="201" t="s">
        <v>1759</v>
      </c>
      <c r="C697" s="201"/>
      <c r="D697" s="201"/>
      <c r="E697" s="201"/>
      <c r="F697" s="157"/>
      <c r="G697" s="251">
        <v>2012</v>
      </c>
      <c r="H697" s="304">
        <v>95</v>
      </c>
      <c r="I697" s="305"/>
      <c r="J697" s="302" t="s">
        <v>25</v>
      </c>
      <c r="K697" s="164">
        <v>3</v>
      </c>
      <c r="L697" s="91"/>
      <c r="M697" s="92"/>
    </row>
    <row r="698" spans="1:13" s="45" customFormat="1" ht="8.5500000000000007" customHeight="1" x14ac:dyDescent="0.2">
      <c r="A698" s="43"/>
      <c r="B698" s="158"/>
      <c r="C698" s="158"/>
      <c r="D698" s="158"/>
      <c r="E698" s="158"/>
      <c r="F698" s="159"/>
      <c r="G698" s="252"/>
      <c r="H698" s="303"/>
      <c r="I698" s="306"/>
      <c r="J698" s="338"/>
      <c r="K698" s="165"/>
      <c r="L698" s="91"/>
      <c r="M698" s="92"/>
    </row>
    <row r="699" spans="1:13" s="45" customFormat="1" ht="8.5500000000000007" customHeight="1" x14ac:dyDescent="0.2">
      <c r="A699" s="43"/>
      <c r="B699" s="201" t="s">
        <v>1119</v>
      </c>
      <c r="C699" s="201"/>
      <c r="D699" s="201"/>
      <c r="E699" s="201"/>
      <c r="F699" s="157"/>
      <c r="G699" s="251">
        <v>1997</v>
      </c>
      <c r="H699" s="304">
        <v>95</v>
      </c>
      <c r="I699" s="305">
        <v>95</v>
      </c>
      <c r="J699" s="302" t="s">
        <v>247</v>
      </c>
      <c r="K699" s="164">
        <v>2</v>
      </c>
      <c r="L699" s="91"/>
      <c r="M699" s="92"/>
    </row>
    <row r="700" spans="1:13" s="45" customFormat="1" ht="8.5500000000000007" customHeight="1" x14ac:dyDescent="0.2">
      <c r="A700" s="43"/>
      <c r="B700" s="158"/>
      <c r="C700" s="158"/>
      <c r="D700" s="158"/>
      <c r="E700" s="158"/>
      <c r="F700" s="159"/>
      <c r="G700" s="252"/>
      <c r="H700" s="303"/>
      <c r="I700" s="306"/>
      <c r="J700" s="338"/>
      <c r="K700" s="165"/>
      <c r="L700" s="91"/>
      <c r="M700" s="92"/>
    </row>
    <row r="701" spans="1:13" s="45" customFormat="1" ht="8.5500000000000007" customHeight="1" x14ac:dyDescent="0.2">
      <c r="A701" s="43"/>
      <c r="B701" s="201" t="s">
        <v>564</v>
      </c>
      <c r="C701" s="201"/>
      <c r="D701" s="201"/>
      <c r="E701" s="201"/>
      <c r="F701" s="157"/>
      <c r="G701" s="251">
        <v>1999</v>
      </c>
      <c r="H701" s="304">
        <v>94</v>
      </c>
      <c r="I701" s="305"/>
      <c r="J701" s="302"/>
      <c r="K701" s="164">
        <v>2</v>
      </c>
      <c r="L701" s="91"/>
      <c r="M701" s="92"/>
    </row>
    <row r="702" spans="1:13" s="45" customFormat="1" ht="8.5500000000000007" customHeight="1" x14ac:dyDescent="0.2">
      <c r="A702" s="43"/>
      <c r="B702" s="158"/>
      <c r="C702" s="158"/>
      <c r="D702" s="158"/>
      <c r="E702" s="158"/>
      <c r="F702" s="159"/>
      <c r="G702" s="252"/>
      <c r="H702" s="303"/>
      <c r="I702" s="306"/>
      <c r="J702" s="338"/>
      <c r="K702" s="165"/>
      <c r="L702" s="91"/>
      <c r="M702" s="92"/>
    </row>
    <row r="703" spans="1:13" s="45" customFormat="1" ht="8.5500000000000007" customHeight="1" x14ac:dyDescent="0.2">
      <c r="A703" s="43"/>
      <c r="B703" s="201" t="s">
        <v>564</v>
      </c>
      <c r="C703" s="201"/>
      <c r="D703" s="201"/>
      <c r="E703" s="201"/>
      <c r="F703" s="157"/>
      <c r="G703" s="251">
        <v>2001</v>
      </c>
      <c r="H703" s="304">
        <v>96</v>
      </c>
      <c r="I703" s="305">
        <v>95</v>
      </c>
      <c r="J703" s="302" t="s">
        <v>283</v>
      </c>
      <c r="K703" s="164">
        <v>1</v>
      </c>
      <c r="L703" s="91"/>
      <c r="M703" s="92"/>
    </row>
    <row r="704" spans="1:13" s="45" customFormat="1" ht="8.5500000000000007" customHeight="1" x14ac:dyDescent="0.2">
      <c r="A704" s="43"/>
      <c r="B704" s="158"/>
      <c r="C704" s="158"/>
      <c r="D704" s="158"/>
      <c r="E704" s="158"/>
      <c r="F704" s="159"/>
      <c r="G704" s="252"/>
      <c r="H704" s="303"/>
      <c r="I704" s="306"/>
      <c r="J704" s="338"/>
      <c r="K704" s="165"/>
      <c r="L704" s="91"/>
      <c r="M704" s="92"/>
    </row>
    <row r="705" spans="1:13" s="45" customFormat="1" ht="8.5500000000000007" customHeight="1" x14ac:dyDescent="0.2">
      <c r="A705" s="43"/>
      <c r="B705" s="201" t="s">
        <v>564</v>
      </c>
      <c r="C705" s="201"/>
      <c r="D705" s="201"/>
      <c r="E705" s="201"/>
      <c r="F705" s="157"/>
      <c r="G705" s="251">
        <v>2002</v>
      </c>
      <c r="H705" s="304">
        <v>92</v>
      </c>
      <c r="I705" s="305">
        <v>90</v>
      </c>
      <c r="J705" s="332" t="s">
        <v>348</v>
      </c>
      <c r="K705" s="164">
        <v>1</v>
      </c>
      <c r="L705" s="91"/>
      <c r="M705" s="92"/>
    </row>
    <row r="706" spans="1:13" s="45" customFormat="1" ht="8.5500000000000007" customHeight="1" x14ac:dyDescent="0.2">
      <c r="A706" s="43"/>
      <c r="B706" s="158"/>
      <c r="C706" s="158"/>
      <c r="D706" s="158"/>
      <c r="E706" s="158"/>
      <c r="F706" s="159"/>
      <c r="G706" s="252"/>
      <c r="H706" s="303"/>
      <c r="I706" s="306"/>
      <c r="J706" s="349"/>
      <c r="K706" s="165"/>
      <c r="L706" s="91"/>
      <c r="M706" s="92"/>
    </row>
    <row r="707" spans="1:13" s="45" customFormat="1" ht="8.5500000000000007" customHeight="1" x14ac:dyDescent="0.2">
      <c r="A707" s="43"/>
      <c r="B707" s="201" t="s">
        <v>564</v>
      </c>
      <c r="C707" s="201"/>
      <c r="D707" s="201"/>
      <c r="E707" s="201"/>
      <c r="F707" s="157"/>
      <c r="G707" s="251">
        <v>2003</v>
      </c>
      <c r="H707" s="304">
        <v>93</v>
      </c>
      <c r="I707" s="305">
        <v>92</v>
      </c>
      <c r="J707" s="332" t="s">
        <v>235</v>
      </c>
      <c r="K707" s="164">
        <v>1</v>
      </c>
      <c r="L707" s="91"/>
      <c r="M707" s="92"/>
    </row>
    <row r="708" spans="1:13" s="45" customFormat="1" ht="8.5500000000000007" customHeight="1" x14ac:dyDescent="0.2">
      <c r="A708" s="43"/>
      <c r="B708" s="158"/>
      <c r="C708" s="158"/>
      <c r="D708" s="158"/>
      <c r="E708" s="158"/>
      <c r="F708" s="159"/>
      <c r="G708" s="252"/>
      <c r="H708" s="303"/>
      <c r="I708" s="306"/>
      <c r="J708" s="349"/>
      <c r="K708" s="165"/>
      <c r="L708" s="91"/>
      <c r="M708" s="92"/>
    </row>
    <row r="709" spans="1:13" s="45" customFormat="1" ht="8.5500000000000007" customHeight="1" x14ac:dyDescent="0.2">
      <c r="A709" s="43"/>
      <c r="B709" s="201" t="s">
        <v>564</v>
      </c>
      <c r="C709" s="201"/>
      <c r="D709" s="201"/>
      <c r="E709" s="201"/>
      <c r="F709" s="157"/>
      <c r="G709" s="251">
        <v>2004</v>
      </c>
      <c r="H709" s="304">
        <v>95</v>
      </c>
      <c r="I709" s="305">
        <v>97</v>
      </c>
      <c r="J709" s="302" t="s">
        <v>349</v>
      </c>
      <c r="K709" s="164">
        <v>1</v>
      </c>
      <c r="L709" s="91"/>
      <c r="M709" s="92"/>
    </row>
    <row r="710" spans="1:13" s="45" customFormat="1" ht="8.5500000000000007" customHeight="1" x14ac:dyDescent="0.2">
      <c r="A710" s="43"/>
      <c r="B710" s="158"/>
      <c r="C710" s="158"/>
      <c r="D710" s="158"/>
      <c r="E710" s="158"/>
      <c r="F710" s="159"/>
      <c r="G710" s="252"/>
      <c r="H710" s="303"/>
      <c r="I710" s="306"/>
      <c r="J710" s="338"/>
      <c r="K710" s="165"/>
      <c r="L710" s="91"/>
      <c r="M710" s="92"/>
    </row>
    <row r="711" spans="1:13" s="45" customFormat="1" ht="8.5500000000000007" customHeight="1" x14ac:dyDescent="0.2">
      <c r="A711" s="43"/>
      <c r="B711" s="201" t="s">
        <v>564</v>
      </c>
      <c r="C711" s="201"/>
      <c r="D711" s="201"/>
      <c r="E711" s="201"/>
      <c r="F711" s="157"/>
      <c r="G711" s="251">
        <v>2005</v>
      </c>
      <c r="H711" s="304">
        <v>93</v>
      </c>
      <c r="I711" s="305">
        <v>95</v>
      </c>
      <c r="J711" s="302" t="s">
        <v>222</v>
      </c>
      <c r="K711" s="164">
        <v>1</v>
      </c>
      <c r="L711" s="91"/>
      <c r="M711" s="92"/>
    </row>
    <row r="712" spans="1:13" s="45" customFormat="1" ht="8.5500000000000007" customHeight="1" x14ac:dyDescent="0.2">
      <c r="A712" s="43"/>
      <c r="B712" s="158"/>
      <c r="C712" s="158"/>
      <c r="D712" s="158"/>
      <c r="E712" s="158"/>
      <c r="F712" s="159"/>
      <c r="G712" s="252"/>
      <c r="H712" s="303"/>
      <c r="I712" s="306"/>
      <c r="J712" s="338"/>
      <c r="K712" s="165"/>
      <c r="L712" s="91"/>
      <c r="M712" s="92"/>
    </row>
    <row r="713" spans="1:13" s="45" customFormat="1" ht="8.5500000000000007" customHeight="1" x14ac:dyDescent="0.2">
      <c r="A713" s="43"/>
      <c r="B713" s="201" t="s">
        <v>564</v>
      </c>
      <c r="C713" s="201"/>
      <c r="D713" s="201"/>
      <c r="E713" s="201"/>
      <c r="F713" s="157"/>
      <c r="G713" s="251">
        <v>2006</v>
      </c>
      <c r="H713" s="304">
        <v>99</v>
      </c>
      <c r="I713" s="305">
        <v>95</v>
      </c>
      <c r="J713" s="302" t="s">
        <v>322</v>
      </c>
      <c r="K713" s="164">
        <v>3</v>
      </c>
      <c r="L713" s="91"/>
      <c r="M713" s="92"/>
    </row>
    <row r="714" spans="1:13" s="45" customFormat="1" ht="8.5500000000000007" customHeight="1" x14ac:dyDescent="0.2">
      <c r="A714" s="43"/>
      <c r="B714" s="158"/>
      <c r="C714" s="158"/>
      <c r="D714" s="158"/>
      <c r="E714" s="158"/>
      <c r="F714" s="159"/>
      <c r="G714" s="252"/>
      <c r="H714" s="303"/>
      <c r="I714" s="306"/>
      <c r="J714" s="338"/>
      <c r="K714" s="165"/>
      <c r="L714" s="91"/>
      <c r="M714" s="92"/>
    </row>
    <row r="715" spans="1:13" s="45" customFormat="1" ht="8.5500000000000007" customHeight="1" x14ac:dyDescent="0.2">
      <c r="A715" s="43"/>
      <c r="B715" s="201" t="s">
        <v>564</v>
      </c>
      <c r="C715" s="201"/>
      <c r="D715" s="201"/>
      <c r="E715" s="201"/>
      <c r="F715" s="157"/>
      <c r="G715" s="251">
        <v>2008</v>
      </c>
      <c r="H715" s="304">
        <v>97</v>
      </c>
      <c r="I715" s="305">
        <v>93</v>
      </c>
      <c r="J715" s="302" t="s">
        <v>601</v>
      </c>
      <c r="K715" s="164">
        <v>1</v>
      </c>
      <c r="L715" s="91"/>
      <c r="M715" s="92"/>
    </row>
    <row r="716" spans="1:13" s="45" customFormat="1" ht="8.5500000000000007" customHeight="1" x14ac:dyDescent="0.2">
      <c r="A716" s="43"/>
      <c r="B716" s="158"/>
      <c r="C716" s="158"/>
      <c r="D716" s="158"/>
      <c r="E716" s="158"/>
      <c r="F716" s="159"/>
      <c r="G716" s="252"/>
      <c r="H716" s="303"/>
      <c r="I716" s="306"/>
      <c r="J716" s="338"/>
      <c r="K716" s="165"/>
      <c r="L716" s="91"/>
      <c r="M716" s="92"/>
    </row>
    <row r="717" spans="1:13" s="45" customFormat="1" ht="8.5500000000000007" customHeight="1" x14ac:dyDescent="0.2">
      <c r="A717" s="43"/>
      <c r="B717" s="201" t="s">
        <v>1341</v>
      </c>
      <c r="C717" s="201"/>
      <c r="D717" s="201"/>
      <c r="E717" s="201"/>
      <c r="F717" s="157"/>
      <c r="G717" s="251">
        <v>1998</v>
      </c>
      <c r="H717" s="304">
        <v>93</v>
      </c>
      <c r="I717" s="305"/>
      <c r="J717" s="302"/>
      <c r="K717" s="164">
        <v>1</v>
      </c>
      <c r="L717" s="91"/>
      <c r="M717" s="92"/>
    </row>
    <row r="718" spans="1:13" s="45" customFormat="1" ht="8.5500000000000007" customHeight="1" x14ac:dyDescent="0.2">
      <c r="A718" s="43"/>
      <c r="B718" s="158"/>
      <c r="C718" s="158"/>
      <c r="D718" s="158"/>
      <c r="E718" s="158"/>
      <c r="F718" s="159"/>
      <c r="G718" s="252"/>
      <c r="H718" s="303"/>
      <c r="I718" s="306"/>
      <c r="J718" s="338"/>
      <c r="K718" s="165"/>
      <c r="L718" s="91"/>
      <c r="M718" s="92"/>
    </row>
    <row r="719" spans="1:13" s="45" customFormat="1" ht="8.5500000000000007" customHeight="1" x14ac:dyDescent="0.2">
      <c r="A719" s="43"/>
      <c r="B719" s="201" t="s">
        <v>565</v>
      </c>
      <c r="C719" s="201"/>
      <c r="D719" s="201"/>
      <c r="E719" s="201"/>
      <c r="F719" s="157"/>
      <c r="G719" s="251">
        <v>1992</v>
      </c>
      <c r="H719" s="304">
        <v>89</v>
      </c>
      <c r="I719" s="305"/>
      <c r="J719" s="302"/>
      <c r="K719" s="164">
        <v>2</v>
      </c>
      <c r="L719" s="91"/>
      <c r="M719" s="92"/>
    </row>
    <row r="720" spans="1:13" s="45" customFormat="1" ht="8.5500000000000007" customHeight="1" x14ac:dyDescent="0.2">
      <c r="A720" s="43"/>
      <c r="B720" s="158"/>
      <c r="C720" s="158"/>
      <c r="D720" s="158"/>
      <c r="E720" s="158"/>
      <c r="F720" s="159"/>
      <c r="G720" s="252"/>
      <c r="H720" s="303"/>
      <c r="I720" s="306"/>
      <c r="J720" s="338"/>
      <c r="K720" s="165"/>
      <c r="L720" s="91"/>
      <c r="M720" s="92"/>
    </row>
    <row r="721" spans="1:13" s="45" customFormat="1" ht="8.5500000000000007" customHeight="1" x14ac:dyDescent="0.2">
      <c r="A721" s="43"/>
      <c r="B721" s="201" t="s">
        <v>565</v>
      </c>
      <c r="C721" s="201"/>
      <c r="D721" s="201"/>
      <c r="E721" s="201"/>
      <c r="F721" s="157"/>
      <c r="G721" s="251">
        <v>1995</v>
      </c>
      <c r="H721" s="304">
        <v>91</v>
      </c>
      <c r="I721" s="305"/>
      <c r="J721" s="302"/>
      <c r="K721" s="164">
        <v>3</v>
      </c>
      <c r="L721" s="91"/>
      <c r="M721" s="92"/>
    </row>
    <row r="722" spans="1:13" s="45" customFormat="1" ht="8.5500000000000007" customHeight="1" x14ac:dyDescent="0.2">
      <c r="A722" s="43"/>
      <c r="B722" s="158"/>
      <c r="C722" s="158"/>
      <c r="D722" s="158"/>
      <c r="E722" s="158"/>
      <c r="F722" s="159"/>
      <c r="G722" s="252"/>
      <c r="H722" s="303"/>
      <c r="I722" s="306"/>
      <c r="J722" s="338"/>
      <c r="K722" s="165"/>
      <c r="L722" s="91"/>
      <c r="M722" s="92"/>
    </row>
    <row r="723" spans="1:13" s="45" customFormat="1" ht="8.5500000000000007" customHeight="1" x14ac:dyDescent="0.2">
      <c r="A723" s="43"/>
      <c r="B723" s="201" t="s">
        <v>565</v>
      </c>
      <c r="C723" s="201"/>
      <c r="D723" s="201"/>
      <c r="E723" s="201"/>
      <c r="F723" s="157"/>
      <c r="G723" s="251">
        <v>1997</v>
      </c>
      <c r="H723" s="304">
        <v>94</v>
      </c>
      <c r="I723" s="305">
        <v>96</v>
      </c>
      <c r="J723" s="302" t="s">
        <v>780</v>
      </c>
      <c r="K723" s="164">
        <v>2</v>
      </c>
      <c r="L723" s="91"/>
      <c r="M723" s="92"/>
    </row>
    <row r="724" spans="1:13" s="45" customFormat="1" ht="8.5500000000000007" customHeight="1" x14ac:dyDescent="0.2">
      <c r="A724" s="43"/>
      <c r="B724" s="158"/>
      <c r="C724" s="158"/>
      <c r="D724" s="158"/>
      <c r="E724" s="158"/>
      <c r="F724" s="159"/>
      <c r="G724" s="252"/>
      <c r="H724" s="303"/>
      <c r="I724" s="306"/>
      <c r="J724" s="338"/>
      <c r="K724" s="165"/>
      <c r="L724" s="91"/>
      <c r="M724" s="92"/>
    </row>
    <row r="725" spans="1:13" s="45" customFormat="1" ht="8.5500000000000007" customHeight="1" x14ac:dyDescent="0.2">
      <c r="A725" s="43"/>
      <c r="B725" s="201" t="s">
        <v>565</v>
      </c>
      <c r="C725" s="201"/>
      <c r="D725" s="201"/>
      <c r="E725" s="201"/>
      <c r="F725" s="157"/>
      <c r="G725" s="251">
        <v>1998</v>
      </c>
      <c r="H725" s="304">
        <v>97</v>
      </c>
      <c r="I725" s="305">
        <v>96</v>
      </c>
      <c r="J725" s="302" t="s">
        <v>856</v>
      </c>
      <c r="K725" s="164">
        <v>1</v>
      </c>
      <c r="L725" s="91"/>
      <c r="M725" s="92"/>
    </row>
    <row r="726" spans="1:13" s="45" customFormat="1" ht="8.5500000000000007" customHeight="1" x14ac:dyDescent="0.2">
      <c r="A726" s="43"/>
      <c r="B726" s="158"/>
      <c r="C726" s="158"/>
      <c r="D726" s="158"/>
      <c r="E726" s="158"/>
      <c r="F726" s="159"/>
      <c r="G726" s="252"/>
      <c r="H726" s="303"/>
      <c r="I726" s="306"/>
      <c r="J726" s="338"/>
      <c r="K726" s="165"/>
      <c r="L726" s="91"/>
      <c r="M726" s="92"/>
    </row>
    <row r="727" spans="1:13" s="45" customFormat="1" ht="8.5500000000000007" customHeight="1" x14ac:dyDescent="0.2">
      <c r="A727" s="43"/>
      <c r="B727" s="201" t="s">
        <v>565</v>
      </c>
      <c r="C727" s="201"/>
      <c r="D727" s="201"/>
      <c r="E727" s="201"/>
      <c r="F727" s="157"/>
      <c r="G727" s="251">
        <v>2001</v>
      </c>
      <c r="H727" s="304">
        <v>97</v>
      </c>
      <c r="I727" s="305">
        <v>100</v>
      </c>
      <c r="J727" s="302" t="s">
        <v>857</v>
      </c>
      <c r="K727" s="164">
        <v>1</v>
      </c>
      <c r="L727" s="91"/>
      <c r="M727" s="92"/>
    </row>
    <row r="728" spans="1:13" s="45" customFormat="1" ht="8.5500000000000007" customHeight="1" x14ac:dyDescent="0.2">
      <c r="A728" s="43"/>
      <c r="B728" s="158"/>
      <c r="C728" s="158"/>
      <c r="D728" s="158"/>
      <c r="E728" s="158"/>
      <c r="F728" s="159"/>
      <c r="G728" s="252"/>
      <c r="H728" s="303"/>
      <c r="I728" s="306"/>
      <c r="J728" s="338"/>
      <c r="K728" s="165"/>
      <c r="L728" s="91"/>
      <c r="M728" s="92"/>
    </row>
    <row r="729" spans="1:13" s="45" customFormat="1" ht="8.5500000000000007" customHeight="1" x14ac:dyDescent="0.2">
      <c r="A729" s="43"/>
      <c r="B729" s="201" t="s">
        <v>565</v>
      </c>
      <c r="C729" s="201"/>
      <c r="D729" s="201"/>
      <c r="E729" s="201"/>
      <c r="F729" s="157"/>
      <c r="G729" s="251">
        <v>2002</v>
      </c>
      <c r="H729" s="304">
        <v>90</v>
      </c>
      <c r="I729" s="305"/>
      <c r="J729" s="302"/>
      <c r="K729" s="164">
        <v>3</v>
      </c>
      <c r="L729" s="91"/>
      <c r="M729" s="92"/>
    </row>
    <row r="730" spans="1:13" s="45" customFormat="1" ht="8.5500000000000007" customHeight="1" x14ac:dyDescent="0.2">
      <c r="A730" s="43"/>
      <c r="B730" s="158"/>
      <c r="C730" s="158"/>
      <c r="D730" s="158"/>
      <c r="E730" s="158"/>
      <c r="F730" s="159"/>
      <c r="G730" s="252"/>
      <c r="H730" s="303"/>
      <c r="I730" s="306"/>
      <c r="J730" s="338"/>
      <c r="K730" s="165"/>
      <c r="L730" s="91"/>
      <c r="M730" s="92"/>
    </row>
    <row r="731" spans="1:13" s="45" customFormat="1" ht="8.5500000000000007" customHeight="1" x14ac:dyDescent="0.2">
      <c r="A731" s="43"/>
      <c r="B731" s="201" t="s">
        <v>565</v>
      </c>
      <c r="C731" s="201"/>
      <c r="D731" s="201"/>
      <c r="E731" s="201"/>
      <c r="F731" s="157"/>
      <c r="G731" s="251">
        <v>2003</v>
      </c>
      <c r="H731" s="304">
        <v>93</v>
      </c>
      <c r="I731" s="305"/>
      <c r="J731" s="302"/>
      <c r="K731" s="164">
        <v>2</v>
      </c>
      <c r="L731" s="91"/>
      <c r="M731" s="92"/>
    </row>
    <row r="732" spans="1:13" s="45" customFormat="1" ht="8.5500000000000007" customHeight="1" x14ac:dyDescent="0.2">
      <c r="A732" s="43"/>
      <c r="B732" s="158"/>
      <c r="C732" s="158"/>
      <c r="D732" s="158"/>
      <c r="E732" s="158"/>
      <c r="F732" s="159"/>
      <c r="G732" s="252"/>
      <c r="H732" s="303"/>
      <c r="I732" s="306"/>
      <c r="J732" s="338"/>
      <c r="K732" s="165"/>
      <c r="L732" s="91"/>
      <c r="M732" s="92"/>
    </row>
    <row r="733" spans="1:13" s="45" customFormat="1" ht="8.5500000000000007" customHeight="1" x14ac:dyDescent="0.2">
      <c r="A733" s="43"/>
      <c r="B733" s="201" t="s">
        <v>565</v>
      </c>
      <c r="C733" s="201"/>
      <c r="D733" s="201"/>
      <c r="E733" s="201"/>
      <c r="F733" s="157"/>
      <c r="G733" s="251">
        <v>2004</v>
      </c>
      <c r="H733" s="304">
        <v>97</v>
      </c>
      <c r="I733" s="305"/>
      <c r="J733" s="302"/>
      <c r="K733" s="164">
        <v>2</v>
      </c>
      <c r="L733" s="91"/>
      <c r="M733" s="92"/>
    </row>
    <row r="734" spans="1:13" s="45" customFormat="1" ht="8.5500000000000007" customHeight="1" x14ac:dyDescent="0.2">
      <c r="A734" s="43"/>
      <c r="B734" s="158"/>
      <c r="C734" s="158"/>
      <c r="D734" s="158"/>
      <c r="E734" s="158"/>
      <c r="F734" s="159"/>
      <c r="G734" s="252"/>
      <c r="H734" s="303"/>
      <c r="I734" s="306"/>
      <c r="J734" s="338"/>
      <c r="K734" s="165"/>
      <c r="L734" s="91"/>
      <c r="M734" s="92"/>
    </row>
    <row r="735" spans="1:13" s="45" customFormat="1" ht="8.5500000000000007" customHeight="1" x14ac:dyDescent="0.2">
      <c r="A735" s="43"/>
      <c r="B735" s="201" t="s">
        <v>565</v>
      </c>
      <c r="C735" s="201"/>
      <c r="D735" s="201"/>
      <c r="E735" s="201"/>
      <c r="F735" s="157"/>
      <c r="G735" s="251">
        <v>2005</v>
      </c>
      <c r="H735" s="304">
        <v>94</v>
      </c>
      <c r="I735" s="305">
        <v>96</v>
      </c>
      <c r="J735" s="302" t="s">
        <v>1</v>
      </c>
      <c r="K735" s="164">
        <v>1</v>
      </c>
      <c r="L735" s="91"/>
      <c r="M735" s="92"/>
    </row>
    <row r="736" spans="1:13" s="45" customFormat="1" ht="8.5500000000000007" customHeight="1" x14ac:dyDescent="0.2">
      <c r="A736" s="43"/>
      <c r="B736" s="158"/>
      <c r="C736" s="158"/>
      <c r="D736" s="158"/>
      <c r="E736" s="158"/>
      <c r="F736" s="159"/>
      <c r="G736" s="252"/>
      <c r="H736" s="303"/>
      <c r="I736" s="306"/>
      <c r="J736" s="338"/>
      <c r="K736" s="165"/>
      <c r="L736" s="91"/>
      <c r="M736" s="92"/>
    </row>
    <row r="737" spans="1:13" s="45" customFormat="1" ht="8.5500000000000007" customHeight="1" x14ac:dyDescent="0.2">
      <c r="A737" s="43"/>
      <c r="B737" s="201" t="s">
        <v>565</v>
      </c>
      <c r="C737" s="201"/>
      <c r="D737" s="201"/>
      <c r="E737" s="201"/>
      <c r="F737" s="157"/>
      <c r="G737" s="251">
        <v>2006</v>
      </c>
      <c r="H737" s="304">
        <v>100</v>
      </c>
      <c r="I737" s="305">
        <v>98</v>
      </c>
      <c r="J737" s="302" t="s">
        <v>322</v>
      </c>
      <c r="K737" s="164">
        <v>4</v>
      </c>
      <c r="L737" s="91"/>
      <c r="M737" s="92"/>
    </row>
    <row r="738" spans="1:13" s="45" customFormat="1" ht="8.5500000000000007" customHeight="1" x14ac:dyDescent="0.2">
      <c r="A738" s="43"/>
      <c r="B738" s="158"/>
      <c r="C738" s="158"/>
      <c r="D738" s="158"/>
      <c r="E738" s="158"/>
      <c r="F738" s="159"/>
      <c r="G738" s="252"/>
      <c r="H738" s="303"/>
      <c r="I738" s="306"/>
      <c r="J738" s="338"/>
      <c r="K738" s="165"/>
      <c r="L738" s="91"/>
      <c r="M738" s="92"/>
    </row>
    <row r="739" spans="1:13" s="45" customFormat="1" ht="8.5500000000000007" customHeight="1" x14ac:dyDescent="0.2">
      <c r="A739" s="43"/>
      <c r="B739" s="339" t="s">
        <v>825</v>
      </c>
      <c r="C739" s="339"/>
      <c r="D739" s="339"/>
      <c r="E739" s="339"/>
      <c r="F739" s="339"/>
      <c r="G739" s="79"/>
      <c r="H739" s="79"/>
      <c r="I739" s="79"/>
      <c r="J739" s="79"/>
      <c r="K739" s="164"/>
      <c r="L739" s="91"/>
      <c r="M739" s="92"/>
    </row>
    <row r="740" spans="1:13" s="45" customFormat="1" ht="8.5500000000000007" customHeight="1" x14ac:dyDescent="0.2">
      <c r="A740" s="43"/>
      <c r="B740" s="340"/>
      <c r="C740" s="340"/>
      <c r="D740" s="340"/>
      <c r="E740" s="340"/>
      <c r="F740" s="340"/>
      <c r="G740" s="80"/>
      <c r="H740" s="80"/>
      <c r="I740" s="80"/>
      <c r="J740" s="80"/>
      <c r="K740" s="165"/>
      <c r="L740" s="91"/>
      <c r="M740" s="92"/>
    </row>
    <row r="741" spans="1:13" s="45" customFormat="1" ht="8.5500000000000007" customHeight="1" x14ac:dyDescent="0.2">
      <c r="A741" s="43"/>
      <c r="B741" s="201" t="s">
        <v>565</v>
      </c>
      <c r="C741" s="201"/>
      <c r="D741" s="201"/>
      <c r="E741" s="201"/>
      <c r="F741" s="157"/>
      <c r="G741" s="251">
        <v>2007</v>
      </c>
      <c r="H741" s="304">
        <v>96</v>
      </c>
      <c r="I741" s="305"/>
      <c r="J741" s="302"/>
      <c r="K741" s="164">
        <v>3</v>
      </c>
      <c r="L741" s="91"/>
      <c r="M741" s="92"/>
    </row>
    <row r="742" spans="1:13" s="45" customFormat="1" ht="8.5500000000000007" customHeight="1" x14ac:dyDescent="0.2">
      <c r="A742" s="43"/>
      <c r="B742" s="158"/>
      <c r="C742" s="158"/>
      <c r="D742" s="158"/>
      <c r="E742" s="158"/>
      <c r="F742" s="159"/>
      <c r="G742" s="252"/>
      <c r="H742" s="303"/>
      <c r="I742" s="306"/>
      <c r="J742" s="338"/>
      <c r="K742" s="165"/>
      <c r="L742" s="91"/>
      <c r="M742" s="92"/>
    </row>
    <row r="743" spans="1:13" s="45" customFormat="1" ht="8.5500000000000007" customHeight="1" x14ac:dyDescent="0.2">
      <c r="A743" s="43"/>
      <c r="B743" s="201" t="s">
        <v>565</v>
      </c>
      <c r="C743" s="201"/>
      <c r="D743" s="201"/>
      <c r="E743" s="201"/>
      <c r="F743" s="157"/>
      <c r="G743" s="251">
        <v>2008</v>
      </c>
      <c r="H743" s="304" t="s">
        <v>654</v>
      </c>
      <c r="I743" s="305"/>
      <c r="J743" s="302"/>
      <c r="K743" s="164">
        <v>2</v>
      </c>
      <c r="L743" s="91"/>
      <c r="M743" s="92"/>
    </row>
    <row r="744" spans="1:13" s="45" customFormat="1" ht="8.5500000000000007" customHeight="1" x14ac:dyDescent="0.2">
      <c r="A744" s="43"/>
      <c r="B744" s="158"/>
      <c r="C744" s="158"/>
      <c r="D744" s="158"/>
      <c r="E744" s="158"/>
      <c r="F744" s="159"/>
      <c r="G744" s="252"/>
      <c r="H744" s="303"/>
      <c r="I744" s="306"/>
      <c r="J744" s="338"/>
      <c r="K744" s="165"/>
      <c r="L744" s="91"/>
      <c r="M744" s="92"/>
    </row>
    <row r="745" spans="1:13" s="45" customFormat="1" ht="8.5500000000000007" customHeight="1" x14ac:dyDescent="0.2">
      <c r="A745" s="43"/>
      <c r="B745" s="201" t="s">
        <v>565</v>
      </c>
      <c r="C745" s="201"/>
      <c r="D745" s="201"/>
      <c r="E745" s="201"/>
      <c r="F745" s="157"/>
      <c r="G745" s="251">
        <v>2012</v>
      </c>
      <c r="H745" s="304">
        <v>95</v>
      </c>
      <c r="I745" s="305"/>
      <c r="J745" s="302"/>
      <c r="K745" s="164">
        <v>2</v>
      </c>
      <c r="L745" s="91"/>
      <c r="M745" s="92"/>
    </row>
    <row r="746" spans="1:13" s="45" customFormat="1" ht="8.5500000000000007" customHeight="1" x14ac:dyDescent="0.2">
      <c r="A746" s="43"/>
      <c r="B746" s="158"/>
      <c r="C746" s="158"/>
      <c r="D746" s="158"/>
      <c r="E746" s="158"/>
      <c r="F746" s="159"/>
      <c r="G746" s="252"/>
      <c r="H746" s="303"/>
      <c r="I746" s="306"/>
      <c r="J746" s="338"/>
      <c r="K746" s="165"/>
      <c r="L746" s="91"/>
      <c r="M746" s="92"/>
    </row>
    <row r="747" spans="1:13" s="45" customFormat="1" ht="8.5500000000000007" customHeight="1" x14ac:dyDescent="0.2">
      <c r="A747" s="43"/>
      <c r="B747" s="201" t="s">
        <v>1762</v>
      </c>
      <c r="C747" s="201"/>
      <c r="D747" s="201"/>
      <c r="E747" s="201"/>
      <c r="F747" s="157"/>
      <c r="G747" s="251">
        <v>1968</v>
      </c>
      <c r="H747" s="304"/>
      <c r="I747" s="305"/>
      <c r="J747" s="302"/>
      <c r="K747" s="164">
        <v>1</v>
      </c>
      <c r="L747" s="91"/>
      <c r="M747" s="92"/>
    </row>
    <row r="748" spans="1:13" s="45" customFormat="1" ht="8.5500000000000007" customHeight="1" x14ac:dyDescent="0.2">
      <c r="A748" s="43"/>
      <c r="B748" s="158"/>
      <c r="C748" s="158"/>
      <c r="D748" s="158"/>
      <c r="E748" s="158"/>
      <c r="F748" s="159"/>
      <c r="G748" s="252"/>
      <c r="H748" s="303"/>
      <c r="I748" s="306"/>
      <c r="J748" s="338"/>
      <c r="K748" s="165"/>
      <c r="L748" s="91"/>
      <c r="M748" s="92"/>
    </row>
    <row r="749" spans="1:13" s="45" customFormat="1" ht="8.5500000000000007" customHeight="1" x14ac:dyDescent="0.2">
      <c r="A749" s="43"/>
      <c r="B749" s="201" t="s">
        <v>567</v>
      </c>
      <c r="C749" s="201"/>
      <c r="D749" s="201"/>
      <c r="E749" s="201"/>
      <c r="F749" s="157"/>
      <c r="G749" s="251">
        <v>1977</v>
      </c>
      <c r="H749" s="304">
        <v>92</v>
      </c>
      <c r="I749" s="305"/>
      <c r="J749" s="302"/>
      <c r="K749" s="164">
        <v>1</v>
      </c>
      <c r="L749" s="91"/>
      <c r="M749" s="92"/>
    </row>
    <row r="750" spans="1:13" s="45" customFormat="1" ht="8.5500000000000007" customHeight="1" x14ac:dyDescent="0.2">
      <c r="A750" s="43"/>
      <c r="B750" s="158"/>
      <c r="C750" s="158"/>
      <c r="D750" s="158"/>
      <c r="E750" s="158"/>
      <c r="F750" s="159"/>
      <c r="G750" s="252"/>
      <c r="H750" s="303"/>
      <c r="I750" s="306"/>
      <c r="J750" s="338"/>
      <c r="K750" s="165"/>
      <c r="L750" s="91"/>
      <c r="M750" s="92"/>
    </row>
    <row r="751" spans="1:13" s="45" customFormat="1" ht="8.5500000000000007" customHeight="1" x14ac:dyDescent="0.2">
      <c r="A751" s="43"/>
      <c r="B751" s="201" t="s">
        <v>567</v>
      </c>
      <c r="C751" s="201"/>
      <c r="D751" s="201"/>
      <c r="E751" s="201"/>
      <c r="F751" s="157"/>
      <c r="G751" s="251">
        <v>1984</v>
      </c>
      <c r="H751" s="304">
        <v>91</v>
      </c>
      <c r="I751" s="305"/>
      <c r="J751" s="302"/>
      <c r="K751" s="164">
        <v>1</v>
      </c>
      <c r="L751" s="91"/>
      <c r="M751" s="92"/>
    </row>
    <row r="752" spans="1:13" s="45" customFormat="1" ht="8.5500000000000007" customHeight="1" x14ac:dyDescent="0.2">
      <c r="A752" s="43"/>
      <c r="B752" s="158"/>
      <c r="C752" s="158"/>
      <c r="D752" s="158"/>
      <c r="E752" s="158"/>
      <c r="F752" s="159"/>
      <c r="G752" s="252"/>
      <c r="H752" s="303"/>
      <c r="I752" s="306"/>
      <c r="J752" s="338"/>
      <c r="K752" s="165"/>
      <c r="L752" s="91"/>
      <c r="M752" s="92"/>
    </row>
    <row r="753" spans="1:13" s="45" customFormat="1" ht="8.5500000000000007" customHeight="1" x14ac:dyDescent="0.2">
      <c r="A753" s="43"/>
      <c r="B753" s="201" t="s">
        <v>567</v>
      </c>
      <c r="C753" s="201"/>
      <c r="D753" s="201"/>
      <c r="E753" s="201"/>
      <c r="F753" s="157"/>
      <c r="G753" s="251">
        <v>1986</v>
      </c>
      <c r="H753" s="304">
        <v>93</v>
      </c>
      <c r="I753" s="305"/>
      <c r="J753" s="302" t="s">
        <v>325</v>
      </c>
      <c r="K753" s="164">
        <v>1</v>
      </c>
      <c r="L753" s="91"/>
      <c r="M753" s="92"/>
    </row>
    <row r="754" spans="1:13" s="45" customFormat="1" ht="8.5500000000000007" customHeight="1" x14ac:dyDescent="0.2">
      <c r="A754" s="43"/>
      <c r="B754" s="158"/>
      <c r="C754" s="158"/>
      <c r="D754" s="158"/>
      <c r="E754" s="158"/>
      <c r="F754" s="159"/>
      <c r="G754" s="252"/>
      <c r="H754" s="303"/>
      <c r="I754" s="306"/>
      <c r="J754" s="338"/>
      <c r="K754" s="165"/>
      <c r="L754" s="91"/>
      <c r="M754" s="92"/>
    </row>
    <row r="755" spans="1:13" s="45" customFormat="1" ht="8.5500000000000007" customHeight="1" x14ac:dyDescent="0.2">
      <c r="A755" s="43"/>
      <c r="B755" s="201" t="s">
        <v>567</v>
      </c>
      <c r="C755" s="201"/>
      <c r="D755" s="201"/>
      <c r="E755" s="201"/>
      <c r="F755" s="157"/>
      <c r="G755" s="251">
        <v>1987</v>
      </c>
      <c r="H755" s="304">
        <v>86</v>
      </c>
      <c r="I755" s="305"/>
      <c r="J755" s="302"/>
      <c r="K755" s="164">
        <v>1</v>
      </c>
      <c r="L755" s="91"/>
      <c r="M755" s="92"/>
    </row>
    <row r="756" spans="1:13" s="45" customFormat="1" ht="8.5500000000000007" customHeight="1" x14ac:dyDescent="0.2">
      <c r="A756" s="43"/>
      <c r="B756" s="158"/>
      <c r="C756" s="158"/>
      <c r="D756" s="158"/>
      <c r="E756" s="158"/>
      <c r="F756" s="159"/>
      <c r="G756" s="252"/>
      <c r="H756" s="303"/>
      <c r="I756" s="306"/>
      <c r="J756" s="338"/>
      <c r="K756" s="165"/>
      <c r="L756" s="91"/>
      <c r="M756" s="92"/>
    </row>
    <row r="757" spans="1:13" s="45" customFormat="1" ht="8.5500000000000007" customHeight="1" x14ac:dyDescent="0.2">
      <c r="A757" s="43"/>
      <c r="B757" s="201" t="s">
        <v>567</v>
      </c>
      <c r="C757" s="201"/>
      <c r="D757" s="201"/>
      <c r="E757" s="201"/>
      <c r="F757" s="157"/>
      <c r="G757" s="251">
        <v>1990</v>
      </c>
      <c r="H757" s="304">
        <v>93</v>
      </c>
      <c r="I757" s="305"/>
      <c r="J757" s="302"/>
      <c r="K757" s="164">
        <v>1</v>
      </c>
      <c r="L757" s="91"/>
      <c r="M757" s="92"/>
    </row>
    <row r="758" spans="1:13" s="45" customFormat="1" ht="8.5500000000000007" customHeight="1" x14ac:dyDescent="0.2">
      <c r="A758" s="43"/>
      <c r="B758" s="158"/>
      <c r="C758" s="158"/>
      <c r="D758" s="158"/>
      <c r="E758" s="158"/>
      <c r="F758" s="159"/>
      <c r="G758" s="252"/>
      <c r="H758" s="303"/>
      <c r="I758" s="306"/>
      <c r="J758" s="338"/>
      <c r="K758" s="165"/>
      <c r="L758" s="91"/>
      <c r="M758" s="92"/>
    </row>
    <row r="759" spans="1:13" s="45" customFormat="1" ht="8.5500000000000007" customHeight="1" x14ac:dyDescent="0.2">
      <c r="A759" s="43"/>
      <c r="B759" s="201" t="s">
        <v>567</v>
      </c>
      <c r="C759" s="201"/>
      <c r="D759" s="201"/>
      <c r="E759" s="201"/>
      <c r="F759" s="157"/>
      <c r="G759" s="251">
        <v>1992</v>
      </c>
      <c r="H759" s="304" t="s">
        <v>1482</v>
      </c>
      <c r="I759" s="305"/>
      <c r="J759" s="302"/>
      <c r="K759" s="164">
        <v>1</v>
      </c>
      <c r="L759" s="91"/>
      <c r="M759" s="92"/>
    </row>
    <row r="760" spans="1:13" s="45" customFormat="1" ht="8.5500000000000007" customHeight="1" x14ac:dyDescent="0.2">
      <c r="A760" s="43"/>
      <c r="B760" s="158"/>
      <c r="C760" s="158"/>
      <c r="D760" s="158"/>
      <c r="E760" s="158"/>
      <c r="F760" s="159"/>
      <c r="G760" s="252"/>
      <c r="H760" s="303"/>
      <c r="I760" s="306"/>
      <c r="J760" s="338"/>
      <c r="K760" s="165"/>
      <c r="L760" s="91"/>
      <c r="M760" s="92"/>
    </row>
    <row r="761" spans="1:13" s="45" customFormat="1" ht="8.5500000000000007" customHeight="1" x14ac:dyDescent="0.2">
      <c r="A761" s="43"/>
      <c r="B761" s="201" t="s">
        <v>567</v>
      </c>
      <c r="C761" s="201"/>
      <c r="D761" s="201"/>
      <c r="E761" s="201"/>
      <c r="F761" s="157"/>
      <c r="G761" s="251">
        <v>2005</v>
      </c>
      <c r="H761" s="304">
        <v>93</v>
      </c>
      <c r="I761" s="305">
        <v>94</v>
      </c>
      <c r="J761" s="302" t="s">
        <v>236</v>
      </c>
      <c r="K761" s="164">
        <v>2</v>
      </c>
      <c r="L761" s="91"/>
      <c r="M761" s="92"/>
    </row>
    <row r="762" spans="1:13" s="45" customFormat="1" ht="8.5500000000000007" customHeight="1" x14ac:dyDescent="0.2">
      <c r="A762" s="43"/>
      <c r="B762" s="158"/>
      <c r="C762" s="158"/>
      <c r="D762" s="158"/>
      <c r="E762" s="158"/>
      <c r="F762" s="159"/>
      <c r="G762" s="252"/>
      <c r="H762" s="303"/>
      <c r="I762" s="306"/>
      <c r="J762" s="338"/>
      <c r="K762" s="165"/>
      <c r="L762" s="91"/>
      <c r="M762" s="92"/>
    </row>
    <row r="763" spans="1:13" s="45" customFormat="1" ht="8.5500000000000007" customHeight="1" x14ac:dyDescent="0.2">
      <c r="A763" s="43"/>
      <c r="B763" s="201" t="s">
        <v>567</v>
      </c>
      <c r="C763" s="201"/>
      <c r="D763" s="201"/>
      <c r="E763" s="201"/>
      <c r="F763" s="157"/>
      <c r="G763" s="251">
        <v>2006</v>
      </c>
      <c r="H763" s="304">
        <v>96</v>
      </c>
      <c r="I763" s="305"/>
      <c r="J763" s="302"/>
      <c r="K763" s="164">
        <v>3</v>
      </c>
      <c r="L763" s="91"/>
      <c r="M763" s="92"/>
    </row>
    <row r="764" spans="1:13" s="45" customFormat="1" ht="8.5500000000000007" customHeight="1" x14ac:dyDescent="0.2">
      <c r="A764" s="43"/>
      <c r="B764" s="158"/>
      <c r="C764" s="158"/>
      <c r="D764" s="158"/>
      <c r="E764" s="158"/>
      <c r="F764" s="159"/>
      <c r="G764" s="252"/>
      <c r="H764" s="303"/>
      <c r="I764" s="306"/>
      <c r="J764" s="338"/>
      <c r="K764" s="165"/>
      <c r="L764" s="91"/>
      <c r="M764" s="92"/>
    </row>
    <row r="765" spans="1:13" s="45" customFormat="1" ht="8.5500000000000007" customHeight="1" x14ac:dyDescent="0.2">
      <c r="A765" s="43"/>
      <c r="B765" s="201" t="s">
        <v>567</v>
      </c>
      <c r="C765" s="201"/>
      <c r="D765" s="201"/>
      <c r="E765" s="201"/>
      <c r="F765" s="157"/>
      <c r="G765" s="251">
        <v>2007</v>
      </c>
      <c r="H765" s="304">
        <v>95</v>
      </c>
      <c r="I765" s="305">
        <v>93</v>
      </c>
      <c r="J765" s="302" t="s">
        <v>327</v>
      </c>
      <c r="K765" s="164">
        <v>3</v>
      </c>
      <c r="L765" s="91"/>
      <c r="M765" s="92"/>
    </row>
    <row r="766" spans="1:13" s="45" customFormat="1" ht="8.5500000000000007" customHeight="1" x14ac:dyDescent="0.2">
      <c r="A766" s="43"/>
      <c r="B766" s="158"/>
      <c r="C766" s="158"/>
      <c r="D766" s="158"/>
      <c r="E766" s="158"/>
      <c r="F766" s="159"/>
      <c r="G766" s="252"/>
      <c r="H766" s="303"/>
      <c r="I766" s="306"/>
      <c r="J766" s="338"/>
      <c r="K766" s="165"/>
      <c r="L766" s="91"/>
      <c r="M766" s="92"/>
    </row>
    <row r="767" spans="1:13" s="45" customFormat="1" ht="8.5500000000000007" customHeight="1" x14ac:dyDescent="0.2">
      <c r="A767" s="43"/>
      <c r="B767" s="201" t="s">
        <v>567</v>
      </c>
      <c r="C767" s="201"/>
      <c r="D767" s="201"/>
      <c r="E767" s="201"/>
      <c r="F767" s="157"/>
      <c r="G767" s="251">
        <v>2008</v>
      </c>
      <c r="H767" s="304">
        <v>96</v>
      </c>
      <c r="I767" s="305">
        <v>94</v>
      </c>
      <c r="J767" s="302" t="s">
        <v>419</v>
      </c>
      <c r="K767" s="164">
        <v>1</v>
      </c>
      <c r="L767" s="91"/>
      <c r="M767" s="92"/>
    </row>
    <row r="768" spans="1:13" s="45" customFormat="1" ht="8.5500000000000007" customHeight="1" x14ac:dyDescent="0.2">
      <c r="A768" s="43"/>
      <c r="B768" s="158"/>
      <c r="C768" s="158"/>
      <c r="D768" s="158"/>
      <c r="E768" s="158"/>
      <c r="F768" s="159"/>
      <c r="G768" s="252"/>
      <c r="H768" s="303"/>
      <c r="I768" s="306"/>
      <c r="J768" s="338"/>
      <c r="K768" s="165"/>
      <c r="L768" s="91"/>
      <c r="M768" s="92"/>
    </row>
    <row r="769" spans="1:13" s="45" customFormat="1" ht="8.5500000000000007" customHeight="1" x14ac:dyDescent="0.2">
      <c r="A769" s="43"/>
      <c r="B769" s="201" t="s">
        <v>656</v>
      </c>
      <c r="C769" s="201"/>
      <c r="D769" s="201"/>
      <c r="E769" s="201"/>
      <c r="F769" s="157"/>
      <c r="G769" s="251">
        <v>2008</v>
      </c>
      <c r="H769" s="304">
        <v>96</v>
      </c>
      <c r="I769" s="305">
        <v>94</v>
      </c>
      <c r="J769" s="302" t="s">
        <v>419</v>
      </c>
      <c r="K769" s="164">
        <v>1</v>
      </c>
      <c r="L769" s="91"/>
      <c r="M769" s="92"/>
    </row>
    <row r="770" spans="1:13" s="45" customFormat="1" ht="8.5500000000000007" customHeight="1" x14ac:dyDescent="0.2">
      <c r="A770" s="43"/>
      <c r="B770" s="158"/>
      <c r="C770" s="158"/>
      <c r="D770" s="158"/>
      <c r="E770" s="158"/>
      <c r="F770" s="159"/>
      <c r="G770" s="252"/>
      <c r="H770" s="303"/>
      <c r="I770" s="306"/>
      <c r="J770" s="338"/>
      <c r="K770" s="165"/>
      <c r="L770" s="91"/>
      <c r="M770" s="92"/>
    </row>
    <row r="771" spans="1:13" s="45" customFormat="1" ht="8.5500000000000007" customHeight="1" x14ac:dyDescent="0.2">
      <c r="A771" s="43"/>
      <c r="B771" s="201" t="s">
        <v>1114</v>
      </c>
      <c r="C771" s="201"/>
      <c r="D771" s="201"/>
      <c r="E771" s="201"/>
      <c r="F771" s="157"/>
      <c r="G771" s="251">
        <v>2013</v>
      </c>
      <c r="H771" s="304">
        <v>97</v>
      </c>
      <c r="I771" s="305"/>
      <c r="J771" s="302"/>
      <c r="K771" s="164">
        <v>2</v>
      </c>
      <c r="L771" s="91"/>
      <c r="M771" s="92"/>
    </row>
    <row r="772" spans="1:13" s="45" customFormat="1" ht="8.5500000000000007" customHeight="1" x14ac:dyDescent="0.2">
      <c r="A772" s="43"/>
      <c r="B772" s="158"/>
      <c r="C772" s="158"/>
      <c r="D772" s="158"/>
      <c r="E772" s="158"/>
      <c r="F772" s="159"/>
      <c r="G772" s="252"/>
      <c r="H772" s="303"/>
      <c r="I772" s="306"/>
      <c r="J772" s="338"/>
      <c r="K772" s="165"/>
      <c r="L772" s="91"/>
      <c r="M772" s="92"/>
    </row>
    <row r="773" spans="1:13" s="45" customFormat="1" ht="8.5500000000000007" customHeight="1" x14ac:dyDescent="0.2">
      <c r="A773" s="43"/>
      <c r="B773" s="201" t="s">
        <v>1114</v>
      </c>
      <c r="C773" s="201"/>
      <c r="D773" s="201"/>
      <c r="E773" s="201"/>
      <c r="F773" s="157"/>
      <c r="G773" s="251">
        <v>2015</v>
      </c>
      <c r="H773" s="304">
        <v>97</v>
      </c>
      <c r="I773" s="305"/>
      <c r="J773" s="302"/>
      <c r="K773" s="164">
        <v>2</v>
      </c>
      <c r="L773" s="91"/>
      <c r="M773" s="92"/>
    </row>
    <row r="774" spans="1:13" s="45" customFormat="1" ht="8.5500000000000007" customHeight="1" x14ac:dyDescent="0.2">
      <c r="A774" s="43"/>
      <c r="B774" s="158"/>
      <c r="C774" s="158"/>
      <c r="D774" s="158"/>
      <c r="E774" s="158"/>
      <c r="F774" s="159"/>
      <c r="G774" s="252"/>
      <c r="H774" s="303"/>
      <c r="I774" s="306"/>
      <c r="J774" s="338"/>
      <c r="K774" s="165"/>
      <c r="L774" s="91"/>
      <c r="M774" s="92"/>
    </row>
    <row r="775" spans="1:13" s="45" customFormat="1" ht="8.5500000000000007" customHeight="1" x14ac:dyDescent="0.2">
      <c r="A775" s="43"/>
      <c r="B775" s="201" t="s">
        <v>568</v>
      </c>
      <c r="C775" s="201"/>
      <c r="D775" s="201"/>
      <c r="E775" s="201"/>
      <c r="F775" s="157"/>
      <c r="G775" s="251">
        <v>2007</v>
      </c>
      <c r="H775" s="304">
        <v>96</v>
      </c>
      <c r="I775" s="305">
        <v>95</v>
      </c>
      <c r="J775" s="302" t="s">
        <v>262</v>
      </c>
      <c r="K775" s="164">
        <v>2</v>
      </c>
      <c r="L775" s="91"/>
      <c r="M775" s="92"/>
    </row>
    <row r="776" spans="1:13" s="45" customFormat="1" ht="8.5500000000000007" customHeight="1" x14ac:dyDescent="0.2">
      <c r="A776" s="43"/>
      <c r="B776" s="158"/>
      <c r="C776" s="158"/>
      <c r="D776" s="158"/>
      <c r="E776" s="158"/>
      <c r="F776" s="159"/>
      <c r="G776" s="252"/>
      <c r="H776" s="303"/>
      <c r="I776" s="306"/>
      <c r="J776" s="338"/>
      <c r="K776" s="165"/>
      <c r="L776" s="91"/>
      <c r="M776" s="92"/>
    </row>
    <row r="777" spans="1:13" s="45" customFormat="1" ht="8.5500000000000007" customHeight="1" x14ac:dyDescent="0.2">
      <c r="A777" s="43"/>
      <c r="B777" s="201" t="s">
        <v>569</v>
      </c>
      <c r="C777" s="201"/>
      <c r="D777" s="201"/>
      <c r="E777" s="201"/>
      <c r="F777" s="157"/>
      <c r="G777" s="251">
        <v>1996</v>
      </c>
      <c r="H777" s="304">
        <v>94</v>
      </c>
      <c r="I777" s="305"/>
      <c r="J777" s="302"/>
      <c r="K777" s="164">
        <v>1</v>
      </c>
      <c r="L777" s="91"/>
      <c r="M777" s="92"/>
    </row>
    <row r="778" spans="1:13" s="45" customFormat="1" ht="8.5500000000000007" customHeight="1" x14ac:dyDescent="0.2">
      <c r="A778" s="43"/>
      <c r="B778" s="158"/>
      <c r="C778" s="158"/>
      <c r="D778" s="158"/>
      <c r="E778" s="158"/>
      <c r="F778" s="159"/>
      <c r="G778" s="252"/>
      <c r="H778" s="303"/>
      <c r="I778" s="306"/>
      <c r="J778" s="338"/>
      <c r="K778" s="165"/>
      <c r="L778" s="91"/>
      <c r="M778" s="92"/>
    </row>
    <row r="779" spans="1:13" s="45" customFormat="1" ht="8.5500000000000007" customHeight="1" x14ac:dyDescent="0.2">
      <c r="A779" s="43"/>
      <c r="B779" s="201" t="s">
        <v>569</v>
      </c>
      <c r="C779" s="201"/>
      <c r="D779" s="201"/>
      <c r="E779" s="201"/>
      <c r="F779" s="157"/>
      <c r="G779" s="251">
        <v>1998</v>
      </c>
      <c r="H779" s="304">
        <v>96</v>
      </c>
      <c r="I779" s="305"/>
      <c r="J779" s="302"/>
      <c r="K779" s="164">
        <v>1</v>
      </c>
      <c r="L779" s="91"/>
      <c r="M779" s="92"/>
    </row>
    <row r="780" spans="1:13" s="45" customFormat="1" ht="8.5500000000000007" customHeight="1" x14ac:dyDescent="0.2">
      <c r="A780" s="43"/>
      <c r="B780" s="158"/>
      <c r="C780" s="158"/>
      <c r="D780" s="158"/>
      <c r="E780" s="158"/>
      <c r="F780" s="159"/>
      <c r="G780" s="252"/>
      <c r="H780" s="303"/>
      <c r="I780" s="306"/>
      <c r="J780" s="338"/>
      <c r="K780" s="165"/>
      <c r="L780" s="91"/>
      <c r="M780" s="92"/>
    </row>
    <row r="781" spans="1:13" s="45" customFormat="1" ht="8.5500000000000007" customHeight="1" x14ac:dyDescent="0.2">
      <c r="A781" s="43"/>
      <c r="B781" s="201" t="s">
        <v>1160</v>
      </c>
      <c r="C781" s="201"/>
      <c r="D781" s="201"/>
      <c r="E781" s="201"/>
      <c r="F781" s="157"/>
      <c r="G781" s="251">
        <v>1999</v>
      </c>
      <c r="H781" s="304">
        <v>99</v>
      </c>
      <c r="I781" s="305"/>
      <c r="J781" s="302"/>
      <c r="K781" s="164">
        <v>1</v>
      </c>
      <c r="L781" s="91"/>
      <c r="M781" s="92"/>
    </row>
    <row r="782" spans="1:13" s="45" customFormat="1" ht="8.5500000000000007" customHeight="1" x14ac:dyDescent="0.2">
      <c r="A782" s="43"/>
      <c r="B782" s="158"/>
      <c r="C782" s="158"/>
      <c r="D782" s="158"/>
      <c r="E782" s="158"/>
      <c r="F782" s="159"/>
      <c r="G782" s="252"/>
      <c r="H782" s="303"/>
      <c r="I782" s="306"/>
      <c r="J782" s="338"/>
      <c r="K782" s="165"/>
      <c r="L782" s="91"/>
      <c r="M782" s="92"/>
    </row>
    <row r="783" spans="1:13" s="45" customFormat="1" ht="8.5500000000000007" customHeight="1" x14ac:dyDescent="0.2">
      <c r="A783" s="43"/>
      <c r="B783" s="201" t="s">
        <v>569</v>
      </c>
      <c r="C783" s="201"/>
      <c r="D783" s="201"/>
      <c r="E783" s="201"/>
      <c r="F783" s="157"/>
      <c r="G783" s="251">
        <v>2001</v>
      </c>
      <c r="H783" s="304">
        <v>96</v>
      </c>
      <c r="I783" s="305"/>
      <c r="J783" s="302"/>
      <c r="K783" s="164">
        <v>2</v>
      </c>
      <c r="L783" s="91"/>
      <c r="M783" s="92"/>
    </row>
    <row r="784" spans="1:13" s="45" customFormat="1" ht="8.5500000000000007" customHeight="1" x14ac:dyDescent="0.2">
      <c r="A784" s="43"/>
      <c r="B784" s="158"/>
      <c r="C784" s="158"/>
      <c r="D784" s="158"/>
      <c r="E784" s="158"/>
      <c r="F784" s="159"/>
      <c r="G784" s="252"/>
      <c r="H784" s="303"/>
      <c r="I784" s="306"/>
      <c r="J784" s="338"/>
      <c r="K784" s="165"/>
      <c r="L784" s="91"/>
      <c r="M784" s="92"/>
    </row>
    <row r="785" spans="1:13" s="45" customFormat="1" ht="8.5500000000000007" customHeight="1" x14ac:dyDescent="0.2">
      <c r="A785" s="43"/>
      <c r="B785" s="201" t="s">
        <v>569</v>
      </c>
      <c r="C785" s="201"/>
      <c r="D785" s="201"/>
      <c r="E785" s="201"/>
      <c r="F785" s="157"/>
      <c r="G785" s="251">
        <v>2005</v>
      </c>
      <c r="H785" s="304">
        <v>92</v>
      </c>
      <c r="I785" s="305">
        <v>95</v>
      </c>
      <c r="J785" s="302" t="s">
        <v>268</v>
      </c>
      <c r="K785" s="164">
        <v>1</v>
      </c>
      <c r="L785" s="91"/>
      <c r="M785" s="92"/>
    </row>
    <row r="786" spans="1:13" s="45" customFormat="1" ht="8.5500000000000007" customHeight="1" x14ac:dyDescent="0.2">
      <c r="A786" s="43"/>
      <c r="B786" s="158"/>
      <c r="C786" s="158"/>
      <c r="D786" s="158"/>
      <c r="E786" s="158"/>
      <c r="F786" s="159"/>
      <c r="G786" s="252"/>
      <c r="H786" s="303"/>
      <c r="I786" s="306"/>
      <c r="J786" s="338"/>
      <c r="K786" s="165"/>
      <c r="L786" s="91"/>
      <c r="M786" s="92"/>
    </row>
    <row r="787" spans="1:13" s="45" customFormat="1" ht="8.5500000000000007" customHeight="1" x14ac:dyDescent="0.2">
      <c r="A787" s="43"/>
      <c r="B787" s="201" t="s">
        <v>569</v>
      </c>
      <c r="C787" s="201"/>
      <c r="D787" s="201"/>
      <c r="E787" s="201"/>
      <c r="F787" s="157"/>
      <c r="G787" s="251">
        <v>2006</v>
      </c>
      <c r="H787" s="304">
        <v>97</v>
      </c>
      <c r="I787" s="305"/>
      <c r="J787" s="302"/>
      <c r="K787" s="164">
        <v>1</v>
      </c>
      <c r="L787" s="91"/>
      <c r="M787" s="92"/>
    </row>
    <row r="788" spans="1:13" s="45" customFormat="1" ht="8.5500000000000007" customHeight="1" x14ac:dyDescent="0.2">
      <c r="A788" s="43"/>
      <c r="B788" s="158"/>
      <c r="C788" s="158"/>
      <c r="D788" s="158"/>
      <c r="E788" s="158"/>
      <c r="F788" s="159"/>
      <c r="G788" s="252"/>
      <c r="H788" s="303"/>
      <c r="I788" s="306"/>
      <c r="J788" s="338"/>
      <c r="K788" s="165"/>
      <c r="L788" s="91"/>
      <c r="M788" s="92"/>
    </row>
    <row r="789" spans="1:13" s="45" customFormat="1" ht="8.5500000000000007" customHeight="1" x14ac:dyDescent="0.2">
      <c r="A789" s="43"/>
      <c r="B789" s="201" t="s">
        <v>569</v>
      </c>
      <c r="C789" s="201"/>
      <c r="D789" s="201"/>
      <c r="E789" s="201"/>
      <c r="F789" s="157"/>
      <c r="G789" s="251">
        <v>2007</v>
      </c>
      <c r="H789" s="304">
        <v>95</v>
      </c>
      <c r="I789" s="305">
        <v>98</v>
      </c>
      <c r="J789" s="302" t="s">
        <v>222</v>
      </c>
      <c r="K789" s="164">
        <v>3</v>
      </c>
      <c r="L789" s="91"/>
      <c r="M789" s="92"/>
    </row>
    <row r="790" spans="1:13" s="45" customFormat="1" ht="8.5500000000000007" customHeight="1" x14ac:dyDescent="0.2">
      <c r="A790" s="43"/>
      <c r="B790" s="158"/>
      <c r="C790" s="158"/>
      <c r="D790" s="158"/>
      <c r="E790" s="158"/>
      <c r="F790" s="159"/>
      <c r="G790" s="252"/>
      <c r="H790" s="303"/>
      <c r="I790" s="306"/>
      <c r="J790" s="338"/>
      <c r="K790" s="165"/>
      <c r="L790" s="91"/>
      <c r="M790" s="92"/>
    </row>
    <row r="791" spans="1:13" s="45" customFormat="1" ht="8.5500000000000007" customHeight="1" x14ac:dyDescent="0.2">
      <c r="A791" s="43"/>
      <c r="B791" s="201" t="s">
        <v>569</v>
      </c>
      <c r="C791" s="201"/>
      <c r="D791" s="201"/>
      <c r="E791" s="201"/>
      <c r="F791" s="157"/>
      <c r="G791" s="251">
        <v>2008</v>
      </c>
      <c r="H791" s="304">
        <v>96</v>
      </c>
      <c r="I791" s="305"/>
      <c r="J791" s="302"/>
      <c r="K791" s="164">
        <v>2</v>
      </c>
      <c r="L791" s="91"/>
      <c r="M791" s="92"/>
    </row>
    <row r="792" spans="1:13" s="45" customFormat="1" ht="8.5500000000000007" customHeight="1" x14ac:dyDescent="0.2">
      <c r="A792" s="43"/>
      <c r="B792" s="158"/>
      <c r="C792" s="158"/>
      <c r="D792" s="158"/>
      <c r="E792" s="158"/>
      <c r="F792" s="159"/>
      <c r="G792" s="252"/>
      <c r="H792" s="303"/>
      <c r="I792" s="306"/>
      <c r="J792" s="338"/>
      <c r="K792" s="165"/>
      <c r="L792" s="91"/>
      <c r="M792" s="92"/>
    </row>
    <row r="793" spans="1:13" s="45" customFormat="1" ht="8.5500000000000007" customHeight="1" x14ac:dyDescent="0.2">
      <c r="A793" s="43"/>
      <c r="B793" s="201" t="s">
        <v>569</v>
      </c>
      <c r="C793" s="201"/>
      <c r="D793" s="201"/>
      <c r="E793" s="201"/>
      <c r="F793" s="157"/>
      <c r="G793" s="251">
        <v>2009</v>
      </c>
      <c r="H793" s="304">
        <v>95</v>
      </c>
      <c r="I793" s="305"/>
      <c r="J793" s="302"/>
      <c r="K793" s="164">
        <v>2</v>
      </c>
      <c r="L793" s="91"/>
      <c r="M793" s="92"/>
    </row>
    <row r="794" spans="1:13" s="45" customFormat="1" ht="8.5500000000000007" customHeight="1" x14ac:dyDescent="0.2">
      <c r="A794" s="43"/>
      <c r="B794" s="158"/>
      <c r="C794" s="158"/>
      <c r="D794" s="158"/>
      <c r="E794" s="158"/>
      <c r="F794" s="159"/>
      <c r="G794" s="252"/>
      <c r="H794" s="303"/>
      <c r="I794" s="306"/>
      <c r="J794" s="338"/>
      <c r="K794" s="165"/>
      <c r="L794" s="91"/>
      <c r="M794" s="92"/>
    </row>
    <row r="795" spans="1:13" s="45" customFormat="1" ht="8.5500000000000007" customHeight="1" x14ac:dyDescent="0.2">
      <c r="A795" s="43"/>
      <c r="B795" s="339" t="s">
        <v>825</v>
      </c>
      <c r="C795" s="339"/>
      <c r="D795" s="339"/>
      <c r="E795" s="339"/>
      <c r="F795" s="339"/>
      <c r="G795" s="79"/>
      <c r="H795" s="79"/>
      <c r="I795" s="79"/>
      <c r="J795" s="79"/>
      <c r="K795" s="164"/>
      <c r="L795" s="91"/>
      <c r="M795" s="92"/>
    </row>
    <row r="796" spans="1:13" s="45" customFormat="1" ht="8.5500000000000007" customHeight="1" x14ac:dyDescent="0.2">
      <c r="A796" s="43"/>
      <c r="B796" s="340"/>
      <c r="C796" s="340"/>
      <c r="D796" s="340"/>
      <c r="E796" s="340"/>
      <c r="F796" s="340"/>
      <c r="G796" s="80"/>
      <c r="H796" s="80"/>
      <c r="I796" s="80"/>
      <c r="J796" s="80"/>
      <c r="K796" s="165"/>
      <c r="L796" s="91"/>
      <c r="M796" s="92"/>
    </row>
    <row r="797" spans="1:13" s="45" customFormat="1" ht="8.5500000000000007" customHeight="1" x14ac:dyDescent="0.2">
      <c r="A797" s="43"/>
      <c r="B797" s="201" t="s">
        <v>570</v>
      </c>
      <c r="C797" s="201"/>
      <c r="D797" s="201"/>
      <c r="E797" s="201"/>
      <c r="F797" s="157"/>
      <c r="G797" s="251">
        <v>2007</v>
      </c>
      <c r="H797" s="304">
        <v>95</v>
      </c>
      <c r="I797" s="305">
        <v>95</v>
      </c>
      <c r="J797" s="302" t="s">
        <v>325</v>
      </c>
      <c r="K797" s="164">
        <v>2</v>
      </c>
      <c r="L797" s="91"/>
      <c r="M797" s="92"/>
    </row>
    <row r="798" spans="1:13" s="45" customFormat="1" ht="8.5500000000000007" customHeight="1" x14ac:dyDescent="0.2">
      <c r="A798" s="43"/>
      <c r="B798" s="158"/>
      <c r="C798" s="158"/>
      <c r="D798" s="158"/>
      <c r="E798" s="158"/>
      <c r="F798" s="159"/>
      <c r="G798" s="252"/>
      <c r="H798" s="303"/>
      <c r="I798" s="306"/>
      <c r="J798" s="338"/>
      <c r="K798" s="165"/>
      <c r="L798" s="91"/>
      <c r="M798" s="92"/>
    </row>
    <row r="799" spans="1:13" s="45" customFormat="1" ht="8.5500000000000007" customHeight="1" x14ac:dyDescent="0.2">
      <c r="A799" s="43"/>
      <c r="B799" s="201" t="s">
        <v>563</v>
      </c>
      <c r="C799" s="201"/>
      <c r="D799" s="201"/>
      <c r="E799" s="201"/>
      <c r="F799" s="157"/>
      <c r="G799" s="251">
        <v>1995</v>
      </c>
      <c r="H799" s="304">
        <v>96</v>
      </c>
      <c r="I799" s="305">
        <v>91</v>
      </c>
      <c r="J799" s="302" t="s">
        <v>292</v>
      </c>
      <c r="K799" s="164">
        <v>3</v>
      </c>
      <c r="L799" s="91"/>
      <c r="M799" s="92"/>
    </row>
    <row r="800" spans="1:13" s="45" customFormat="1" ht="8.5500000000000007" customHeight="1" x14ac:dyDescent="0.2">
      <c r="A800" s="43"/>
      <c r="B800" s="158"/>
      <c r="C800" s="158"/>
      <c r="D800" s="158"/>
      <c r="E800" s="158"/>
      <c r="F800" s="159"/>
      <c r="G800" s="252"/>
      <c r="H800" s="303"/>
      <c r="I800" s="306"/>
      <c r="J800" s="338"/>
      <c r="K800" s="165"/>
      <c r="L800" s="91"/>
      <c r="M800" s="92"/>
    </row>
    <row r="801" spans="1:13" s="45" customFormat="1" ht="8.5500000000000007" customHeight="1" x14ac:dyDescent="0.2">
      <c r="A801" s="43"/>
      <c r="B801" s="201" t="s">
        <v>563</v>
      </c>
      <c r="C801" s="201"/>
      <c r="D801" s="201"/>
      <c r="E801" s="201"/>
      <c r="F801" s="157"/>
      <c r="G801" s="251">
        <v>1997</v>
      </c>
      <c r="H801" s="304">
        <v>98</v>
      </c>
      <c r="I801" s="305"/>
      <c r="J801" s="302"/>
      <c r="K801" s="164">
        <v>2</v>
      </c>
      <c r="L801" s="91"/>
      <c r="M801" s="92"/>
    </row>
    <row r="802" spans="1:13" s="45" customFormat="1" ht="8.5500000000000007" customHeight="1" x14ac:dyDescent="0.2">
      <c r="A802" s="43"/>
      <c r="B802" s="158"/>
      <c r="C802" s="158"/>
      <c r="D802" s="158"/>
      <c r="E802" s="158"/>
      <c r="F802" s="159"/>
      <c r="G802" s="252"/>
      <c r="H802" s="303"/>
      <c r="I802" s="306"/>
      <c r="J802" s="338"/>
      <c r="K802" s="165"/>
      <c r="L802" s="91"/>
      <c r="M802" s="92"/>
    </row>
    <row r="803" spans="1:13" s="45" customFormat="1" ht="8.5500000000000007" customHeight="1" x14ac:dyDescent="0.2">
      <c r="A803" s="43"/>
      <c r="B803" s="201" t="s">
        <v>563</v>
      </c>
      <c r="C803" s="201"/>
      <c r="D803" s="201"/>
      <c r="E803" s="201"/>
      <c r="F803" s="157"/>
      <c r="G803" s="251">
        <v>1998</v>
      </c>
      <c r="H803" s="304">
        <v>96</v>
      </c>
      <c r="I803" s="305"/>
      <c r="J803" s="302"/>
      <c r="K803" s="164">
        <v>2</v>
      </c>
      <c r="L803" s="91"/>
      <c r="M803" s="92"/>
    </row>
    <row r="804" spans="1:13" s="45" customFormat="1" ht="8.5500000000000007" customHeight="1" x14ac:dyDescent="0.2">
      <c r="A804" s="43"/>
      <c r="B804" s="158"/>
      <c r="C804" s="158"/>
      <c r="D804" s="158"/>
      <c r="E804" s="158"/>
      <c r="F804" s="159"/>
      <c r="G804" s="252"/>
      <c r="H804" s="303"/>
      <c r="I804" s="306"/>
      <c r="J804" s="338"/>
      <c r="K804" s="165"/>
      <c r="L804" s="91"/>
      <c r="M804" s="92"/>
    </row>
    <row r="805" spans="1:13" s="45" customFormat="1" ht="8.5500000000000007" customHeight="1" x14ac:dyDescent="0.2">
      <c r="A805" s="43"/>
      <c r="B805" s="201" t="s">
        <v>563</v>
      </c>
      <c r="C805" s="201"/>
      <c r="D805" s="201"/>
      <c r="E805" s="201"/>
      <c r="F805" s="157"/>
      <c r="G805" s="251">
        <v>1999</v>
      </c>
      <c r="H805" s="304">
        <v>98</v>
      </c>
      <c r="I805" s="305"/>
      <c r="J805" s="302"/>
      <c r="K805" s="164">
        <v>2</v>
      </c>
      <c r="L805" s="91"/>
      <c r="M805" s="92"/>
    </row>
    <row r="806" spans="1:13" s="45" customFormat="1" ht="8.5500000000000007" customHeight="1" x14ac:dyDescent="0.2">
      <c r="A806" s="43"/>
      <c r="B806" s="158"/>
      <c r="C806" s="158"/>
      <c r="D806" s="158"/>
      <c r="E806" s="158"/>
      <c r="F806" s="159"/>
      <c r="G806" s="252"/>
      <c r="H806" s="303"/>
      <c r="I806" s="306"/>
      <c r="J806" s="338"/>
      <c r="K806" s="165"/>
      <c r="L806" s="91"/>
      <c r="M806" s="92"/>
    </row>
    <row r="807" spans="1:13" s="45" customFormat="1" ht="8.5500000000000007" customHeight="1" x14ac:dyDescent="0.2">
      <c r="A807" s="43"/>
      <c r="B807" s="201" t="s">
        <v>563</v>
      </c>
      <c r="C807" s="201"/>
      <c r="D807" s="201"/>
      <c r="E807" s="201"/>
      <c r="F807" s="157"/>
      <c r="G807" s="251">
        <v>2001</v>
      </c>
      <c r="H807" s="304">
        <v>96</v>
      </c>
      <c r="I807" s="305"/>
      <c r="J807" s="302"/>
      <c r="K807" s="164">
        <v>1</v>
      </c>
      <c r="L807" s="91"/>
      <c r="M807" s="92"/>
    </row>
    <row r="808" spans="1:13" s="45" customFormat="1" ht="8.5500000000000007" customHeight="1" x14ac:dyDescent="0.2">
      <c r="A808" s="43"/>
      <c r="B808" s="158"/>
      <c r="C808" s="158"/>
      <c r="D808" s="158"/>
      <c r="E808" s="158"/>
      <c r="F808" s="159"/>
      <c r="G808" s="252"/>
      <c r="H808" s="303"/>
      <c r="I808" s="306"/>
      <c r="J808" s="338"/>
      <c r="K808" s="165"/>
      <c r="L808" s="91"/>
      <c r="M808" s="92"/>
    </row>
    <row r="809" spans="1:13" s="45" customFormat="1" ht="8.5500000000000007" customHeight="1" x14ac:dyDescent="0.2">
      <c r="A809" s="43"/>
      <c r="B809" s="201" t="s">
        <v>563</v>
      </c>
      <c r="C809" s="201"/>
      <c r="D809" s="201"/>
      <c r="E809" s="201"/>
      <c r="F809" s="157"/>
      <c r="G809" s="251">
        <v>2004</v>
      </c>
      <c r="H809" s="304">
        <v>96</v>
      </c>
      <c r="I809" s="305"/>
      <c r="J809" s="302"/>
      <c r="K809" s="164">
        <v>3</v>
      </c>
      <c r="L809" s="91"/>
      <c r="M809" s="92"/>
    </row>
    <row r="810" spans="1:13" s="45" customFormat="1" ht="8.5500000000000007" customHeight="1" x14ac:dyDescent="0.2">
      <c r="A810" s="43"/>
      <c r="B810" s="158"/>
      <c r="C810" s="158"/>
      <c r="D810" s="158"/>
      <c r="E810" s="158"/>
      <c r="F810" s="159"/>
      <c r="G810" s="252"/>
      <c r="H810" s="303"/>
      <c r="I810" s="306"/>
      <c r="J810" s="338"/>
      <c r="K810" s="165"/>
      <c r="L810" s="91"/>
      <c r="M810" s="92"/>
    </row>
    <row r="811" spans="1:13" s="45" customFormat="1" ht="8.5500000000000007" customHeight="1" x14ac:dyDescent="0.2">
      <c r="A811" s="43"/>
      <c r="B811" s="201" t="s">
        <v>563</v>
      </c>
      <c r="C811" s="201"/>
      <c r="D811" s="201"/>
      <c r="E811" s="201"/>
      <c r="F811" s="157"/>
      <c r="G811" s="251">
        <v>2006</v>
      </c>
      <c r="H811" s="304">
        <v>98</v>
      </c>
      <c r="I811" s="305">
        <v>96</v>
      </c>
      <c r="J811" s="302" t="s">
        <v>418</v>
      </c>
      <c r="K811" s="164">
        <v>4</v>
      </c>
      <c r="L811" s="91"/>
      <c r="M811" s="92"/>
    </row>
    <row r="812" spans="1:13" s="45" customFormat="1" ht="8.5500000000000007" customHeight="1" x14ac:dyDescent="0.2">
      <c r="A812" s="43"/>
      <c r="B812" s="158"/>
      <c r="C812" s="158"/>
      <c r="D812" s="158"/>
      <c r="E812" s="158"/>
      <c r="F812" s="159"/>
      <c r="G812" s="252"/>
      <c r="H812" s="303"/>
      <c r="I812" s="306"/>
      <c r="J812" s="338"/>
      <c r="K812" s="165"/>
      <c r="L812" s="91"/>
      <c r="M812" s="92"/>
    </row>
    <row r="813" spans="1:13" s="45" customFormat="1" ht="8.5500000000000007" customHeight="1" x14ac:dyDescent="0.2">
      <c r="A813" s="43"/>
      <c r="B813" s="201" t="s">
        <v>1120</v>
      </c>
      <c r="C813" s="201"/>
      <c r="D813" s="201"/>
      <c r="E813" s="201"/>
      <c r="F813" s="157"/>
      <c r="G813" s="251">
        <v>2006</v>
      </c>
      <c r="H813" s="304">
        <v>98</v>
      </c>
      <c r="I813" s="305">
        <v>96</v>
      </c>
      <c r="J813" s="302" t="s">
        <v>418</v>
      </c>
      <c r="K813" s="164">
        <v>1</v>
      </c>
      <c r="L813" s="91"/>
      <c r="M813" s="92"/>
    </row>
    <row r="814" spans="1:13" s="45" customFormat="1" ht="8.5500000000000007" customHeight="1" x14ac:dyDescent="0.2">
      <c r="A814" s="43"/>
      <c r="B814" s="158"/>
      <c r="C814" s="158"/>
      <c r="D814" s="158"/>
      <c r="E814" s="158"/>
      <c r="F814" s="159"/>
      <c r="G814" s="252"/>
      <c r="H814" s="303"/>
      <c r="I814" s="306"/>
      <c r="J814" s="338"/>
      <c r="K814" s="165"/>
      <c r="L814" s="91"/>
      <c r="M814" s="92"/>
    </row>
    <row r="815" spans="1:13" s="45" customFormat="1" ht="8.5500000000000007" customHeight="1" x14ac:dyDescent="0.2">
      <c r="A815" s="43"/>
      <c r="B815" s="201" t="s">
        <v>563</v>
      </c>
      <c r="C815" s="201"/>
      <c r="D815" s="201"/>
      <c r="E815" s="201"/>
      <c r="F815" s="157"/>
      <c r="G815" s="251">
        <v>2007</v>
      </c>
      <c r="H815" s="304">
        <v>96</v>
      </c>
      <c r="I815" s="305"/>
      <c r="J815" s="302" t="s">
        <v>325</v>
      </c>
      <c r="K815" s="164">
        <v>2</v>
      </c>
      <c r="L815" s="91"/>
      <c r="M815" s="92"/>
    </row>
    <row r="816" spans="1:13" s="45" customFormat="1" ht="8.5500000000000007" customHeight="1" x14ac:dyDescent="0.2">
      <c r="A816" s="43"/>
      <c r="B816" s="158"/>
      <c r="C816" s="158"/>
      <c r="D816" s="158"/>
      <c r="E816" s="158"/>
      <c r="F816" s="159"/>
      <c r="G816" s="252"/>
      <c r="H816" s="303"/>
      <c r="I816" s="306"/>
      <c r="J816" s="338"/>
      <c r="K816" s="165"/>
      <c r="L816" s="91"/>
      <c r="M816" s="92"/>
    </row>
    <row r="817" spans="1:13" s="45" customFormat="1" ht="8.5500000000000007" customHeight="1" x14ac:dyDescent="0.2">
      <c r="A817" s="43"/>
      <c r="B817" s="201" t="s">
        <v>1501</v>
      </c>
      <c r="C817" s="201"/>
      <c r="D817" s="201"/>
      <c r="E817" s="201"/>
      <c r="F817" s="157"/>
      <c r="G817" s="251">
        <v>2006</v>
      </c>
      <c r="H817" s="304" t="s">
        <v>623</v>
      </c>
      <c r="I817" s="305">
        <v>91</v>
      </c>
      <c r="J817" s="302" t="s">
        <v>415</v>
      </c>
      <c r="K817" s="164">
        <v>2</v>
      </c>
      <c r="L817" s="91"/>
      <c r="M817" s="92"/>
    </row>
    <row r="818" spans="1:13" s="45" customFormat="1" ht="8.5500000000000007" customHeight="1" x14ac:dyDescent="0.2">
      <c r="A818" s="43"/>
      <c r="B818" s="158"/>
      <c r="C818" s="158"/>
      <c r="D818" s="158"/>
      <c r="E818" s="158"/>
      <c r="F818" s="159"/>
      <c r="G818" s="252"/>
      <c r="H818" s="303"/>
      <c r="I818" s="306"/>
      <c r="J818" s="338"/>
      <c r="K818" s="165"/>
      <c r="L818" s="91"/>
      <c r="M818" s="92"/>
    </row>
    <row r="819" spans="1:13" s="45" customFormat="1" ht="8.5500000000000007" customHeight="1" x14ac:dyDescent="0.2">
      <c r="A819" s="43"/>
      <c r="B819" s="201" t="s">
        <v>566</v>
      </c>
      <c r="C819" s="201"/>
      <c r="D819" s="201"/>
      <c r="E819" s="201"/>
      <c r="F819" s="157"/>
      <c r="G819" s="251">
        <v>2005</v>
      </c>
      <c r="H819" s="305"/>
      <c r="I819" s="305">
        <v>95</v>
      </c>
      <c r="J819" s="305"/>
      <c r="K819" s="164">
        <v>1</v>
      </c>
      <c r="L819" s="91"/>
      <c r="M819" s="92"/>
    </row>
    <row r="820" spans="1:13" s="45" customFormat="1" ht="8.5500000000000007" customHeight="1" x14ac:dyDescent="0.2">
      <c r="A820" s="43"/>
      <c r="B820" s="158"/>
      <c r="C820" s="158"/>
      <c r="D820" s="158"/>
      <c r="E820" s="158"/>
      <c r="F820" s="159"/>
      <c r="G820" s="252"/>
      <c r="H820" s="306"/>
      <c r="I820" s="306"/>
      <c r="J820" s="306"/>
      <c r="K820" s="165"/>
      <c r="L820" s="91"/>
      <c r="M820" s="92"/>
    </row>
    <row r="821" spans="1:13" s="45" customFormat="1" ht="8.5500000000000007" customHeight="1" x14ac:dyDescent="0.2">
      <c r="A821" s="43"/>
      <c r="B821" s="201" t="s">
        <v>679</v>
      </c>
      <c r="C821" s="201"/>
      <c r="D821" s="201"/>
      <c r="E821" s="201"/>
      <c r="F821" s="157"/>
      <c r="G821" s="251">
        <v>2006</v>
      </c>
      <c r="H821" s="304">
        <v>92</v>
      </c>
      <c r="I821" s="305">
        <v>93</v>
      </c>
      <c r="J821" s="302" t="s">
        <v>355</v>
      </c>
      <c r="K821" s="164">
        <v>1</v>
      </c>
      <c r="L821" s="91"/>
      <c r="M821" s="92"/>
    </row>
    <row r="822" spans="1:13" s="45" customFormat="1" ht="8.5500000000000007" customHeight="1" x14ac:dyDescent="0.2">
      <c r="A822" s="43"/>
      <c r="B822" s="158"/>
      <c r="C822" s="158"/>
      <c r="D822" s="158"/>
      <c r="E822" s="158"/>
      <c r="F822" s="159"/>
      <c r="G822" s="252"/>
      <c r="H822" s="303"/>
      <c r="I822" s="306"/>
      <c r="J822" s="338"/>
      <c r="K822" s="165"/>
      <c r="L822" s="91"/>
      <c r="M822" s="92"/>
    </row>
    <row r="823" spans="1:13" s="45" customFormat="1" ht="8.5500000000000007" customHeight="1" x14ac:dyDescent="0.2">
      <c r="A823" s="43"/>
      <c r="B823" s="201" t="s">
        <v>1133</v>
      </c>
      <c r="C823" s="201"/>
      <c r="D823" s="201"/>
      <c r="E823" s="201"/>
      <c r="F823" s="157"/>
      <c r="G823" s="251">
        <v>2004</v>
      </c>
      <c r="H823" s="304">
        <v>96</v>
      </c>
      <c r="I823" s="305"/>
      <c r="J823" s="302" t="s">
        <v>259</v>
      </c>
      <c r="K823" s="164">
        <v>2</v>
      </c>
      <c r="L823" s="91"/>
      <c r="M823" s="92"/>
    </row>
    <row r="824" spans="1:13" s="45" customFormat="1" ht="8.5500000000000007" customHeight="1" x14ac:dyDescent="0.2">
      <c r="A824" s="43"/>
      <c r="B824" s="158"/>
      <c r="C824" s="158"/>
      <c r="D824" s="158"/>
      <c r="E824" s="158"/>
      <c r="F824" s="159"/>
      <c r="G824" s="252"/>
      <c r="H824" s="303"/>
      <c r="I824" s="306"/>
      <c r="J824" s="338"/>
      <c r="K824" s="165"/>
      <c r="L824" s="91"/>
      <c r="M824" s="92"/>
    </row>
    <row r="825" spans="1:13" s="45" customFormat="1" ht="8.5500000000000007" customHeight="1" x14ac:dyDescent="0.2">
      <c r="A825" s="43"/>
      <c r="B825" s="201" t="s">
        <v>1133</v>
      </c>
      <c r="C825" s="201"/>
      <c r="D825" s="201"/>
      <c r="E825" s="201"/>
      <c r="F825" s="157"/>
      <c r="G825" s="251">
        <v>2006</v>
      </c>
      <c r="H825" s="304">
        <v>97</v>
      </c>
      <c r="I825" s="305">
        <v>99</v>
      </c>
      <c r="J825" s="302" t="s">
        <v>305</v>
      </c>
      <c r="K825" s="164">
        <v>1</v>
      </c>
      <c r="L825" s="91"/>
      <c r="M825" s="92"/>
    </row>
    <row r="826" spans="1:13" s="45" customFormat="1" ht="8.5500000000000007" customHeight="1" x14ac:dyDescent="0.2">
      <c r="A826" s="43"/>
      <c r="B826" s="158"/>
      <c r="C826" s="158"/>
      <c r="D826" s="158"/>
      <c r="E826" s="158"/>
      <c r="F826" s="159"/>
      <c r="G826" s="252"/>
      <c r="H826" s="303"/>
      <c r="I826" s="306"/>
      <c r="J826" s="338"/>
      <c r="K826" s="165"/>
      <c r="L826" s="91"/>
      <c r="M826" s="92"/>
    </row>
    <row r="827" spans="1:13" s="45" customFormat="1" ht="8.5500000000000007" customHeight="1" x14ac:dyDescent="0.2">
      <c r="A827" s="43"/>
      <c r="B827" s="201" t="s">
        <v>655</v>
      </c>
      <c r="C827" s="201"/>
      <c r="D827" s="201"/>
      <c r="E827" s="201"/>
      <c r="F827" s="157"/>
      <c r="G827" s="251">
        <v>2006</v>
      </c>
      <c r="H827" s="304">
        <v>97</v>
      </c>
      <c r="I827" s="305">
        <v>99</v>
      </c>
      <c r="J827" s="302" t="s">
        <v>305</v>
      </c>
      <c r="K827" s="164">
        <v>2</v>
      </c>
      <c r="L827" s="91"/>
      <c r="M827" s="92"/>
    </row>
    <row r="828" spans="1:13" s="45" customFormat="1" ht="8.5500000000000007" customHeight="1" x14ac:dyDescent="0.2">
      <c r="A828" s="43"/>
      <c r="B828" s="158"/>
      <c r="C828" s="158"/>
      <c r="D828" s="158"/>
      <c r="E828" s="158"/>
      <c r="F828" s="159"/>
      <c r="G828" s="252"/>
      <c r="H828" s="303"/>
      <c r="I828" s="306"/>
      <c r="J828" s="338"/>
      <c r="K828" s="165"/>
      <c r="L828" s="91"/>
      <c r="M828" s="92"/>
    </row>
    <row r="829" spans="1:13" s="45" customFormat="1" ht="8.5500000000000007" customHeight="1" x14ac:dyDescent="0.2">
      <c r="A829" s="43"/>
      <c r="B829" s="201" t="s">
        <v>655</v>
      </c>
      <c r="C829" s="201"/>
      <c r="D829" s="201"/>
      <c r="E829" s="201"/>
      <c r="F829" s="157"/>
      <c r="G829" s="251">
        <v>2017</v>
      </c>
      <c r="H829" s="304">
        <v>96</v>
      </c>
      <c r="I829" s="305"/>
      <c r="J829" s="302" t="s">
        <v>1627</v>
      </c>
      <c r="K829" s="164">
        <v>1</v>
      </c>
      <c r="L829" s="91"/>
      <c r="M829" s="92"/>
    </row>
    <row r="830" spans="1:13" s="45" customFormat="1" ht="8.5500000000000007" customHeight="1" x14ac:dyDescent="0.2">
      <c r="A830" s="43"/>
      <c r="B830" s="158"/>
      <c r="C830" s="158"/>
      <c r="D830" s="158"/>
      <c r="E830" s="158"/>
      <c r="F830" s="159"/>
      <c r="G830" s="252"/>
      <c r="H830" s="303"/>
      <c r="I830" s="306"/>
      <c r="J830" s="338"/>
      <c r="K830" s="165"/>
      <c r="L830" s="91"/>
      <c r="M830" s="92"/>
    </row>
    <row r="831" spans="1:13" s="45" customFormat="1" ht="8.5500000000000007" customHeight="1" x14ac:dyDescent="0.2">
      <c r="A831" s="43"/>
      <c r="B831" s="201" t="s">
        <v>842</v>
      </c>
      <c r="C831" s="201"/>
      <c r="D831" s="201"/>
      <c r="E831" s="201"/>
      <c r="F831" s="157"/>
      <c r="G831" s="251">
        <v>1982</v>
      </c>
      <c r="H831" s="304">
        <v>94</v>
      </c>
      <c r="I831" s="305"/>
      <c r="J831" s="345" t="s">
        <v>1576</v>
      </c>
      <c r="K831" s="164">
        <v>1</v>
      </c>
      <c r="L831" s="91"/>
      <c r="M831" s="92"/>
    </row>
    <row r="832" spans="1:13" s="45" customFormat="1" ht="8.5500000000000007" customHeight="1" x14ac:dyDescent="0.2">
      <c r="A832" s="43"/>
      <c r="B832" s="158"/>
      <c r="C832" s="158"/>
      <c r="D832" s="158"/>
      <c r="E832" s="158"/>
      <c r="F832" s="159"/>
      <c r="G832" s="252"/>
      <c r="H832" s="303"/>
      <c r="I832" s="306"/>
      <c r="J832" s="306"/>
      <c r="K832" s="165"/>
      <c r="L832" s="91"/>
      <c r="M832" s="92"/>
    </row>
    <row r="833" spans="1:13" s="45" customFormat="1" ht="8.5500000000000007" customHeight="1" x14ac:dyDescent="0.2">
      <c r="A833" s="43"/>
      <c r="B833" s="201" t="s">
        <v>663</v>
      </c>
      <c r="C833" s="201"/>
      <c r="D833" s="201"/>
      <c r="E833" s="201"/>
      <c r="F833" s="157"/>
      <c r="G833" s="251">
        <v>1999</v>
      </c>
      <c r="H833" s="304">
        <v>99</v>
      </c>
      <c r="I833" s="305"/>
      <c r="J833" s="305"/>
      <c r="K833" s="164">
        <v>1</v>
      </c>
      <c r="L833" s="91"/>
      <c r="M833" s="92"/>
    </row>
    <row r="834" spans="1:13" s="45" customFormat="1" ht="8.5500000000000007" customHeight="1" x14ac:dyDescent="0.2">
      <c r="A834" s="43"/>
      <c r="B834" s="158"/>
      <c r="C834" s="158"/>
      <c r="D834" s="158"/>
      <c r="E834" s="158"/>
      <c r="F834" s="159"/>
      <c r="G834" s="252"/>
      <c r="H834" s="303"/>
      <c r="I834" s="306"/>
      <c r="J834" s="306"/>
      <c r="K834" s="165"/>
      <c r="L834" s="91"/>
      <c r="M834" s="92"/>
    </row>
    <row r="835" spans="1:13" s="45" customFormat="1" ht="8.5500000000000007" customHeight="1" x14ac:dyDescent="0.2">
      <c r="A835" s="43"/>
      <c r="B835" s="201" t="s">
        <v>663</v>
      </c>
      <c r="C835" s="201"/>
      <c r="D835" s="201"/>
      <c r="E835" s="201"/>
      <c r="F835" s="157"/>
      <c r="G835" s="251">
        <v>2001</v>
      </c>
      <c r="H835" s="304">
        <v>95</v>
      </c>
      <c r="I835" s="305">
        <v>93</v>
      </c>
      <c r="J835" s="305"/>
      <c r="K835" s="164">
        <v>1</v>
      </c>
      <c r="L835" s="91"/>
      <c r="M835" s="92"/>
    </row>
    <row r="836" spans="1:13" s="45" customFormat="1" ht="8.5500000000000007" customHeight="1" x14ac:dyDescent="0.2">
      <c r="A836" s="43"/>
      <c r="B836" s="158"/>
      <c r="C836" s="158"/>
      <c r="D836" s="158"/>
      <c r="E836" s="158"/>
      <c r="F836" s="159"/>
      <c r="G836" s="252"/>
      <c r="H836" s="303"/>
      <c r="I836" s="306"/>
      <c r="J836" s="306"/>
      <c r="K836" s="165"/>
      <c r="L836" s="91"/>
      <c r="M836" s="92"/>
    </row>
    <row r="837" spans="1:13" s="45" customFormat="1" ht="8.5500000000000007" customHeight="1" x14ac:dyDescent="0.2">
      <c r="A837" s="43"/>
      <c r="B837" s="201" t="s">
        <v>680</v>
      </c>
      <c r="C837" s="201"/>
      <c r="D837" s="201"/>
      <c r="E837" s="201"/>
      <c r="F837" s="157"/>
      <c r="G837" s="251">
        <v>2006</v>
      </c>
      <c r="H837" s="304">
        <v>94</v>
      </c>
      <c r="I837" s="305">
        <v>94</v>
      </c>
      <c r="J837" s="302" t="s">
        <v>328</v>
      </c>
      <c r="K837" s="164">
        <v>1</v>
      </c>
      <c r="L837" s="91"/>
      <c r="M837" s="92"/>
    </row>
    <row r="838" spans="1:13" s="45" customFormat="1" ht="8.5500000000000007" customHeight="1" x14ac:dyDescent="0.2">
      <c r="A838" s="43"/>
      <c r="B838" s="158"/>
      <c r="C838" s="158"/>
      <c r="D838" s="158"/>
      <c r="E838" s="158"/>
      <c r="F838" s="159"/>
      <c r="G838" s="252"/>
      <c r="H838" s="303"/>
      <c r="I838" s="306"/>
      <c r="J838" s="338"/>
      <c r="K838" s="165"/>
      <c r="L838" s="91"/>
      <c r="M838" s="92"/>
    </row>
    <row r="839" spans="1:13" s="45" customFormat="1" ht="8.5500000000000007" customHeight="1" x14ac:dyDescent="0.2">
      <c r="A839" s="43"/>
      <c r="B839" s="201" t="s">
        <v>571</v>
      </c>
      <c r="C839" s="201"/>
      <c r="D839" s="201"/>
      <c r="E839" s="201"/>
      <c r="F839" s="157"/>
      <c r="G839" s="251">
        <v>2006</v>
      </c>
      <c r="H839" s="304">
        <v>94</v>
      </c>
      <c r="I839" s="305">
        <v>94</v>
      </c>
      <c r="J839" s="302" t="s">
        <v>328</v>
      </c>
      <c r="K839" s="164">
        <v>2</v>
      </c>
      <c r="L839" s="91"/>
      <c r="M839" s="92"/>
    </row>
    <row r="840" spans="1:13" s="45" customFormat="1" ht="8.5500000000000007" customHeight="1" x14ac:dyDescent="0.2">
      <c r="A840" s="43"/>
      <c r="B840" s="158"/>
      <c r="C840" s="158"/>
      <c r="D840" s="158"/>
      <c r="E840" s="158"/>
      <c r="F840" s="159"/>
      <c r="G840" s="252"/>
      <c r="H840" s="303"/>
      <c r="I840" s="306"/>
      <c r="J840" s="338"/>
      <c r="K840" s="165"/>
      <c r="L840" s="91"/>
      <c r="M840" s="92"/>
    </row>
    <row r="841" spans="1:13" s="45" customFormat="1" ht="8.5500000000000007" customHeight="1" x14ac:dyDescent="0.2">
      <c r="A841" s="43"/>
      <c r="B841" s="201" t="s">
        <v>571</v>
      </c>
      <c r="C841" s="201"/>
      <c r="D841" s="201"/>
      <c r="E841" s="201"/>
      <c r="F841" s="157"/>
      <c r="G841" s="251">
        <v>2007</v>
      </c>
      <c r="H841" s="304">
        <v>94</v>
      </c>
      <c r="I841" s="305">
        <v>97</v>
      </c>
      <c r="J841" s="302" t="s">
        <v>420</v>
      </c>
      <c r="K841" s="164">
        <v>2</v>
      </c>
      <c r="L841" s="91"/>
      <c r="M841" s="92"/>
    </row>
    <row r="842" spans="1:13" s="45" customFormat="1" ht="8.5500000000000007" customHeight="1" x14ac:dyDescent="0.2">
      <c r="A842" s="43"/>
      <c r="B842" s="158"/>
      <c r="C842" s="158"/>
      <c r="D842" s="158"/>
      <c r="E842" s="158"/>
      <c r="F842" s="159"/>
      <c r="G842" s="252"/>
      <c r="H842" s="303"/>
      <c r="I842" s="306"/>
      <c r="J842" s="338"/>
      <c r="K842" s="165"/>
      <c r="L842" s="91"/>
      <c r="M842" s="92"/>
    </row>
    <row r="843" spans="1:13" s="45" customFormat="1" ht="8.5500000000000007" customHeight="1" x14ac:dyDescent="0.2">
      <c r="A843" s="43"/>
      <c r="B843" s="201" t="s">
        <v>681</v>
      </c>
      <c r="C843" s="201"/>
      <c r="D843" s="201"/>
      <c r="E843" s="201"/>
      <c r="F843" s="157"/>
      <c r="G843" s="251">
        <v>2007</v>
      </c>
      <c r="H843" s="305"/>
      <c r="I843" s="305">
        <v>95</v>
      </c>
      <c r="J843" s="305"/>
      <c r="K843" s="164">
        <v>2</v>
      </c>
      <c r="L843" s="91"/>
      <c r="M843" s="92"/>
    </row>
    <row r="844" spans="1:13" s="45" customFormat="1" ht="8.5500000000000007" customHeight="1" x14ac:dyDescent="0.2">
      <c r="A844" s="43"/>
      <c r="B844" s="158"/>
      <c r="C844" s="158"/>
      <c r="D844" s="158"/>
      <c r="E844" s="158"/>
      <c r="F844" s="159"/>
      <c r="G844" s="252"/>
      <c r="H844" s="306"/>
      <c r="I844" s="306"/>
      <c r="J844" s="306"/>
      <c r="K844" s="165"/>
      <c r="L844" s="91"/>
      <c r="M844" s="92"/>
    </row>
    <row r="845" spans="1:13" s="45" customFormat="1" ht="8.5500000000000007" customHeight="1" x14ac:dyDescent="0.2">
      <c r="A845" s="43"/>
      <c r="B845" s="201" t="s">
        <v>1508</v>
      </c>
      <c r="C845" s="201"/>
      <c r="D845" s="201"/>
      <c r="E845" s="201"/>
      <c r="F845" s="157"/>
      <c r="G845" s="251">
        <v>2007</v>
      </c>
      <c r="H845" s="304">
        <v>94</v>
      </c>
      <c r="I845" s="305">
        <v>94</v>
      </c>
      <c r="J845" s="302" t="s">
        <v>263</v>
      </c>
      <c r="K845" s="164">
        <v>1</v>
      </c>
      <c r="L845" s="91"/>
      <c r="M845" s="92"/>
    </row>
    <row r="846" spans="1:13" s="45" customFormat="1" ht="8.5500000000000007" customHeight="1" x14ac:dyDescent="0.2">
      <c r="A846" s="43"/>
      <c r="B846" s="158"/>
      <c r="C846" s="158"/>
      <c r="D846" s="158"/>
      <c r="E846" s="158"/>
      <c r="F846" s="159"/>
      <c r="G846" s="252"/>
      <c r="H846" s="303"/>
      <c r="I846" s="306"/>
      <c r="J846" s="338"/>
      <c r="K846" s="165"/>
      <c r="L846" s="91"/>
      <c r="M846" s="92"/>
    </row>
    <row r="847" spans="1:13" s="45" customFormat="1" ht="8.5500000000000007" customHeight="1" x14ac:dyDescent="0.2">
      <c r="A847" s="43"/>
      <c r="B847" s="201" t="s">
        <v>1299</v>
      </c>
      <c r="C847" s="201"/>
      <c r="D847" s="201"/>
      <c r="E847" s="201"/>
      <c r="F847" s="157"/>
      <c r="G847" s="251">
        <v>1990</v>
      </c>
      <c r="H847" s="304">
        <v>100</v>
      </c>
      <c r="I847" s="305">
        <v>93</v>
      </c>
      <c r="J847" s="302" t="s">
        <v>263</v>
      </c>
      <c r="K847" s="164">
        <v>3</v>
      </c>
      <c r="L847" s="91"/>
      <c r="M847" s="92"/>
    </row>
    <row r="848" spans="1:13" s="45" customFormat="1" ht="8.5500000000000007" customHeight="1" x14ac:dyDescent="0.2">
      <c r="A848" s="43"/>
      <c r="B848" s="158"/>
      <c r="C848" s="158"/>
      <c r="D848" s="158"/>
      <c r="E848" s="158"/>
      <c r="F848" s="159"/>
      <c r="G848" s="252"/>
      <c r="H848" s="303"/>
      <c r="I848" s="306"/>
      <c r="J848" s="338"/>
      <c r="K848" s="165"/>
      <c r="L848" s="91"/>
      <c r="M848" s="92"/>
    </row>
    <row r="849" spans="1:13" s="45" customFormat="1" ht="8.5500000000000007" customHeight="1" x14ac:dyDescent="0.2">
      <c r="A849" s="43"/>
      <c r="B849" s="201" t="s">
        <v>1299</v>
      </c>
      <c r="C849" s="201"/>
      <c r="D849" s="201"/>
      <c r="E849" s="201"/>
      <c r="F849" s="157"/>
      <c r="G849" s="251">
        <v>2001</v>
      </c>
      <c r="H849" s="304">
        <v>97</v>
      </c>
      <c r="I849" s="305">
        <v>88</v>
      </c>
      <c r="J849" s="302" t="s">
        <v>858</v>
      </c>
      <c r="K849" s="164">
        <v>3</v>
      </c>
      <c r="L849" s="91"/>
      <c r="M849" s="92"/>
    </row>
    <row r="850" spans="1:13" s="45" customFormat="1" ht="8.5500000000000007" customHeight="1" x14ac:dyDescent="0.2">
      <c r="A850" s="43"/>
      <c r="B850" s="158"/>
      <c r="C850" s="158"/>
      <c r="D850" s="158"/>
      <c r="E850" s="158"/>
      <c r="F850" s="159"/>
      <c r="G850" s="252"/>
      <c r="H850" s="303"/>
      <c r="I850" s="306"/>
      <c r="J850" s="338"/>
      <c r="K850" s="165"/>
      <c r="L850" s="91"/>
      <c r="M850" s="92"/>
    </row>
    <row r="851" spans="1:13" s="45" customFormat="1" ht="8.5500000000000007" customHeight="1" x14ac:dyDescent="0.2">
      <c r="A851" s="43"/>
      <c r="B851" s="339" t="s">
        <v>825</v>
      </c>
      <c r="C851" s="339"/>
      <c r="D851" s="339"/>
      <c r="E851" s="339"/>
      <c r="F851" s="339"/>
      <c r="G851" s="79"/>
      <c r="H851" s="79"/>
      <c r="I851" s="79"/>
      <c r="J851" s="79"/>
      <c r="K851" s="164"/>
      <c r="L851" s="91"/>
      <c r="M851" s="92"/>
    </row>
    <row r="852" spans="1:13" s="45" customFormat="1" ht="8.5500000000000007" customHeight="1" x14ac:dyDescent="0.2">
      <c r="A852" s="43"/>
      <c r="B852" s="340"/>
      <c r="C852" s="340"/>
      <c r="D852" s="340"/>
      <c r="E852" s="340"/>
      <c r="F852" s="340"/>
      <c r="G852" s="80"/>
      <c r="H852" s="80"/>
      <c r="I852" s="80"/>
      <c r="J852" s="80"/>
      <c r="K852" s="165"/>
      <c r="L852" s="91"/>
      <c r="M852" s="92"/>
    </row>
    <row r="853" spans="1:13" s="45" customFormat="1" ht="8.5500000000000007" customHeight="1" x14ac:dyDescent="0.2">
      <c r="A853" s="43"/>
      <c r="B853" s="201" t="s">
        <v>1299</v>
      </c>
      <c r="C853" s="201"/>
      <c r="D853" s="201"/>
      <c r="E853" s="201"/>
      <c r="F853" s="157"/>
      <c r="G853" s="251">
        <v>2004</v>
      </c>
      <c r="H853" s="304">
        <v>97</v>
      </c>
      <c r="I853" s="305"/>
      <c r="J853" s="302" t="s">
        <v>859</v>
      </c>
      <c r="K853" s="164">
        <v>3</v>
      </c>
      <c r="L853" s="91"/>
      <c r="M853" s="92"/>
    </row>
    <row r="854" spans="1:13" s="45" customFormat="1" ht="8.5500000000000007" customHeight="1" x14ac:dyDescent="0.2">
      <c r="A854" s="43"/>
      <c r="B854" s="158"/>
      <c r="C854" s="158"/>
      <c r="D854" s="158"/>
      <c r="E854" s="158"/>
      <c r="F854" s="159"/>
      <c r="G854" s="252"/>
      <c r="H854" s="303"/>
      <c r="I854" s="306"/>
      <c r="J854" s="338"/>
      <c r="K854" s="165"/>
      <c r="L854" s="91"/>
      <c r="M854" s="92"/>
    </row>
    <row r="855" spans="1:13" s="45" customFormat="1" ht="8.5500000000000007" customHeight="1" x14ac:dyDescent="0.2">
      <c r="A855" s="43"/>
      <c r="B855" s="201" t="s">
        <v>1299</v>
      </c>
      <c r="C855" s="201"/>
      <c r="D855" s="201"/>
      <c r="E855" s="201"/>
      <c r="F855" s="157"/>
      <c r="G855" s="251">
        <v>2006</v>
      </c>
      <c r="H855" s="304" t="s">
        <v>660</v>
      </c>
      <c r="I855" s="305">
        <v>92</v>
      </c>
      <c r="J855" s="302" t="s">
        <v>305</v>
      </c>
      <c r="K855" s="164">
        <v>5</v>
      </c>
      <c r="L855" s="91"/>
      <c r="M855" s="92"/>
    </row>
    <row r="856" spans="1:13" s="45" customFormat="1" ht="8.5500000000000007" customHeight="1" x14ac:dyDescent="0.2">
      <c r="A856" s="43"/>
      <c r="B856" s="158"/>
      <c r="C856" s="158"/>
      <c r="D856" s="158"/>
      <c r="E856" s="158"/>
      <c r="F856" s="159"/>
      <c r="G856" s="252"/>
      <c r="H856" s="303"/>
      <c r="I856" s="306"/>
      <c r="J856" s="338"/>
      <c r="K856" s="165"/>
      <c r="L856" s="91"/>
      <c r="M856" s="92"/>
    </row>
    <row r="857" spans="1:13" s="45" customFormat="1" ht="8.5500000000000007" customHeight="1" x14ac:dyDescent="0.2">
      <c r="A857" s="43"/>
      <c r="B857" s="201" t="s">
        <v>1299</v>
      </c>
      <c r="C857" s="201"/>
      <c r="D857" s="201"/>
      <c r="E857" s="201"/>
      <c r="F857" s="157"/>
      <c r="G857" s="251">
        <v>2007</v>
      </c>
      <c r="H857" s="304">
        <v>99</v>
      </c>
      <c r="I857" s="305"/>
      <c r="J857" s="302"/>
      <c r="K857" s="164">
        <v>1</v>
      </c>
      <c r="L857" s="91"/>
      <c r="M857" s="92"/>
    </row>
    <row r="858" spans="1:13" s="45" customFormat="1" ht="8.5500000000000007" customHeight="1" x14ac:dyDescent="0.2">
      <c r="A858" s="43"/>
      <c r="B858" s="158"/>
      <c r="C858" s="158"/>
      <c r="D858" s="158"/>
      <c r="E858" s="158"/>
      <c r="F858" s="159"/>
      <c r="G858" s="252"/>
      <c r="H858" s="303"/>
      <c r="I858" s="306"/>
      <c r="J858" s="338"/>
      <c r="K858" s="165"/>
      <c r="L858" s="91"/>
      <c r="M858" s="92"/>
    </row>
    <row r="859" spans="1:13" s="45" customFormat="1" ht="8.5500000000000007" customHeight="1" x14ac:dyDescent="0.2">
      <c r="A859" s="43"/>
      <c r="B859" s="201" t="s">
        <v>1300</v>
      </c>
      <c r="C859" s="201"/>
      <c r="D859" s="201"/>
      <c r="E859" s="201"/>
      <c r="F859" s="157"/>
      <c r="G859" s="251">
        <v>2009</v>
      </c>
      <c r="H859" s="304">
        <v>96</v>
      </c>
      <c r="I859" s="305"/>
      <c r="J859" s="302" t="s">
        <v>715</v>
      </c>
      <c r="K859" s="164">
        <v>2</v>
      </c>
      <c r="L859" s="91"/>
      <c r="M859" s="92"/>
    </row>
    <row r="860" spans="1:13" s="45" customFormat="1" ht="8.5500000000000007" customHeight="1" x14ac:dyDescent="0.2">
      <c r="A860" s="43"/>
      <c r="B860" s="158"/>
      <c r="C860" s="158"/>
      <c r="D860" s="158"/>
      <c r="E860" s="158"/>
      <c r="F860" s="159"/>
      <c r="G860" s="252"/>
      <c r="H860" s="303"/>
      <c r="I860" s="306"/>
      <c r="J860" s="338"/>
      <c r="K860" s="165"/>
      <c r="L860" s="91"/>
      <c r="M860" s="92"/>
    </row>
    <row r="861" spans="1:13" s="45" customFormat="1" ht="8.5500000000000007" customHeight="1" x14ac:dyDescent="0.2">
      <c r="A861" s="43"/>
      <c r="B861" s="201" t="s">
        <v>1299</v>
      </c>
      <c r="C861" s="201"/>
      <c r="D861" s="201"/>
      <c r="E861" s="201"/>
      <c r="F861" s="157"/>
      <c r="G861" s="251">
        <v>2013</v>
      </c>
      <c r="H861" s="304">
        <v>98</v>
      </c>
      <c r="I861" s="305"/>
      <c r="J861" s="302" t="s">
        <v>258</v>
      </c>
      <c r="K861" s="164">
        <v>2</v>
      </c>
      <c r="L861" s="91"/>
      <c r="M861" s="92"/>
    </row>
    <row r="862" spans="1:13" s="45" customFormat="1" ht="8.5500000000000007" customHeight="1" x14ac:dyDescent="0.2">
      <c r="A862" s="43"/>
      <c r="B862" s="158"/>
      <c r="C862" s="158"/>
      <c r="D862" s="158"/>
      <c r="E862" s="158"/>
      <c r="F862" s="159"/>
      <c r="G862" s="252"/>
      <c r="H862" s="303"/>
      <c r="I862" s="306"/>
      <c r="J862" s="338"/>
      <c r="K862" s="165"/>
      <c r="L862" s="91"/>
      <c r="M862" s="92"/>
    </row>
    <row r="863" spans="1:13" s="45" customFormat="1" ht="8.5500000000000007" customHeight="1" x14ac:dyDescent="0.2">
      <c r="A863" s="43"/>
      <c r="B863" s="201" t="s">
        <v>1392</v>
      </c>
      <c r="C863" s="201"/>
      <c r="D863" s="201"/>
      <c r="E863" s="201"/>
      <c r="F863" s="157"/>
      <c r="G863" s="251">
        <v>1996</v>
      </c>
      <c r="H863" s="304"/>
      <c r="I863" s="305"/>
      <c r="J863" s="302"/>
      <c r="K863" s="164">
        <v>1</v>
      </c>
      <c r="L863" s="91"/>
      <c r="M863" s="92"/>
    </row>
    <row r="864" spans="1:13" s="45" customFormat="1" ht="8.5500000000000007" customHeight="1" x14ac:dyDescent="0.2">
      <c r="A864" s="43"/>
      <c r="B864" s="158"/>
      <c r="C864" s="158"/>
      <c r="D864" s="158"/>
      <c r="E864" s="158"/>
      <c r="F864" s="159"/>
      <c r="G864" s="252"/>
      <c r="H864" s="303"/>
      <c r="I864" s="306"/>
      <c r="J864" s="338"/>
      <c r="K864" s="165"/>
      <c r="L864" s="91"/>
      <c r="M864" s="92"/>
    </row>
    <row r="865" spans="1:13" s="45" customFormat="1" ht="8.5500000000000007" customHeight="1" x14ac:dyDescent="0.2">
      <c r="A865" s="43"/>
      <c r="B865" s="201" t="s">
        <v>895</v>
      </c>
      <c r="C865" s="201"/>
      <c r="D865" s="201"/>
      <c r="E865" s="201"/>
      <c r="F865" s="157"/>
      <c r="G865" s="251">
        <v>2006</v>
      </c>
      <c r="H865" s="304">
        <v>98</v>
      </c>
      <c r="I865" s="305"/>
      <c r="J865" s="302"/>
      <c r="K865" s="164">
        <v>1</v>
      </c>
      <c r="L865" s="91"/>
      <c r="M865" s="92"/>
    </row>
    <row r="866" spans="1:13" s="45" customFormat="1" ht="8.5500000000000007" customHeight="1" x14ac:dyDescent="0.2">
      <c r="A866" s="43"/>
      <c r="B866" s="158"/>
      <c r="C866" s="158"/>
      <c r="D866" s="158"/>
      <c r="E866" s="158"/>
      <c r="F866" s="159"/>
      <c r="G866" s="252"/>
      <c r="H866" s="303"/>
      <c r="I866" s="306"/>
      <c r="J866" s="338"/>
      <c r="K866" s="165"/>
      <c r="L866" s="91"/>
      <c r="M866" s="92"/>
    </row>
    <row r="867" spans="1:13" s="45" customFormat="1" ht="8.5500000000000007" customHeight="1" x14ac:dyDescent="0.2">
      <c r="A867" s="43"/>
      <c r="B867" s="201" t="s">
        <v>1039</v>
      </c>
      <c r="C867" s="201"/>
      <c r="D867" s="201"/>
      <c r="E867" s="201"/>
      <c r="F867" s="157"/>
      <c r="G867" s="251">
        <v>2005</v>
      </c>
      <c r="H867" s="304">
        <v>94</v>
      </c>
      <c r="I867" s="305"/>
      <c r="J867" s="302"/>
      <c r="K867" s="164">
        <v>2</v>
      </c>
      <c r="L867" s="91"/>
      <c r="M867" s="92"/>
    </row>
    <row r="868" spans="1:13" s="45" customFormat="1" ht="8.5500000000000007" customHeight="1" x14ac:dyDescent="0.2">
      <c r="A868" s="43"/>
      <c r="B868" s="158"/>
      <c r="C868" s="158"/>
      <c r="D868" s="158"/>
      <c r="E868" s="158"/>
      <c r="F868" s="159"/>
      <c r="G868" s="252"/>
      <c r="H868" s="303"/>
      <c r="I868" s="306"/>
      <c r="J868" s="338"/>
      <c r="K868" s="165"/>
      <c r="L868" s="91"/>
      <c r="M868" s="92"/>
    </row>
    <row r="869" spans="1:13" s="45" customFormat="1" ht="8.5500000000000007" customHeight="1" x14ac:dyDescent="0.2">
      <c r="A869" s="43"/>
      <c r="B869" s="201" t="s">
        <v>1084</v>
      </c>
      <c r="C869" s="201"/>
      <c r="D869" s="201"/>
      <c r="E869" s="201"/>
      <c r="F869" s="157"/>
      <c r="G869" s="251">
        <v>1999</v>
      </c>
      <c r="H869" s="304">
        <v>95</v>
      </c>
      <c r="I869" s="305"/>
      <c r="J869" s="302"/>
      <c r="K869" s="164">
        <v>1</v>
      </c>
      <c r="L869" s="91"/>
      <c r="M869" s="92"/>
    </row>
    <row r="870" spans="1:13" s="45" customFormat="1" ht="8.5500000000000007" customHeight="1" x14ac:dyDescent="0.2">
      <c r="A870" s="43"/>
      <c r="B870" s="158"/>
      <c r="C870" s="158"/>
      <c r="D870" s="158"/>
      <c r="E870" s="158"/>
      <c r="F870" s="159"/>
      <c r="G870" s="252"/>
      <c r="H870" s="303"/>
      <c r="I870" s="306"/>
      <c r="J870" s="338"/>
      <c r="K870" s="165"/>
      <c r="L870" s="91"/>
      <c r="M870" s="92"/>
    </row>
    <row r="871" spans="1:13" s="45" customFormat="1" ht="8.5500000000000007" customHeight="1" x14ac:dyDescent="0.2">
      <c r="A871" s="43"/>
      <c r="B871" s="201" t="s">
        <v>1084</v>
      </c>
      <c r="C871" s="201"/>
      <c r="D871" s="201"/>
      <c r="E871" s="201"/>
      <c r="F871" s="157"/>
      <c r="G871" s="251">
        <v>2001</v>
      </c>
      <c r="H871" s="304">
        <v>94</v>
      </c>
      <c r="I871" s="305"/>
      <c r="J871" s="302"/>
      <c r="K871" s="164">
        <v>1</v>
      </c>
      <c r="L871" s="91"/>
      <c r="M871" s="92"/>
    </row>
    <row r="872" spans="1:13" s="45" customFormat="1" ht="8.5500000000000007" customHeight="1" x14ac:dyDescent="0.2">
      <c r="A872" s="43"/>
      <c r="B872" s="158"/>
      <c r="C872" s="158"/>
      <c r="D872" s="158"/>
      <c r="E872" s="158"/>
      <c r="F872" s="159"/>
      <c r="G872" s="252"/>
      <c r="H872" s="303"/>
      <c r="I872" s="306"/>
      <c r="J872" s="338"/>
      <c r="K872" s="165"/>
      <c r="L872" s="91"/>
      <c r="M872" s="92"/>
    </row>
    <row r="873" spans="1:13" s="45" customFormat="1" ht="8.5500000000000007" customHeight="1" x14ac:dyDescent="0.2">
      <c r="A873" s="43"/>
      <c r="B873" s="201" t="s">
        <v>1084</v>
      </c>
      <c r="C873" s="201"/>
      <c r="D873" s="201"/>
      <c r="E873" s="201"/>
      <c r="F873" s="157"/>
      <c r="G873" s="251">
        <v>2006</v>
      </c>
      <c r="H873" s="304">
        <v>95</v>
      </c>
      <c r="I873" s="305"/>
      <c r="J873" s="302"/>
      <c r="K873" s="164">
        <v>1</v>
      </c>
      <c r="L873" s="91"/>
      <c r="M873" s="92"/>
    </row>
    <row r="874" spans="1:13" s="45" customFormat="1" ht="8.5500000000000007" customHeight="1" x14ac:dyDescent="0.2">
      <c r="A874" s="43"/>
      <c r="B874" s="158"/>
      <c r="C874" s="158"/>
      <c r="D874" s="158"/>
      <c r="E874" s="158"/>
      <c r="F874" s="159"/>
      <c r="G874" s="252"/>
      <c r="H874" s="303"/>
      <c r="I874" s="306"/>
      <c r="J874" s="338"/>
      <c r="K874" s="165"/>
      <c r="L874" s="91"/>
      <c r="M874" s="92"/>
    </row>
    <row r="875" spans="1:13" s="45" customFormat="1" ht="8.5500000000000007" customHeight="1" x14ac:dyDescent="0.2">
      <c r="A875" s="43"/>
      <c r="B875" s="201" t="s">
        <v>1084</v>
      </c>
      <c r="C875" s="201"/>
      <c r="D875" s="201"/>
      <c r="E875" s="201"/>
      <c r="F875" s="157"/>
      <c r="G875" s="251">
        <v>2009</v>
      </c>
      <c r="H875" s="304">
        <v>98</v>
      </c>
      <c r="I875" s="305"/>
      <c r="J875" s="302"/>
      <c r="K875" s="164">
        <v>1</v>
      </c>
      <c r="L875" s="91"/>
      <c r="M875" s="92"/>
    </row>
    <row r="876" spans="1:13" s="45" customFormat="1" ht="8.5500000000000007" customHeight="1" x14ac:dyDescent="0.2">
      <c r="A876" s="43"/>
      <c r="B876" s="158"/>
      <c r="C876" s="158"/>
      <c r="D876" s="158"/>
      <c r="E876" s="158"/>
      <c r="F876" s="159"/>
      <c r="G876" s="252"/>
      <c r="H876" s="303"/>
      <c r="I876" s="306"/>
      <c r="J876" s="338"/>
      <c r="K876" s="165"/>
      <c r="L876" s="91"/>
      <c r="M876" s="92"/>
    </row>
    <row r="877" spans="1:13" s="45" customFormat="1" ht="8.5500000000000007" customHeight="1" x14ac:dyDescent="0.2">
      <c r="A877" s="43"/>
      <c r="B877" s="201" t="s">
        <v>1393</v>
      </c>
      <c r="C877" s="201"/>
      <c r="D877" s="201"/>
      <c r="E877" s="201"/>
      <c r="F877" s="157"/>
      <c r="G877" s="251">
        <v>2010</v>
      </c>
      <c r="H877" s="304"/>
      <c r="I877" s="305"/>
      <c r="J877" s="302"/>
      <c r="K877" s="164">
        <v>2</v>
      </c>
      <c r="L877" s="91"/>
      <c r="M877" s="92"/>
    </row>
    <row r="878" spans="1:13" s="45" customFormat="1" ht="8.5500000000000007" customHeight="1" x14ac:dyDescent="0.2">
      <c r="A878" s="43"/>
      <c r="B878" s="158"/>
      <c r="C878" s="158"/>
      <c r="D878" s="158"/>
      <c r="E878" s="158"/>
      <c r="F878" s="159"/>
      <c r="G878" s="252"/>
      <c r="H878" s="303"/>
      <c r="I878" s="306"/>
      <c r="J878" s="338"/>
      <c r="K878" s="165"/>
      <c r="L878" s="91"/>
      <c r="M878" s="92"/>
    </row>
    <row r="879" spans="1:13" s="45" customFormat="1" ht="8.5500000000000007" customHeight="1" x14ac:dyDescent="0.2">
      <c r="A879" s="43"/>
      <c r="B879" s="201" t="s">
        <v>1393</v>
      </c>
      <c r="C879" s="201"/>
      <c r="D879" s="201"/>
      <c r="E879" s="201"/>
      <c r="F879" s="157"/>
      <c r="G879" s="251">
        <v>2012</v>
      </c>
      <c r="H879" s="304">
        <v>93</v>
      </c>
      <c r="I879" s="305"/>
      <c r="J879" s="302"/>
      <c r="K879" s="164">
        <v>1</v>
      </c>
      <c r="L879" s="91"/>
      <c r="M879" s="92"/>
    </row>
    <row r="880" spans="1:13" s="45" customFormat="1" ht="8.5500000000000007" customHeight="1" x14ac:dyDescent="0.2">
      <c r="A880" s="43"/>
      <c r="B880" s="158"/>
      <c r="C880" s="158"/>
      <c r="D880" s="158"/>
      <c r="E880" s="158"/>
      <c r="F880" s="159"/>
      <c r="G880" s="252"/>
      <c r="H880" s="303"/>
      <c r="I880" s="306"/>
      <c r="J880" s="338"/>
      <c r="K880" s="165"/>
      <c r="L880" s="91"/>
      <c r="M880" s="92"/>
    </row>
    <row r="881" spans="1:13" s="45" customFormat="1" ht="8.5500000000000007" customHeight="1" x14ac:dyDescent="0.2">
      <c r="A881" s="43"/>
      <c r="B881" s="201" t="s">
        <v>1393</v>
      </c>
      <c r="C881" s="201"/>
      <c r="D881" s="201"/>
      <c r="E881" s="201"/>
      <c r="F881" s="157"/>
      <c r="G881" s="251">
        <v>2014</v>
      </c>
      <c r="H881" s="304">
        <v>88</v>
      </c>
      <c r="I881" s="305"/>
      <c r="J881" s="302"/>
      <c r="K881" s="164">
        <v>2</v>
      </c>
      <c r="L881" s="91"/>
      <c r="M881" s="92"/>
    </row>
    <row r="882" spans="1:13" s="45" customFormat="1" ht="8.5500000000000007" customHeight="1" x14ac:dyDescent="0.2">
      <c r="A882" s="43"/>
      <c r="B882" s="158"/>
      <c r="C882" s="158"/>
      <c r="D882" s="158"/>
      <c r="E882" s="158"/>
      <c r="F882" s="159"/>
      <c r="G882" s="252"/>
      <c r="H882" s="303"/>
      <c r="I882" s="306"/>
      <c r="J882" s="338"/>
      <c r="K882" s="165"/>
      <c r="L882" s="91"/>
      <c r="M882" s="92"/>
    </row>
    <row r="883" spans="1:13" s="45" customFormat="1" ht="8.5500000000000007" customHeight="1" x14ac:dyDescent="0.2">
      <c r="A883" s="43"/>
      <c r="B883" s="201" t="s">
        <v>1086</v>
      </c>
      <c r="C883" s="201"/>
      <c r="D883" s="201"/>
      <c r="E883" s="201"/>
      <c r="F883" s="157"/>
      <c r="G883" s="251">
        <v>2011</v>
      </c>
      <c r="H883" s="304"/>
      <c r="I883" s="305"/>
      <c r="J883" s="302"/>
      <c r="K883" s="164">
        <v>1</v>
      </c>
      <c r="L883" s="91"/>
      <c r="M883" s="92"/>
    </row>
    <row r="884" spans="1:13" s="45" customFormat="1" ht="8.5500000000000007" customHeight="1" x14ac:dyDescent="0.2">
      <c r="A884" s="43"/>
      <c r="B884" s="158"/>
      <c r="C884" s="158"/>
      <c r="D884" s="158"/>
      <c r="E884" s="158"/>
      <c r="F884" s="159"/>
      <c r="G884" s="252"/>
      <c r="H884" s="303"/>
      <c r="I884" s="306"/>
      <c r="J884" s="338"/>
      <c r="K884" s="165"/>
      <c r="L884" s="91"/>
      <c r="M884" s="92"/>
    </row>
    <row r="885" spans="1:13" s="45" customFormat="1" ht="8.5500000000000007" customHeight="1" x14ac:dyDescent="0.2">
      <c r="A885" s="43"/>
      <c r="B885" s="201" t="s">
        <v>1132</v>
      </c>
      <c r="C885" s="201"/>
      <c r="D885" s="201"/>
      <c r="E885" s="201"/>
      <c r="F885" s="157"/>
      <c r="G885" s="251">
        <v>2008</v>
      </c>
      <c r="H885" s="304">
        <v>94</v>
      </c>
      <c r="I885" s="305"/>
      <c r="J885" s="302"/>
      <c r="K885" s="164">
        <v>2</v>
      </c>
      <c r="L885" s="91"/>
      <c r="M885" s="92"/>
    </row>
    <row r="886" spans="1:13" s="45" customFormat="1" ht="8.5500000000000007" customHeight="1" x14ac:dyDescent="0.2">
      <c r="A886" s="43"/>
      <c r="B886" s="158"/>
      <c r="C886" s="158"/>
      <c r="D886" s="158"/>
      <c r="E886" s="158"/>
      <c r="F886" s="159"/>
      <c r="G886" s="252"/>
      <c r="H886" s="303"/>
      <c r="I886" s="306"/>
      <c r="J886" s="338"/>
      <c r="K886" s="165"/>
      <c r="L886" s="91"/>
      <c r="M886" s="92"/>
    </row>
    <row r="887" spans="1:13" s="45" customFormat="1" ht="8.5500000000000007" customHeight="1" x14ac:dyDescent="0.2">
      <c r="A887" s="43"/>
      <c r="B887" s="201" t="s">
        <v>1132</v>
      </c>
      <c r="C887" s="201"/>
      <c r="D887" s="201"/>
      <c r="E887" s="201"/>
      <c r="F887" s="157"/>
      <c r="G887" s="251">
        <v>2011</v>
      </c>
      <c r="H887" s="304">
        <v>92</v>
      </c>
      <c r="I887" s="305"/>
      <c r="J887" s="302"/>
      <c r="K887" s="164">
        <v>1</v>
      </c>
      <c r="L887" s="91"/>
      <c r="M887" s="92"/>
    </row>
    <row r="888" spans="1:13" s="45" customFormat="1" ht="8.5500000000000007" customHeight="1" x14ac:dyDescent="0.2">
      <c r="A888" s="43"/>
      <c r="B888" s="158"/>
      <c r="C888" s="158"/>
      <c r="D888" s="158"/>
      <c r="E888" s="158"/>
      <c r="F888" s="159"/>
      <c r="G888" s="252"/>
      <c r="H888" s="303"/>
      <c r="I888" s="306"/>
      <c r="J888" s="338"/>
      <c r="K888" s="165"/>
      <c r="L888" s="91"/>
      <c r="M888" s="92"/>
    </row>
    <row r="889" spans="1:13" s="45" customFormat="1" ht="8.5500000000000007" customHeight="1" x14ac:dyDescent="0.2">
      <c r="A889" s="43"/>
      <c r="B889" s="201" t="s">
        <v>1132</v>
      </c>
      <c r="C889" s="201"/>
      <c r="D889" s="201"/>
      <c r="E889" s="201"/>
      <c r="F889" s="157"/>
      <c r="G889" s="251">
        <v>2013</v>
      </c>
      <c r="H889" s="304" t="s">
        <v>623</v>
      </c>
      <c r="I889" s="305"/>
      <c r="J889" s="302"/>
      <c r="K889" s="164">
        <v>2</v>
      </c>
      <c r="L889" s="91"/>
      <c r="M889" s="92"/>
    </row>
    <row r="890" spans="1:13" s="45" customFormat="1" ht="8.5500000000000007" customHeight="1" x14ac:dyDescent="0.2">
      <c r="A890" s="43"/>
      <c r="B890" s="158"/>
      <c r="C890" s="158"/>
      <c r="D890" s="158"/>
      <c r="E890" s="158"/>
      <c r="F890" s="159"/>
      <c r="G890" s="252"/>
      <c r="H890" s="303"/>
      <c r="I890" s="306"/>
      <c r="J890" s="338"/>
      <c r="K890" s="165"/>
      <c r="L890" s="91"/>
      <c r="M890" s="92"/>
    </row>
    <row r="891" spans="1:13" s="45" customFormat="1" ht="8.5500000000000007" customHeight="1" x14ac:dyDescent="0.2">
      <c r="A891" s="43"/>
      <c r="B891" s="201" t="s">
        <v>1134</v>
      </c>
      <c r="C891" s="201"/>
      <c r="D891" s="201"/>
      <c r="E891" s="201"/>
      <c r="F891" s="157"/>
      <c r="G891" s="251">
        <v>1991</v>
      </c>
      <c r="H891" s="304"/>
      <c r="I891" s="305"/>
      <c r="J891" s="302"/>
      <c r="K891" s="164">
        <v>2</v>
      </c>
      <c r="L891" s="91"/>
      <c r="M891" s="92"/>
    </row>
    <row r="892" spans="1:13" s="45" customFormat="1" ht="8.5500000000000007" customHeight="1" x14ac:dyDescent="0.2">
      <c r="A892" s="43"/>
      <c r="B892" s="158"/>
      <c r="C892" s="158"/>
      <c r="D892" s="158"/>
      <c r="E892" s="158"/>
      <c r="F892" s="159"/>
      <c r="G892" s="252"/>
      <c r="H892" s="303"/>
      <c r="I892" s="306"/>
      <c r="J892" s="338"/>
      <c r="K892" s="165"/>
      <c r="L892" s="91"/>
      <c r="M892" s="92"/>
    </row>
    <row r="893" spans="1:13" s="45" customFormat="1" ht="8.5500000000000007" customHeight="1" x14ac:dyDescent="0.2">
      <c r="A893" s="43"/>
      <c r="B893" s="201" t="s">
        <v>1134</v>
      </c>
      <c r="C893" s="201"/>
      <c r="D893" s="201"/>
      <c r="E893" s="201"/>
      <c r="F893" s="157"/>
      <c r="G893" s="251">
        <v>2008</v>
      </c>
      <c r="H893" s="304" t="s">
        <v>1146</v>
      </c>
      <c r="I893" s="305"/>
      <c r="J893" s="302"/>
      <c r="K893" s="164">
        <v>2</v>
      </c>
      <c r="L893" s="91"/>
      <c r="M893" s="92"/>
    </row>
    <row r="894" spans="1:13" s="45" customFormat="1" ht="8.5500000000000007" customHeight="1" x14ac:dyDescent="0.2">
      <c r="A894" s="43"/>
      <c r="B894" s="158"/>
      <c r="C894" s="158"/>
      <c r="D894" s="158"/>
      <c r="E894" s="158"/>
      <c r="F894" s="159"/>
      <c r="G894" s="252"/>
      <c r="H894" s="303"/>
      <c r="I894" s="306"/>
      <c r="J894" s="338"/>
      <c r="K894" s="165"/>
      <c r="L894" s="91"/>
      <c r="M894" s="92"/>
    </row>
    <row r="895" spans="1:13" s="45" customFormat="1" ht="8.5500000000000007" customHeight="1" x14ac:dyDescent="0.2">
      <c r="A895" s="43"/>
      <c r="B895" s="201" t="s">
        <v>1134</v>
      </c>
      <c r="C895" s="201"/>
      <c r="D895" s="201"/>
      <c r="E895" s="201"/>
      <c r="F895" s="157"/>
      <c r="G895" s="251">
        <v>2010</v>
      </c>
      <c r="H895" s="304">
        <v>94</v>
      </c>
      <c r="I895" s="305"/>
      <c r="J895" s="302" t="s">
        <v>1147</v>
      </c>
      <c r="K895" s="164">
        <v>2</v>
      </c>
      <c r="L895" s="91"/>
      <c r="M895" s="92"/>
    </row>
    <row r="896" spans="1:13" s="45" customFormat="1" ht="8.5500000000000007" customHeight="1" x14ac:dyDescent="0.2">
      <c r="A896" s="43"/>
      <c r="B896" s="158"/>
      <c r="C896" s="158"/>
      <c r="D896" s="158"/>
      <c r="E896" s="158"/>
      <c r="F896" s="159"/>
      <c r="G896" s="252"/>
      <c r="H896" s="303"/>
      <c r="I896" s="306"/>
      <c r="J896" s="338"/>
      <c r="K896" s="165"/>
      <c r="L896" s="91"/>
      <c r="M896" s="92"/>
    </row>
    <row r="897" spans="1:13" s="45" customFormat="1" ht="8.5500000000000007" customHeight="1" x14ac:dyDescent="0.2">
      <c r="A897" s="43"/>
      <c r="B897" s="201" t="s">
        <v>1836</v>
      </c>
      <c r="C897" s="201"/>
      <c r="D897" s="201"/>
      <c r="E897" s="201"/>
      <c r="F897" s="157"/>
      <c r="G897" s="251">
        <v>2006</v>
      </c>
      <c r="H897" s="304"/>
      <c r="I897" s="305"/>
      <c r="J897" s="302"/>
      <c r="K897" s="164">
        <v>1</v>
      </c>
      <c r="L897" s="91"/>
      <c r="M897" s="92"/>
    </row>
    <row r="898" spans="1:13" s="45" customFormat="1" ht="8.5500000000000007" customHeight="1" x14ac:dyDescent="0.2">
      <c r="A898" s="43"/>
      <c r="B898" s="158"/>
      <c r="C898" s="158"/>
      <c r="D898" s="158"/>
      <c r="E898" s="158"/>
      <c r="F898" s="159"/>
      <c r="G898" s="252"/>
      <c r="H898" s="303"/>
      <c r="I898" s="306"/>
      <c r="J898" s="338"/>
      <c r="K898" s="165"/>
      <c r="L898" s="91"/>
      <c r="M898" s="92"/>
    </row>
    <row r="899" spans="1:13" s="45" customFormat="1" ht="8.5500000000000007" customHeight="1" x14ac:dyDescent="0.2">
      <c r="A899" s="43"/>
      <c r="B899" s="201" t="s">
        <v>1460</v>
      </c>
      <c r="C899" s="201"/>
      <c r="D899" s="201"/>
      <c r="E899" s="201"/>
      <c r="F899" s="157"/>
      <c r="G899" s="251">
        <v>2016</v>
      </c>
      <c r="H899" s="304">
        <v>94</v>
      </c>
      <c r="I899" s="305"/>
      <c r="J899" s="302"/>
      <c r="K899" s="164">
        <v>1</v>
      </c>
      <c r="L899" s="91"/>
      <c r="M899" s="92"/>
    </row>
    <row r="900" spans="1:13" s="45" customFormat="1" ht="8.5500000000000007" customHeight="1" x14ac:dyDescent="0.2">
      <c r="A900" s="43"/>
      <c r="B900" s="158"/>
      <c r="C900" s="158"/>
      <c r="D900" s="158"/>
      <c r="E900" s="158"/>
      <c r="F900" s="159"/>
      <c r="G900" s="252"/>
      <c r="H900" s="303"/>
      <c r="I900" s="306"/>
      <c r="J900" s="338"/>
      <c r="K900" s="165"/>
      <c r="L900" s="91"/>
      <c r="M900" s="92"/>
    </row>
    <row r="901" spans="1:13" s="45" customFormat="1" ht="8.5500000000000007" customHeight="1" x14ac:dyDescent="0.2">
      <c r="A901" s="43"/>
      <c r="B901" s="201" t="s">
        <v>1351</v>
      </c>
      <c r="C901" s="201"/>
      <c r="D901" s="201"/>
      <c r="E901" s="201"/>
      <c r="F901" s="157"/>
      <c r="G901" s="251">
        <v>2016</v>
      </c>
      <c r="H901" s="304">
        <v>96</v>
      </c>
      <c r="I901" s="305"/>
      <c r="J901" s="302"/>
      <c r="K901" s="164">
        <v>2</v>
      </c>
      <c r="L901" s="91"/>
      <c r="M901" s="92"/>
    </row>
    <row r="902" spans="1:13" s="45" customFormat="1" ht="8.5500000000000007" customHeight="1" x14ac:dyDescent="0.2">
      <c r="A902" s="43"/>
      <c r="B902" s="158"/>
      <c r="C902" s="158"/>
      <c r="D902" s="158"/>
      <c r="E902" s="158"/>
      <c r="F902" s="159"/>
      <c r="G902" s="252"/>
      <c r="H902" s="303"/>
      <c r="I902" s="306"/>
      <c r="J902" s="338"/>
      <c r="K902" s="165"/>
      <c r="L902" s="91"/>
      <c r="M902" s="92"/>
    </row>
    <row r="903" spans="1:13" s="45" customFormat="1" ht="8.5500000000000007" customHeight="1" x14ac:dyDescent="0.2">
      <c r="A903" s="43"/>
      <c r="B903" s="213" t="s">
        <v>826</v>
      </c>
      <c r="C903" s="213"/>
      <c r="D903" s="213"/>
      <c r="E903" s="213"/>
      <c r="F903" s="213"/>
      <c r="G903" s="47"/>
      <c r="H903" s="47"/>
      <c r="I903" s="48"/>
      <c r="J903" s="48"/>
      <c r="K903" s="236">
        <v>212</v>
      </c>
      <c r="L903" s="290">
        <f>+K903</f>
        <v>212</v>
      </c>
      <c r="M903" s="92"/>
    </row>
    <row r="904" spans="1:13" s="45" customFormat="1" ht="8.5500000000000007" customHeight="1" x14ac:dyDescent="0.2">
      <c r="A904" s="43"/>
      <c r="B904" s="171"/>
      <c r="C904" s="171"/>
      <c r="D904" s="171"/>
      <c r="E904" s="171"/>
      <c r="F904" s="171"/>
      <c r="G904" s="54"/>
      <c r="H904" s="54"/>
      <c r="I904" s="49"/>
      <c r="J904" s="49"/>
      <c r="K904" s="225"/>
      <c r="L904" s="231"/>
      <c r="M904" s="92"/>
    </row>
    <row r="905" spans="1:13" s="45" customFormat="1" ht="8.5500000000000007" customHeight="1" x14ac:dyDescent="0.2">
      <c r="A905" s="43"/>
      <c r="B905" s="213" t="s">
        <v>827</v>
      </c>
      <c r="C905" s="213"/>
      <c r="D905" s="213"/>
      <c r="E905" s="213"/>
      <c r="F905" s="213"/>
      <c r="G905" s="47"/>
      <c r="H905" s="47"/>
      <c r="I905" s="48"/>
      <c r="J905" s="48"/>
      <c r="K905" s="236">
        <v>297</v>
      </c>
      <c r="L905" s="367"/>
      <c r="M905" s="336">
        <f>+K905</f>
        <v>297</v>
      </c>
    </row>
    <row r="906" spans="1:13" s="45" customFormat="1" ht="8.5500000000000007" customHeight="1" x14ac:dyDescent="0.2">
      <c r="A906" s="43"/>
      <c r="B906" s="171"/>
      <c r="C906" s="171"/>
      <c r="D906" s="171"/>
      <c r="E906" s="171"/>
      <c r="F906" s="171"/>
      <c r="G906" s="54"/>
      <c r="H906" s="54"/>
      <c r="I906" s="49"/>
      <c r="J906" s="49"/>
      <c r="K906" s="225"/>
      <c r="L906" s="368"/>
      <c r="M906" s="337"/>
    </row>
    <row r="907" spans="1:13" s="45" customFormat="1" ht="8.5500000000000007" customHeight="1" x14ac:dyDescent="0.2">
      <c r="A907" s="43"/>
      <c r="B907" s="347" t="s">
        <v>1820</v>
      </c>
      <c r="C907" s="347"/>
      <c r="D907" s="347"/>
      <c r="E907" s="347"/>
      <c r="F907" s="347"/>
      <c r="G907" s="297"/>
      <c r="H907" s="47"/>
      <c r="I907" s="362"/>
      <c r="J907" s="48"/>
      <c r="K907" s="164"/>
      <c r="L907" s="91"/>
      <c r="M907" s="92"/>
    </row>
    <row r="908" spans="1:13" s="45" customFormat="1" ht="8.5500000000000007" customHeight="1" x14ac:dyDescent="0.2">
      <c r="A908" s="43"/>
      <c r="B908" s="348"/>
      <c r="C908" s="348"/>
      <c r="D908" s="348"/>
      <c r="E908" s="348"/>
      <c r="F908" s="348"/>
      <c r="G908" s="188"/>
      <c r="H908" s="54"/>
      <c r="I908" s="363"/>
      <c r="J908" s="49"/>
      <c r="K908" s="165"/>
      <c r="L908" s="91"/>
      <c r="M908" s="92"/>
    </row>
    <row r="909" spans="1:13" s="45" customFormat="1" ht="8.5500000000000007" customHeight="1" x14ac:dyDescent="0.2">
      <c r="A909" s="43"/>
      <c r="B909" s="281" t="s">
        <v>676</v>
      </c>
      <c r="C909" s="281"/>
      <c r="D909" s="281"/>
      <c r="E909" s="281"/>
      <c r="F909" s="184"/>
      <c r="G909" s="251">
        <v>1990</v>
      </c>
      <c r="H909" s="304">
        <v>96</v>
      </c>
      <c r="I909" s="305"/>
      <c r="J909" s="302" t="s">
        <v>425</v>
      </c>
      <c r="K909" s="164">
        <v>2</v>
      </c>
      <c r="L909" s="91"/>
      <c r="M909" s="92"/>
    </row>
    <row r="910" spans="1:13" s="45" customFormat="1" ht="8.5500000000000007" customHeight="1" x14ac:dyDescent="0.2">
      <c r="A910" s="43"/>
      <c r="B910" s="185"/>
      <c r="C910" s="185"/>
      <c r="D910" s="185"/>
      <c r="E910" s="185"/>
      <c r="F910" s="186"/>
      <c r="G910" s="252"/>
      <c r="H910" s="303"/>
      <c r="I910" s="306"/>
      <c r="J910" s="338"/>
      <c r="K910" s="165"/>
      <c r="L910" s="91"/>
      <c r="M910" s="92"/>
    </row>
    <row r="911" spans="1:13" s="45" customFormat="1" ht="8.5500000000000007" customHeight="1" x14ac:dyDescent="0.2">
      <c r="A911" s="43"/>
      <c r="B911" s="281" t="s">
        <v>676</v>
      </c>
      <c r="C911" s="281"/>
      <c r="D911" s="281"/>
      <c r="E911" s="281"/>
      <c r="F911" s="184"/>
      <c r="G911" s="251">
        <v>1997</v>
      </c>
      <c r="H911" s="304">
        <v>97</v>
      </c>
      <c r="I911" s="305">
        <v>93</v>
      </c>
      <c r="J911" s="302" t="s">
        <v>232</v>
      </c>
      <c r="K911" s="164">
        <v>1</v>
      </c>
      <c r="L911" s="91"/>
      <c r="M911" s="92"/>
    </row>
    <row r="912" spans="1:13" s="45" customFormat="1" ht="8.5500000000000007" customHeight="1" x14ac:dyDescent="0.2">
      <c r="A912" s="43"/>
      <c r="B912" s="185"/>
      <c r="C912" s="185"/>
      <c r="D912" s="185"/>
      <c r="E912" s="185"/>
      <c r="F912" s="186"/>
      <c r="G912" s="252"/>
      <c r="H912" s="303"/>
      <c r="I912" s="306"/>
      <c r="J912" s="338"/>
      <c r="K912" s="165"/>
      <c r="L912" s="91"/>
      <c r="M912" s="92"/>
    </row>
    <row r="913" spans="1:13" s="45" customFormat="1" ht="8.5500000000000007" customHeight="1" x14ac:dyDescent="0.2">
      <c r="A913" s="43"/>
      <c r="B913" s="201" t="s">
        <v>1301</v>
      </c>
      <c r="C913" s="201"/>
      <c r="D913" s="201"/>
      <c r="E913" s="201"/>
      <c r="F913" s="157"/>
      <c r="G913" s="251">
        <v>1985</v>
      </c>
      <c r="H913" s="304"/>
      <c r="I913" s="305"/>
      <c r="J913" s="302"/>
      <c r="K913" s="164">
        <v>1</v>
      </c>
      <c r="L913" s="91"/>
      <c r="M913" s="92"/>
    </row>
    <row r="914" spans="1:13" s="45" customFormat="1" ht="8.5500000000000007" customHeight="1" x14ac:dyDescent="0.2">
      <c r="A914" s="43"/>
      <c r="B914" s="158"/>
      <c r="C914" s="158"/>
      <c r="D914" s="158"/>
      <c r="E914" s="158"/>
      <c r="F914" s="159"/>
      <c r="G914" s="252"/>
      <c r="H914" s="303"/>
      <c r="I914" s="306"/>
      <c r="J914" s="338"/>
      <c r="K914" s="165"/>
      <c r="L914" s="91"/>
      <c r="M914" s="92"/>
    </row>
    <row r="915" spans="1:13" s="45" customFormat="1" ht="8.5500000000000007" customHeight="1" x14ac:dyDescent="0.2">
      <c r="A915" s="43"/>
      <c r="B915" s="201" t="s">
        <v>1301</v>
      </c>
      <c r="C915" s="201"/>
      <c r="D915" s="201"/>
      <c r="E915" s="201"/>
      <c r="F915" s="157"/>
      <c r="G915" s="251">
        <v>1986</v>
      </c>
      <c r="H915" s="304"/>
      <c r="I915" s="305"/>
      <c r="J915" s="302"/>
      <c r="K915" s="164">
        <v>3</v>
      </c>
      <c r="L915" s="91"/>
      <c r="M915" s="92"/>
    </row>
    <row r="916" spans="1:13" s="45" customFormat="1" ht="8.5500000000000007" customHeight="1" x14ac:dyDescent="0.2">
      <c r="A916" s="43"/>
      <c r="B916" s="158"/>
      <c r="C916" s="158"/>
      <c r="D916" s="158"/>
      <c r="E916" s="158"/>
      <c r="F916" s="159"/>
      <c r="G916" s="252"/>
      <c r="H916" s="303"/>
      <c r="I916" s="306"/>
      <c r="J916" s="338"/>
      <c r="K916" s="165"/>
      <c r="L916" s="91"/>
      <c r="M916" s="92"/>
    </row>
    <row r="917" spans="1:13" s="45" customFormat="1" ht="8.5500000000000007" customHeight="1" x14ac:dyDescent="0.2">
      <c r="A917" s="43"/>
      <c r="B917" s="201" t="s">
        <v>1301</v>
      </c>
      <c r="C917" s="201"/>
      <c r="D917" s="201"/>
      <c r="E917" s="201"/>
      <c r="F917" s="157"/>
      <c r="G917" s="251">
        <v>1988</v>
      </c>
      <c r="H917" s="304"/>
      <c r="I917" s="305"/>
      <c r="J917" s="302"/>
      <c r="K917" s="164">
        <v>1</v>
      </c>
      <c r="L917" s="91"/>
      <c r="M917" s="92"/>
    </row>
    <row r="918" spans="1:13" s="45" customFormat="1" ht="8.5500000000000007" customHeight="1" x14ac:dyDescent="0.2">
      <c r="A918" s="43"/>
      <c r="B918" s="158"/>
      <c r="C918" s="158"/>
      <c r="D918" s="158"/>
      <c r="E918" s="158"/>
      <c r="F918" s="159"/>
      <c r="G918" s="252"/>
      <c r="H918" s="303"/>
      <c r="I918" s="306"/>
      <c r="J918" s="338"/>
      <c r="K918" s="165"/>
      <c r="L918" s="91"/>
      <c r="M918" s="92"/>
    </row>
    <row r="919" spans="1:13" s="45" customFormat="1" ht="8.5500000000000007" customHeight="1" x14ac:dyDescent="0.2">
      <c r="A919" s="43"/>
      <c r="B919" s="201" t="s">
        <v>1461</v>
      </c>
      <c r="C919" s="201"/>
      <c r="D919" s="201"/>
      <c r="E919" s="201"/>
      <c r="F919" s="157"/>
      <c r="G919" s="251">
        <v>1995</v>
      </c>
      <c r="H919" s="304">
        <v>97</v>
      </c>
      <c r="I919" s="305">
        <v>88</v>
      </c>
      <c r="J919" s="302" t="s">
        <v>136</v>
      </c>
      <c r="K919" s="164">
        <v>1</v>
      </c>
      <c r="L919" s="91"/>
      <c r="M919" s="92"/>
    </row>
    <row r="920" spans="1:13" s="45" customFormat="1" ht="8.5500000000000007" customHeight="1" x14ac:dyDescent="0.2">
      <c r="A920" s="43"/>
      <c r="B920" s="158"/>
      <c r="C920" s="158"/>
      <c r="D920" s="158"/>
      <c r="E920" s="158"/>
      <c r="F920" s="159"/>
      <c r="G920" s="252"/>
      <c r="H920" s="303"/>
      <c r="I920" s="306"/>
      <c r="J920" s="338"/>
      <c r="K920" s="165"/>
      <c r="L920" s="91"/>
      <c r="M920" s="92"/>
    </row>
    <row r="921" spans="1:13" s="45" customFormat="1" ht="8.5500000000000007" customHeight="1" x14ac:dyDescent="0.2">
      <c r="A921" s="43"/>
      <c r="B921" s="201" t="s">
        <v>1461</v>
      </c>
      <c r="C921" s="201"/>
      <c r="D921" s="201"/>
      <c r="E921" s="201"/>
      <c r="F921" s="157"/>
      <c r="G921" s="251">
        <v>1998</v>
      </c>
      <c r="H921" s="304">
        <v>93</v>
      </c>
      <c r="I921" s="305">
        <v>90</v>
      </c>
      <c r="J921" s="302" t="s">
        <v>129</v>
      </c>
      <c r="K921" s="164">
        <v>1</v>
      </c>
      <c r="L921" s="91"/>
      <c r="M921" s="92"/>
    </row>
    <row r="922" spans="1:13" s="45" customFormat="1" ht="8.5500000000000007" customHeight="1" x14ac:dyDescent="0.2">
      <c r="A922" s="43"/>
      <c r="B922" s="158"/>
      <c r="C922" s="158"/>
      <c r="D922" s="158"/>
      <c r="E922" s="158"/>
      <c r="F922" s="159"/>
      <c r="G922" s="252"/>
      <c r="H922" s="303"/>
      <c r="I922" s="306"/>
      <c r="J922" s="338"/>
      <c r="K922" s="165"/>
      <c r="L922" s="91"/>
      <c r="M922" s="92"/>
    </row>
    <row r="923" spans="1:13" s="45" customFormat="1" ht="8.5500000000000007" customHeight="1" x14ac:dyDescent="0.2">
      <c r="A923" s="43"/>
      <c r="B923" s="201" t="s">
        <v>1461</v>
      </c>
      <c r="C923" s="201"/>
      <c r="D923" s="201"/>
      <c r="E923" s="201"/>
      <c r="F923" s="157"/>
      <c r="G923" s="251">
        <v>2000</v>
      </c>
      <c r="H923" s="304" t="s">
        <v>620</v>
      </c>
      <c r="I923" s="305">
        <v>94</v>
      </c>
      <c r="J923" s="302" t="s">
        <v>222</v>
      </c>
      <c r="K923" s="164">
        <v>1</v>
      </c>
      <c r="L923" s="91"/>
      <c r="M923" s="92"/>
    </row>
    <row r="924" spans="1:13" s="45" customFormat="1" ht="8.5500000000000007" customHeight="1" x14ac:dyDescent="0.2">
      <c r="A924" s="43"/>
      <c r="B924" s="158"/>
      <c r="C924" s="158"/>
      <c r="D924" s="158"/>
      <c r="E924" s="158"/>
      <c r="F924" s="159"/>
      <c r="G924" s="252"/>
      <c r="H924" s="303"/>
      <c r="I924" s="306"/>
      <c r="J924" s="338"/>
      <c r="K924" s="165"/>
      <c r="L924" s="91"/>
      <c r="M924" s="92"/>
    </row>
    <row r="925" spans="1:13" s="45" customFormat="1" ht="8.5500000000000007" customHeight="1" x14ac:dyDescent="0.2">
      <c r="A925" s="43"/>
      <c r="B925" s="201" t="s">
        <v>1461</v>
      </c>
      <c r="C925" s="201"/>
      <c r="D925" s="201"/>
      <c r="E925" s="201"/>
      <c r="F925" s="157"/>
      <c r="G925" s="251">
        <v>2007</v>
      </c>
      <c r="H925" s="304">
        <v>96</v>
      </c>
      <c r="I925" s="305"/>
      <c r="J925" s="302" t="s">
        <v>1312</v>
      </c>
      <c r="K925" s="164">
        <v>2</v>
      </c>
      <c r="L925" s="91"/>
      <c r="M925" s="92"/>
    </row>
    <row r="926" spans="1:13" s="45" customFormat="1" ht="8.5500000000000007" customHeight="1" x14ac:dyDescent="0.2">
      <c r="A926" s="43"/>
      <c r="B926" s="158"/>
      <c r="C926" s="158"/>
      <c r="D926" s="158"/>
      <c r="E926" s="158"/>
      <c r="F926" s="159"/>
      <c r="G926" s="252"/>
      <c r="H926" s="303"/>
      <c r="I926" s="306"/>
      <c r="J926" s="338"/>
      <c r="K926" s="165"/>
      <c r="L926" s="91"/>
      <c r="M926" s="92"/>
    </row>
    <row r="927" spans="1:13" s="45" customFormat="1" ht="8.5500000000000007" customHeight="1" x14ac:dyDescent="0.2">
      <c r="A927" s="43"/>
      <c r="B927" s="201" t="s">
        <v>1302</v>
      </c>
      <c r="C927" s="201"/>
      <c r="D927" s="201"/>
      <c r="E927" s="201"/>
      <c r="F927" s="157"/>
      <c r="G927" s="251">
        <v>1989</v>
      </c>
      <c r="H927" s="304">
        <v>96</v>
      </c>
      <c r="I927" s="305"/>
      <c r="J927" s="302" t="s">
        <v>716</v>
      </c>
      <c r="K927" s="164">
        <v>2</v>
      </c>
      <c r="L927" s="91"/>
      <c r="M927" s="92"/>
    </row>
    <row r="928" spans="1:13" s="45" customFormat="1" ht="8.5500000000000007" customHeight="1" x14ac:dyDescent="0.2">
      <c r="A928" s="43"/>
      <c r="B928" s="158"/>
      <c r="C928" s="158"/>
      <c r="D928" s="158"/>
      <c r="E928" s="158"/>
      <c r="F928" s="159"/>
      <c r="G928" s="252"/>
      <c r="H928" s="303"/>
      <c r="I928" s="306"/>
      <c r="J928" s="338"/>
      <c r="K928" s="165"/>
      <c r="L928" s="91"/>
      <c r="M928" s="92"/>
    </row>
    <row r="929" spans="1:13" s="45" customFormat="1" ht="8.5500000000000007" customHeight="1" x14ac:dyDescent="0.2">
      <c r="A929" s="43"/>
      <c r="B929" s="201" t="s">
        <v>1302</v>
      </c>
      <c r="C929" s="201"/>
      <c r="D929" s="201"/>
      <c r="E929" s="201"/>
      <c r="F929" s="157"/>
      <c r="G929" s="251">
        <v>1990</v>
      </c>
      <c r="H929" s="304">
        <v>95</v>
      </c>
      <c r="I929" s="305"/>
      <c r="J929" s="302" t="s">
        <v>37</v>
      </c>
      <c r="K929" s="164">
        <v>1</v>
      </c>
      <c r="L929" s="91"/>
      <c r="M929" s="92"/>
    </row>
    <row r="930" spans="1:13" s="45" customFormat="1" ht="8.5500000000000007" customHeight="1" x14ac:dyDescent="0.2">
      <c r="A930" s="43"/>
      <c r="B930" s="158"/>
      <c r="C930" s="158"/>
      <c r="D930" s="158"/>
      <c r="E930" s="158"/>
      <c r="F930" s="159"/>
      <c r="G930" s="252"/>
      <c r="H930" s="303"/>
      <c r="I930" s="306"/>
      <c r="J930" s="338"/>
      <c r="K930" s="165"/>
      <c r="L930" s="91"/>
      <c r="M930" s="92"/>
    </row>
    <row r="931" spans="1:13" s="45" customFormat="1" ht="8.5500000000000007" customHeight="1" x14ac:dyDescent="0.2">
      <c r="A931" s="43"/>
      <c r="B931" s="201" t="s">
        <v>1302</v>
      </c>
      <c r="C931" s="201"/>
      <c r="D931" s="201"/>
      <c r="E931" s="201"/>
      <c r="F931" s="157"/>
      <c r="G931" s="251">
        <v>1994</v>
      </c>
      <c r="H931" s="304">
        <v>97</v>
      </c>
      <c r="I931" s="305">
        <v>93</v>
      </c>
      <c r="J931" s="302" t="s">
        <v>400</v>
      </c>
      <c r="K931" s="164">
        <v>2</v>
      </c>
      <c r="L931" s="91"/>
      <c r="M931" s="92"/>
    </row>
    <row r="932" spans="1:13" s="45" customFormat="1" ht="8.5500000000000007" customHeight="1" x14ac:dyDescent="0.2">
      <c r="A932" s="43"/>
      <c r="B932" s="158"/>
      <c r="C932" s="158"/>
      <c r="D932" s="158"/>
      <c r="E932" s="158"/>
      <c r="F932" s="159"/>
      <c r="G932" s="252"/>
      <c r="H932" s="303"/>
      <c r="I932" s="306"/>
      <c r="J932" s="338"/>
      <c r="K932" s="165"/>
      <c r="L932" s="91"/>
      <c r="M932" s="92"/>
    </row>
    <row r="933" spans="1:13" s="45" customFormat="1" ht="8.5500000000000007" customHeight="1" x14ac:dyDescent="0.2">
      <c r="A933" s="43"/>
      <c r="B933" s="201" t="s">
        <v>1302</v>
      </c>
      <c r="C933" s="201"/>
      <c r="D933" s="201"/>
      <c r="E933" s="201"/>
      <c r="F933" s="157"/>
      <c r="G933" s="251">
        <v>1995</v>
      </c>
      <c r="H933" s="304">
        <v>98</v>
      </c>
      <c r="I933" s="305">
        <v>94</v>
      </c>
      <c r="J933" s="302" t="s">
        <v>400</v>
      </c>
      <c r="K933" s="164">
        <v>1</v>
      </c>
      <c r="L933" s="91"/>
      <c r="M933" s="92"/>
    </row>
    <row r="934" spans="1:13" s="45" customFormat="1" ht="8.5500000000000007" customHeight="1" x14ac:dyDescent="0.2">
      <c r="A934" s="43"/>
      <c r="B934" s="158"/>
      <c r="C934" s="158"/>
      <c r="D934" s="158"/>
      <c r="E934" s="158"/>
      <c r="F934" s="159"/>
      <c r="G934" s="252"/>
      <c r="H934" s="303"/>
      <c r="I934" s="306"/>
      <c r="J934" s="338"/>
      <c r="K934" s="165"/>
      <c r="L934" s="91"/>
      <c r="M934" s="92"/>
    </row>
    <row r="935" spans="1:13" s="45" customFormat="1" ht="8.5500000000000007" customHeight="1" x14ac:dyDescent="0.2">
      <c r="A935" s="43"/>
      <c r="B935" s="201" t="s">
        <v>1302</v>
      </c>
      <c r="C935" s="201"/>
      <c r="D935" s="201"/>
      <c r="E935" s="201"/>
      <c r="F935" s="157"/>
      <c r="G935" s="251">
        <v>1996</v>
      </c>
      <c r="H935" s="304">
        <v>99</v>
      </c>
      <c r="I935" s="305">
        <v>93</v>
      </c>
      <c r="J935" s="302" t="s">
        <v>116</v>
      </c>
      <c r="K935" s="164">
        <v>1</v>
      </c>
      <c r="L935" s="91"/>
      <c r="M935" s="92"/>
    </row>
    <row r="936" spans="1:13" s="45" customFormat="1" ht="8.5500000000000007" customHeight="1" x14ac:dyDescent="0.2">
      <c r="A936" s="43"/>
      <c r="B936" s="158"/>
      <c r="C936" s="158"/>
      <c r="D936" s="158"/>
      <c r="E936" s="158"/>
      <c r="F936" s="159"/>
      <c r="G936" s="252"/>
      <c r="H936" s="303"/>
      <c r="I936" s="306"/>
      <c r="J936" s="338"/>
      <c r="K936" s="165"/>
      <c r="L936" s="91"/>
      <c r="M936" s="92"/>
    </row>
    <row r="937" spans="1:13" s="45" customFormat="1" ht="8.5500000000000007" customHeight="1" x14ac:dyDescent="0.2">
      <c r="A937" s="43"/>
      <c r="B937" s="201" t="s">
        <v>1302</v>
      </c>
      <c r="C937" s="201"/>
      <c r="D937" s="201"/>
      <c r="E937" s="201"/>
      <c r="F937" s="157"/>
      <c r="G937" s="251">
        <v>1997</v>
      </c>
      <c r="H937" s="304">
        <v>99</v>
      </c>
      <c r="I937" s="305">
        <v>95</v>
      </c>
      <c r="J937" s="302" t="s">
        <v>223</v>
      </c>
      <c r="K937" s="164">
        <v>5</v>
      </c>
      <c r="L937" s="91"/>
      <c r="M937" s="92"/>
    </row>
    <row r="938" spans="1:13" s="45" customFormat="1" ht="8.5500000000000007" customHeight="1" x14ac:dyDescent="0.2">
      <c r="A938" s="43"/>
      <c r="B938" s="158"/>
      <c r="C938" s="158"/>
      <c r="D938" s="158"/>
      <c r="E938" s="158"/>
      <c r="F938" s="159"/>
      <c r="G938" s="252"/>
      <c r="H938" s="303"/>
      <c r="I938" s="306"/>
      <c r="J938" s="338"/>
      <c r="K938" s="165"/>
      <c r="L938" s="91"/>
      <c r="M938" s="92"/>
    </row>
    <row r="939" spans="1:13" s="45" customFormat="1" ht="8.5500000000000007" customHeight="1" x14ac:dyDescent="0.2">
      <c r="A939" s="43"/>
      <c r="B939" s="201" t="s">
        <v>1302</v>
      </c>
      <c r="C939" s="201"/>
      <c r="D939" s="201"/>
      <c r="E939" s="201"/>
      <c r="F939" s="157"/>
      <c r="G939" s="251">
        <v>1998</v>
      </c>
      <c r="H939" s="304">
        <v>96</v>
      </c>
      <c r="I939" s="305">
        <v>95</v>
      </c>
      <c r="J939" s="302" t="s">
        <v>45</v>
      </c>
      <c r="K939" s="164">
        <v>2</v>
      </c>
      <c r="L939" s="91"/>
      <c r="M939" s="92"/>
    </row>
    <row r="940" spans="1:13" s="45" customFormat="1" ht="8.5500000000000007" customHeight="1" x14ac:dyDescent="0.2">
      <c r="A940" s="43"/>
      <c r="B940" s="158"/>
      <c r="C940" s="158"/>
      <c r="D940" s="158"/>
      <c r="E940" s="158"/>
      <c r="F940" s="159"/>
      <c r="G940" s="252"/>
      <c r="H940" s="303"/>
      <c r="I940" s="306"/>
      <c r="J940" s="338"/>
      <c r="K940" s="165"/>
      <c r="L940" s="91"/>
      <c r="M940" s="92"/>
    </row>
    <row r="941" spans="1:13" s="45" customFormat="1" ht="8.5500000000000007" customHeight="1" x14ac:dyDescent="0.2">
      <c r="A941" s="43"/>
      <c r="B941" s="201" t="s">
        <v>1302</v>
      </c>
      <c r="C941" s="201"/>
      <c r="D941" s="201"/>
      <c r="E941" s="201"/>
      <c r="F941" s="157"/>
      <c r="G941" s="251">
        <v>2003</v>
      </c>
      <c r="H941" s="304">
        <v>95</v>
      </c>
      <c r="I941" s="305">
        <v>95</v>
      </c>
      <c r="J941" s="302" t="s">
        <v>222</v>
      </c>
      <c r="K941" s="164">
        <v>1</v>
      </c>
      <c r="L941" s="91"/>
      <c r="M941" s="92"/>
    </row>
    <row r="942" spans="1:13" s="45" customFormat="1" ht="8.5500000000000007" customHeight="1" x14ac:dyDescent="0.2">
      <c r="A942" s="43"/>
      <c r="B942" s="158"/>
      <c r="C942" s="158"/>
      <c r="D942" s="158"/>
      <c r="E942" s="158"/>
      <c r="F942" s="159"/>
      <c r="G942" s="252"/>
      <c r="H942" s="303"/>
      <c r="I942" s="306"/>
      <c r="J942" s="338"/>
      <c r="K942" s="165"/>
      <c r="L942" s="91"/>
      <c r="M942" s="92"/>
    </row>
    <row r="943" spans="1:13" s="45" customFormat="1" ht="8.5500000000000007" customHeight="1" x14ac:dyDescent="0.2">
      <c r="A943" s="43"/>
      <c r="B943" s="201" t="s">
        <v>1302</v>
      </c>
      <c r="C943" s="201"/>
      <c r="D943" s="201"/>
      <c r="E943" s="201"/>
      <c r="F943" s="157"/>
      <c r="G943" s="251">
        <v>2004</v>
      </c>
      <c r="H943" s="304">
        <v>98</v>
      </c>
      <c r="I943" s="305">
        <v>96</v>
      </c>
      <c r="J943" s="302" t="s">
        <v>95</v>
      </c>
      <c r="K943" s="164">
        <v>3</v>
      </c>
      <c r="L943" s="91"/>
      <c r="M943" s="92"/>
    </row>
    <row r="944" spans="1:13" s="45" customFormat="1" ht="8.5500000000000007" customHeight="1" x14ac:dyDescent="0.2">
      <c r="A944" s="43"/>
      <c r="B944" s="158"/>
      <c r="C944" s="158"/>
      <c r="D944" s="158"/>
      <c r="E944" s="158"/>
      <c r="F944" s="159"/>
      <c r="G944" s="252"/>
      <c r="H944" s="303"/>
      <c r="I944" s="306"/>
      <c r="J944" s="338"/>
      <c r="K944" s="165"/>
      <c r="L944" s="91"/>
      <c r="M944" s="92"/>
    </row>
    <row r="945" spans="1:13" s="45" customFormat="1" ht="8.5500000000000007" customHeight="1" x14ac:dyDescent="0.2">
      <c r="A945" s="43"/>
      <c r="B945" s="201" t="s">
        <v>1302</v>
      </c>
      <c r="C945" s="201"/>
      <c r="D945" s="201"/>
      <c r="E945" s="201"/>
      <c r="F945" s="157"/>
      <c r="G945" s="251">
        <v>2008</v>
      </c>
      <c r="H945" s="304">
        <v>96</v>
      </c>
      <c r="I945" s="305"/>
      <c r="J945" s="302" t="s">
        <v>581</v>
      </c>
      <c r="K945" s="164">
        <v>4</v>
      </c>
      <c r="L945" s="91"/>
      <c r="M945" s="92"/>
    </row>
    <row r="946" spans="1:13" s="45" customFormat="1" ht="8.5500000000000007" customHeight="1" x14ac:dyDescent="0.2">
      <c r="A946" s="43"/>
      <c r="B946" s="158"/>
      <c r="C946" s="158"/>
      <c r="D946" s="158"/>
      <c r="E946" s="158"/>
      <c r="F946" s="159"/>
      <c r="G946" s="252"/>
      <c r="H946" s="303"/>
      <c r="I946" s="306"/>
      <c r="J946" s="338"/>
      <c r="K946" s="165"/>
      <c r="L946" s="91"/>
      <c r="M946" s="92"/>
    </row>
    <row r="947" spans="1:13" s="45" customFormat="1" ht="8.5500000000000007" customHeight="1" x14ac:dyDescent="0.2">
      <c r="A947" s="43"/>
      <c r="B947" s="201" t="s">
        <v>1302</v>
      </c>
      <c r="C947" s="201"/>
      <c r="D947" s="201"/>
      <c r="E947" s="201"/>
      <c r="F947" s="157"/>
      <c r="G947" s="251">
        <v>2011</v>
      </c>
      <c r="H947" s="304">
        <v>97</v>
      </c>
      <c r="I947" s="305"/>
      <c r="J947" s="302"/>
      <c r="K947" s="164">
        <v>3</v>
      </c>
      <c r="L947" s="91"/>
      <c r="M947" s="92"/>
    </row>
    <row r="948" spans="1:13" s="45" customFormat="1" ht="8.5500000000000007" customHeight="1" x14ac:dyDescent="0.2">
      <c r="A948" s="43"/>
      <c r="B948" s="158"/>
      <c r="C948" s="158"/>
      <c r="D948" s="158"/>
      <c r="E948" s="158"/>
      <c r="F948" s="159"/>
      <c r="G948" s="252"/>
      <c r="H948" s="303"/>
      <c r="I948" s="306"/>
      <c r="J948" s="338"/>
      <c r="K948" s="165"/>
      <c r="L948" s="91"/>
      <c r="M948" s="92"/>
    </row>
    <row r="949" spans="1:13" s="45" customFormat="1" ht="8.5500000000000007" customHeight="1" x14ac:dyDescent="0.2">
      <c r="A949" s="43"/>
      <c r="B949" s="201" t="s">
        <v>1303</v>
      </c>
      <c r="C949" s="201"/>
      <c r="D949" s="201"/>
      <c r="E949" s="201"/>
      <c r="F949" s="157"/>
      <c r="G949" s="251">
        <v>1993</v>
      </c>
      <c r="H949" s="304"/>
      <c r="I949" s="305"/>
      <c r="J949" s="302"/>
      <c r="K949" s="164">
        <v>1</v>
      </c>
      <c r="L949" s="91"/>
      <c r="M949" s="92"/>
    </row>
    <row r="950" spans="1:13" s="45" customFormat="1" ht="8.5500000000000007" customHeight="1" x14ac:dyDescent="0.2">
      <c r="A950" s="43"/>
      <c r="B950" s="158"/>
      <c r="C950" s="158"/>
      <c r="D950" s="158"/>
      <c r="E950" s="158"/>
      <c r="F950" s="159"/>
      <c r="G950" s="252"/>
      <c r="H950" s="303"/>
      <c r="I950" s="306"/>
      <c r="J950" s="338"/>
      <c r="K950" s="165"/>
      <c r="L950" s="91"/>
      <c r="M950" s="92"/>
    </row>
    <row r="951" spans="1:13" s="45" customFormat="1" ht="8.5500000000000007" customHeight="1" x14ac:dyDescent="0.2">
      <c r="A951" s="43"/>
      <c r="B951" s="201" t="s">
        <v>1303</v>
      </c>
      <c r="C951" s="201"/>
      <c r="D951" s="201"/>
      <c r="E951" s="201"/>
      <c r="F951" s="157"/>
      <c r="G951" s="251">
        <v>1995</v>
      </c>
      <c r="H951" s="304">
        <v>98</v>
      </c>
      <c r="I951" s="305"/>
      <c r="J951" s="302" t="s">
        <v>400</v>
      </c>
      <c r="K951" s="164">
        <v>1</v>
      </c>
      <c r="L951" s="91"/>
      <c r="M951" s="92"/>
    </row>
    <row r="952" spans="1:13" s="45" customFormat="1" ht="8.5500000000000007" customHeight="1" x14ac:dyDescent="0.2">
      <c r="A952" s="43"/>
      <c r="B952" s="158"/>
      <c r="C952" s="158"/>
      <c r="D952" s="158"/>
      <c r="E952" s="158"/>
      <c r="F952" s="159"/>
      <c r="G952" s="252"/>
      <c r="H952" s="303"/>
      <c r="I952" s="306"/>
      <c r="J952" s="338"/>
      <c r="K952" s="165"/>
      <c r="L952" s="91"/>
      <c r="M952" s="92"/>
    </row>
    <row r="953" spans="1:13" s="45" customFormat="1" ht="8.5500000000000007" customHeight="1" x14ac:dyDescent="0.2">
      <c r="A953" s="43"/>
      <c r="B953" s="201" t="s">
        <v>1303</v>
      </c>
      <c r="C953" s="201"/>
      <c r="D953" s="201"/>
      <c r="E953" s="201"/>
      <c r="F953" s="157"/>
      <c r="G953" s="251">
        <v>1996</v>
      </c>
      <c r="H953" s="304">
        <v>99</v>
      </c>
      <c r="I953" s="305">
        <v>93</v>
      </c>
      <c r="J953" s="302" t="s">
        <v>116</v>
      </c>
      <c r="K953" s="164">
        <v>1</v>
      </c>
      <c r="L953" s="91"/>
      <c r="M953" s="92"/>
    </row>
    <row r="954" spans="1:13" s="45" customFormat="1" ht="8.5500000000000007" customHeight="1" x14ac:dyDescent="0.2">
      <c r="A954" s="43"/>
      <c r="B954" s="158"/>
      <c r="C954" s="158"/>
      <c r="D954" s="158"/>
      <c r="E954" s="158"/>
      <c r="F954" s="159"/>
      <c r="G954" s="252"/>
      <c r="H954" s="303"/>
      <c r="I954" s="306"/>
      <c r="J954" s="338"/>
      <c r="K954" s="165"/>
      <c r="L954" s="91"/>
      <c r="M954" s="92"/>
    </row>
    <row r="955" spans="1:13" s="45" customFormat="1" ht="8.5500000000000007" customHeight="1" x14ac:dyDescent="0.2">
      <c r="A955" s="43"/>
      <c r="B955" s="201" t="s">
        <v>1303</v>
      </c>
      <c r="C955" s="201"/>
      <c r="D955" s="201"/>
      <c r="E955" s="201"/>
      <c r="F955" s="157"/>
      <c r="G955" s="251">
        <v>1998</v>
      </c>
      <c r="H955" s="304">
        <v>96</v>
      </c>
      <c r="I955" s="305">
        <v>95</v>
      </c>
      <c r="J955" s="302" t="s">
        <v>45</v>
      </c>
      <c r="K955" s="164">
        <v>3</v>
      </c>
      <c r="L955" s="91"/>
      <c r="M955" s="92"/>
    </row>
    <row r="956" spans="1:13" s="45" customFormat="1" ht="8.5500000000000007" customHeight="1" x14ac:dyDescent="0.2">
      <c r="A956" s="43"/>
      <c r="B956" s="158"/>
      <c r="C956" s="158"/>
      <c r="D956" s="158"/>
      <c r="E956" s="158"/>
      <c r="F956" s="159"/>
      <c r="G956" s="252"/>
      <c r="H956" s="303"/>
      <c r="I956" s="306"/>
      <c r="J956" s="338"/>
      <c r="K956" s="165"/>
      <c r="L956" s="91"/>
      <c r="M956" s="92"/>
    </row>
    <row r="957" spans="1:13" s="45" customFormat="1" ht="8.5500000000000007" customHeight="1" x14ac:dyDescent="0.2">
      <c r="A957" s="43"/>
      <c r="B957" s="201" t="s">
        <v>1303</v>
      </c>
      <c r="C957" s="201"/>
      <c r="D957" s="201"/>
      <c r="E957" s="201"/>
      <c r="F957" s="157"/>
      <c r="G957" s="251">
        <v>2003</v>
      </c>
      <c r="H957" s="304">
        <v>95</v>
      </c>
      <c r="I957" s="305"/>
      <c r="J957" s="302"/>
      <c r="K957" s="164">
        <v>2</v>
      </c>
      <c r="L957" s="91"/>
      <c r="M957" s="92"/>
    </row>
    <row r="958" spans="1:13" s="45" customFormat="1" ht="8.5500000000000007" customHeight="1" x14ac:dyDescent="0.2">
      <c r="A958" s="43"/>
      <c r="B958" s="158"/>
      <c r="C958" s="158"/>
      <c r="D958" s="158"/>
      <c r="E958" s="158"/>
      <c r="F958" s="159"/>
      <c r="G958" s="252"/>
      <c r="H958" s="303"/>
      <c r="I958" s="306"/>
      <c r="J958" s="338"/>
      <c r="K958" s="165"/>
      <c r="L958" s="91"/>
      <c r="M958" s="92"/>
    </row>
    <row r="959" spans="1:13" s="45" customFormat="1" ht="8.5500000000000007" customHeight="1" x14ac:dyDescent="0.2">
      <c r="A959" s="43"/>
      <c r="B959" s="201" t="s">
        <v>1306</v>
      </c>
      <c r="C959" s="201"/>
      <c r="D959" s="201"/>
      <c r="E959" s="201"/>
      <c r="F959" s="157"/>
      <c r="G959" s="251">
        <v>2006</v>
      </c>
      <c r="H959" s="304">
        <v>93</v>
      </c>
      <c r="I959" s="305">
        <v>92</v>
      </c>
      <c r="J959" s="302" t="s">
        <v>421</v>
      </c>
      <c r="K959" s="164">
        <v>1</v>
      </c>
      <c r="L959" s="91"/>
      <c r="M959" s="92"/>
    </row>
    <row r="960" spans="1:13" s="45" customFormat="1" ht="8.5500000000000007" customHeight="1" x14ac:dyDescent="0.2">
      <c r="A960" s="43"/>
      <c r="B960" s="158"/>
      <c r="C960" s="158"/>
      <c r="D960" s="158"/>
      <c r="E960" s="158"/>
      <c r="F960" s="159"/>
      <c r="G960" s="252"/>
      <c r="H960" s="303"/>
      <c r="I960" s="306"/>
      <c r="J960" s="338"/>
      <c r="K960" s="165"/>
      <c r="L960" s="91"/>
      <c r="M960" s="92"/>
    </row>
    <row r="961" spans="1:13" s="45" customFormat="1" ht="8.5500000000000007" customHeight="1" x14ac:dyDescent="0.2">
      <c r="A961" s="43"/>
      <c r="B961" s="201" t="s">
        <v>1304</v>
      </c>
      <c r="C961" s="201"/>
      <c r="D961" s="201"/>
      <c r="E961" s="201"/>
      <c r="F961" s="157"/>
      <c r="G961" s="251">
        <v>2005</v>
      </c>
      <c r="H961" s="304">
        <v>90</v>
      </c>
      <c r="I961" s="305">
        <v>92</v>
      </c>
      <c r="J961" s="302" t="s">
        <v>350</v>
      </c>
      <c r="K961" s="164">
        <v>2</v>
      </c>
      <c r="L961" s="91"/>
      <c r="M961" s="92"/>
    </row>
    <row r="962" spans="1:13" s="45" customFormat="1" ht="8.5500000000000007" customHeight="1" x14ac:dyDescent="0.2">
      <c r="A962" s="43"/>
      <c r="B962" s="158"/>
      <c r="C962" s="158"/>
      <c r="D962" s="158"/>
      <c r="E962" s="158"/>
      <c r="F962" s="159"/>
      <c r="G962" s="252"/>
      <c r="H962" s="303"/>
      <c r="I962" s="306"/>
      <c r="J962" s="338"/>
      <c r="K962" s="165"/>
      <c r="L962" s="91"/>
      <c r="M962" s="92"/>
    </row>
    <row r="963" spans="1:13" s="45" customFormat="1" ht="8.5500000000000007" customHeight="1" x14ac:dyDescent="0.2">
      <c r="A963" s="43"/>
      <c r="B963" s="339" t="s">
        <v>1822</v>
      </c>
      <c r="C963" s="339"/>
      <c r="D963" s="339"/>
      <c r="E963" s="339"/>
      <c r="F963" s="339"/>
      <c r="G963" s="79"/>
      <c r="H963" s="79"/>
      <c r="I963" s="79"/>
      <c r="J963" s="79"/>
      <c r="K963" s="164"/>
      <c r="L963" s="91"/>
      <c r="M963" s="92"/>
    </row>
    <row r="964" spans="1:13" s="45" customFormat="1" ht="8.5500000000000007" customHeight="1" x14ac:dyDescent="0.2">
      <c r="A964" s="43"/>
      <c r="B964" s="340"/>
      <c r="C964" s="340"/>
      <c r="D964" s="340"/>
      <c r="E964" s="340"/>
      <c r="F964" s="340"/>
      <c r="G964" s="80"/>
      <c r="H964" s="80"/>
      <c r="I964" s="80"/>
      <c r="J964" s="80"/>
      <c r="K964" s="165"/>
      <c r="L964" s="91"/>
      <c r="M964" s="92"/>
    </row>
    <row r="965" spans="1:13" s="45" customFormat="1" ht="8.5500000000000007" customHeight="1" x14ac:dyDescent="0.2">
      <c r="A965" s="43"/>
      <c r="B965" s="201" t="s">
        <v>1305</v>
      </c>
      <c r="C965" s="201"/>
      <c r="D965" s="201"/>
      <c r="E965" s="201"/>
      <c r="F965" s="157"/>
      <c r="G965" s="251">
        <v>2009</v>
      </c>
      <c r="H965" s="305"/>
      <c r="I965" s="305"/>
      <c r="J965" s="305"/>
      <c r="K965" s="164">
        <v>1</v>
      </c>
      <c r="L965" s="91"/>
      <c r="M965" s="92"/>
    </row>
    <row r="966" spans="1:13" s="45" customFormat="1" ht="8.5500000000000007" customHeight="1" x14ac:dyDescent="0.2">
      <c r="A966" s="43"/>
      <c r="B966" s="158"/>
      <c r="C966" s="158"/>
      <c r="D966" s="158"/>
      <c r="E966" s="158"/>
      <c r="F966" s="159"/>
      <c r="G966" s="252"/>
      <c r="H966" s="306"/>
      <c r="I966" s="306"/>
      <c r="J966" s="306"/>
      <c r="K966" s="165"/>
      <c r="L966" s="91"/>
      <c r="M966" s="92"/>
    </row>
    <row r="967" spans="1:13" s="45" customFormat="1" ht="8.5500000000000007" customHeight="1" x14ac:dyDescent="0.2">
      <c r="A967" s="43"/>
      <c r="B967" s="213" t="s">
        <v>1821</v>
      </c>
      <c r="C967" s="213"/>
      <c r="D967" s="213"/>
      <c r="E967" s="213"/>
      <c r="F967" s="213"/>
      <c r="G967" s="47"/>
      <c r="H967" s="47"/>
      <c r="I967" s="48"/>
      <c r="J967" s="48"/>
      <c r="K967" s="236">
        <v>50</v>
      </c>
      <c r="L967" s="290">
        <f>+K967</f>
        <v>50</v>
      </c>
      <c r="M967" s="92"/>
    </row>
    <row r="968" spans="1:13" s="45" customFormat="1" ht="8.5500000000000007" customHeight="1" x14ac:dyDescent="0.2">
      <c r="A968" s="43"/>
      <c r="B968" s="171"/>
      <c r="C968" s="171"/>
      <c r="D968" s="171"/>
      <c r="E968" s="171"/>
      <c r="F968" s="171"/>
      <c r="G968" s="54"/>
      <c r="H968" s="54"/>
      <c r="I968" s="49"/>
      <c r="J968" s="49"/>
      <c r="K968" s="225"/>
      <c r="L968" s="231"/>
      <c r="M968" s="92"/>
    </row>
    <row r="969" spans="1:13" s="45" customFormat="1" ht="8.5500000000000007" customHeight="1" x14ac:dyDescent="0.2">
      <c r="A969" s="43"/>
      <c r="B969" s="347" t="s">
        <v>186</v>
      </c>
      <c r="C969" s="347"/>
      <c r="D969" s="347"/>
      <c r="E969" s="347"/>
      <c r="F969" s="347"/>
      <c r="G969" s="297"/>
      <c r="H969" s="47"/>
      <c r="I969" s="362"/>
      <c r="J969" s="48"/>
      <c r="K969" s="164"/>
      <c r="L969" s="91"/>
      <c r="M969" s="336">
        <f>+K967</f>
        <v>50</v>
      </c>
    </row>
    <row r="970" spans="1:13" s="45" customFormat="1" ht="8.5500000000000007" customHeight="1" x14ac:dyDescent="0.2">
      <c r="A970" s="43"/>
      <c r="B970" s="348"/>
      <c r="C970" s="348"/>
      <c r="D970" s="348"/>
      <c r="E970" s="348"/>
      <c r="F970" s="348"/>
      <c r="G970" s="188"/>
      <c r="H970" s="54"/>
      <c r="I970" s="363"/>
      <c r="J970" s="49"/>
      <c r="K970" s="165"/>
      <c r="L970" s="91"/>
      <c r="M970" s="337"/>
    </row>
    <row r="971" spans="1:13" s="45" customFormat="1" ht="8.5500000000000007" customHeight="1" x14ac:dyDescent="0.2">
      <c r="A971" s="43"/>
      <c r="B971" s="201" t="s">
        <v>1502</v>
      </c>
      <c r="C971" s="201"/>
      <c r="D971" s="201"/>
      <c r="E971" s="201"/>
      <c r="F971" s="157"/>
      <c r="G971" s="251">
        <v>2005</v>
      </c>
      <c r="H971" s="304">
        <v>92</v>
      </c>
      <c r="I971" s="305"/>
      <c r="J971" s="302"/>
      <c r="K971" s="164">
        <v>2</v>
      </c>
      <c r="L971" s="91"/>
      <c r="M971" s="92"/>
    </row>
    <row r="972" spans="1:13" s="45" customFormat="1" ht="8.5500000000000007" customHeight="1" x14ac:dyDescent="0.2">
      <c r="A972" s="43"/>
      <c r="B972" s="158"/>
      <c r="C972" s="158"/>
      <c r="D972" s="158"/>
      <c r="E972" s="158"/>
      <c r="F972" s="159"/>
      <c r="G972" s="252"/>
      <c r="H972" s="303"/>
      <c r="I972" s="306"/>
      <c r="J972" s="338"/>
      <c r="K972" s="165"/>
      <c r="L972" s="91"/>
      <c r="M972" s="92"/>
    </row>
    <row r="973" spans="1:13" s="45" customFormat="1" ht="8.5500000000000007" customHeight="1" x14ac:dyDescent="0.2">
      <c r="A973" s="43"/>
      <c r="B973" s="201" t="s">
        <v>1490</v>
      </c>
      <c r="C973" s="201"/>
      <c r="D973" s="201"/>
      <c r="E973" s="201"/>
      <c r="F973" s="157"/>
      <c r="G973" s="251">
        <v>2011</v>
      </c>
      <c r="H973" s="304"/>
      <c r="I973" s="305"/>
      <c r="J973" s="302"/>
      <c r="K973" s="164">
        <v>1</v>
      </c>
      <c r="L973" s="91"/>
      <c r="M973" s="92"/>
    </row>
    <row r="974" spans="1:13" s="45" customFormat="1" ht="8.5500000000000007" customHeight="1" x14ac:dyDescent="0.2">
      <c r="A974" s="43"/>
      <c r="B974" s="158"/>
      <c r="C974" s="158"/>
      <c r="D974" s="158"/>
      <c r="E974" s="158"/>
      <c r="F974" s="159"/>
      <c r="G974" s="252"/>
      <c r="H974" s="303"/>
      <c r="I974" s="306"/>
      <c r="J974" s="338"/>
      <c r="K974" s="165"/>
      <c r="L974" s="91"/>
      <c r="M974" s="92"/>
    </row>
    <row r="975" spans="1:13" s="45" customFormat="1" ht="8.5500000000000007" customHeight="1" x14ac:dyDescent="0.2">
      <c r="A975" s="43"/>
      <c r="B975" s="201" t="s">
        <v>1489</v>
      </c>
      <c r="C975" s="201"/>
      <c r="D975" s="201"/>
      <c r="E975" s="201"/>
      <c r="F975" s="157"/>
      <c r="G975" s="251">
        <v>2010</v>
      </c>
      <c r="H975" s="304"/>
      <c r="I975" s="305"/>
      <c r="J975" s="302"/>
      <c r="K975" s="164">
        <v>1</v>
      </c>
      <c r="L975" s="91"/>
      <c r="M975" s="92"/>
    </row>
    <row r="976" spans="1:13" s="45" customFormat="1" ht="8.5500000000000007" customHeight="1" x14ac:dyDescent="0.2">
      <c r="A976" s="43"/>
      <c r="B976" s="158"/>
      <c r="C976" s="158"/>
      <c r="D976" s="158"/>
      <c r="E976" s="158"/>
      <c r="F976" s="159"/>
      <c r="G976" s="252"/>
      <c r="H976" s="303"/>
      <c r="I976" s="306"/>
      <c r="J976" s="338"/>
      <c r="K976" s="165"/>
      <c r="L976" s="91"/>
      <c r="M976" s="92"/>
    </row>
    <row r="977" spans="1:13" s="45" customFormat="1" ht="8.5500000000000007" customHeight="1" x14ac:dyDescent="0.2">
      <c r="A977" s="43"/>
      <c r="B977" s="201" t="s">
        <v>1491</v>
      </c>
      <c r="C977" s="201"/>
      <c r="D977" s="201"/>
      <c r="E977" s="201"/>
      <c r="F977" s="157"/>
      <c r="G977" s="251">
        <v>2015</v>
      </c>
      <c r="H977" s="304">
        <v>94</v>
      </c>
      <c r="I977" s="305"/>
      <c r="J977" s="302" t="s">
        <v>1577</v>
      </c>
      <c r="K977" s="164">
        <v>2</v>
      </c>
      <c r="L977" s="91"/>
      <c r="M977" s="92"/>
    </row>
    <row r="978" spans="1:13" s="45" customFormat="1" ht="8.5500000000000007" customHeight="1" x14ac:dyDescent="0.2">
      <c r="A978" s="43"/>
      <c r="B978" s="158"/>
      <c r="C978" s="158"/>
      <c r="D978" s="158"/>
      <c r="E978" s="158"/>
      <c r="F978" s="159"/>
      <c r="G978" s="252"/>
      <c r="H978" s="303"/>
      <c r="I978" s="306"/>
      <c r="J978" s="338"/>
      <c r="K978" s="165"/>
      <c r="L978" s="91"/>
      <c r="M978" s="92"/>
    </row>
    <row r="979" spans="1:13" s="45" customFormat="1" ht="8.5500000000000007" customHeight="1" x14ac:dyDescent="0.2">
      <c r="A979" s="43"/>
      <c r="B979" s="201" t="s">
        <v>1057</v>
      </c>
      <c r="C979" s="201"/>
      <c r="D979" s="201"/>
      <c r="E979" s="201"/>
      <c r="F979" s="157"/>
      <c r="G979" s="251">
        <v>2015</v>
      </c>
      <c r="H979" s="304"/>
      <c r="I979" s="305"/>
      <c r="J979" s="302"/>
      <c r="K979" s="164">
        <v>1</v>
      </c>
      <c r="L979" s="91"/>
      <c r="M979" s="92"/>
    </row>
    <row r="980" spans="1:13" s="45" customFormat="1" ht="8.5500000000000007" customHeight="1" x14ac:dyDescent="0.2">
      <c r="A980" s="43"/>
      <c r="B980" s="158"/>
      <c r="C980" s="158"/>
      <c r="D980" s="158"/>
      <c r="E980" s="158"/>
      <c r="F980" s="159"/>
      <c r="G980" s="252"/>
      <c r="H980" s="303"/>
      <c r="I980" s="306"/>
      <c r="J980" s="338"/>
      <c r="K980" s="165"/>
      <c r="L980" s="91"/>
      <c r="M980" s="92"/>
    </row>
    <row r="981" spans="1:13" s="45" customFormat="1" ht="8.5500000000000007" customHeight="1" x14ac:dyDescent="0.2">
      <c r="A981" s="43"/>
      <c r="B981" s="201" t="s">
        <v>1137</v>
      </c>
      <c r="C981" s="201"/>
      <c r="D981" s="201"/>
      <c r="E981" s="201"/>
      <c r="F981" s="157"/>
      <c r="G981" s="251">
        <v>2010</v>
      </c>
      <c r="H981" s="304"/>
      <c r="I981" s="305"/>
      <c r="J981" s="302"/>
      <c r="K981" s="164">
        <v>1</v>
      </c>
      <c r="L981" s="91"/>
      <c r="M981" s="92"/>
    </row>
    <row r="982" spans="1:13" s="45" customFormat="1" ht="8.5500000000000007" customHeight="1" x14ac:dyDescent="0.2">
      <c r="A982" s="43"/>
      <c r="B982" s="158"/>
      <c r="C982" s="158"/>
      <c r="D982" s="158"/>
      <c r="E982" s="158"/>
      <c r="F982" s="159"/>
      <c r="G982" s="252"/>
      <c r="H982" s="303"/>
      <c r="I982" s="306"/>
      <c r="J982" s="338"/>
      <c r="K982" s="165"/>
      <c r="L982" s="91"/>
      <c r="M982" s="92"/>
    </row>
    <row r="983" spans="1:13" s="45" customFormat="1" ht="8.5500000000000007" customHeight="1" x14ac:dyDescent="0.2">
      <c r="A983" s="43"/>
      <c r="B983" s="201" t="s">
        <v>1823</v>
      </c>
      <c r="C983" s="201"/>
      <c r="D983" s="201"/>
      <c r="E983" s="201"/>
      <c r="F983" s="157"/>
      <c r="G983" s="251">
        <v>2021</v>
      </c>
      <c r="H983" s="304"/>
      <c r="I983" s="305"/>
      <c r="J983" s="302"/>
      <c r="K983" s="164">
        <v>2</v>
      </c>
      <c r="L983" s="91"/>
      <c r="M983" s="92"/>
    </row>
    <row r="984" spans="1:13" s="45" customFormat="1" ht="8.5500000000000007" customHeight="1" x14ac:dyDescent="0.2">
      <c r="A984" s="43"/>
      <c r="B984" s="158"/>
      <c r="C984" s="158"/>
      <c r="D984" s="158"/>
      <c r="E984" s="158"/>
      <c r="F984" s="159"/>
      <c r="G984" s="252"/>
      <c r="H984" s="303"/>
      <c r="I984" s="306"/>
      <c r="J984" s="338"/>
      <c r="K984" s="165"/>
      <c r="L984" s="91"/>
      <c r="M984" s="92"/>
    </row>
    <row r="985" spans="1:13" s="45" customFormat="1" ht="8.5500000000000007" customHeight="1" x14ac:dyDescent="0.2">
      <c r="A985" s="43"/>
      <c r="B985" s="201" t="s">
        <v>1853</v>
      </c>
      <c r="C985" s="201"/>
      <c r="D985" s="201"/>
      <c r="E985" s="201"/>
      <c r="F985" s="157"/>
      <c r="G985" s="251">
        <v>2017</v>
      </c>
      <c r="H985" s="304"/>
      <c r="I985" s="305"/>
      <c r="J985" s="302"/>
      <c r="K985" s="164">
        <v>2</v>
      </c>
      <c r="L985" s="91"/>
      <c r="M985" s="92"/>
    </row>
    <row r="986" spans="1:13" s="45" customFormat="1" ht="8.5500000000000007" customHeight="1" x14ac:dyDescent="0.2">
      <c r="A986" s="43"/>
      <c r="B986" s="158"/>
      <c r="C986" s="158"/>
      <c r="D986" s="158"/>
      <c r="E986" s="158"/>
      <c r="F986" s="159"/>
      <c r="G986" s="252"/>
      <c r="H986" s="303"/>
      <c r="I986" s="306"/>
      <c r="J986" s="338"/>
      <c r="K986" s="165"/>
      <c r="L986" s="91"/>
      <c r="M986" s="92"/>
    </row>
    <row r="987" spans="1:13" s="45" customFormat="1" ht="8.5500000000000007" customHeight="1" x14ac:dyDescent="0.2">
      <c r="A987" s="43"/>
      <c r="B987" s="201" t="s">
        <v>2007</v>
      </c>
      <c r="C987" s="201"/>
      <c r="D987" s="201"/>
      <c r="E987" s="201"/>
      <c r="F987" s="157"/>
      <c r="G987" s="251">
        <v>2022</v>
      </c>
      <c r="H987" s="304"/>
      <c r="I987" s="305"/>
      <c r="J987" s="302"/>
      <c r="K987" s="164">
        <v>2</v>
      </c>
      <c r="L987" s="91"/>
      <c r="M987" s="92"/>
    </row>
    <row r="988" spans="1:13" s="45" customFormat="1" ht="8.5500000000000007" customHeight="1" x14ac:dyDescent="0.2">
      <c r="A988" s="43"/>
      <c r="B988" s="158"/>
      <c r="C988" s="158"/>
      <c r="D988" s="158"/>
      <c r="E988" s="158"/>
      <c r="F988" s="159"/>
      <c r="G988" s="252"/>
      <c r="H988" s="303"/>
      <c r="I988" s="306"/>
      <c r="J988" s="338"/>
      <c r="K988" s="165"/>
      <c r="L988" s="91"/>
      <c r="M988" s="92"/>
    </row>
    <row r="989" spans="1:13" s="45" customFormat="1" ht="8.5500000000000007" customHeight="1" x14ac:dyDescent="0.2">
      <c r="A989" s="43"/>
      <c r="B989" s="201"/>
      <c r="C989" s="201"/>
      <c r="D989" s="201"/>
      <c r="E989" s="201"/>
      <c r="F989" s="157"/>
      <c r="G989" s="251"/>
      <c r="H989" s="304"/>
      <c r="I989" s="305"/>
      <c r="J989" s="302"/>
      <c r="K989" s="164"/>
      <c r="L989" s="91"/>
      <c r="M989" s="92"/>
    </row>
    <row r="990" spans="1:13" s="45" customFormat="1" ht="8.5500000000000007" customHeight="1" x14ac:dyDescent="0.2">
      <c r="A990" s="43"/>
      <c r="B990" s="158"/>
      <c r="C990" s="158"/>
      <c r="D990" s="158"/>
      <c r="E990" s="158"/>
      <c r="F990" s="159"/>
      <c r="G990" s="252"/>
      <c r="H990" s="303"/>
      <c r="I990" s="306"/>
      <c r="J990" s="338"/>
      <c r="K990" s="165"/>
      <c r="L990" s="91"/>
      <c r="M990" s="92"/>
    </row>
    <row r="991" spans="1:13" s="45" customFormat="1" ht="8.5500000000000007" customHeight="1" x14ac:dyDescent="0.2">
      <c r="A991" s="43"/>
      <c r="B991" s="213" t="s">
        <v>797</v>
      </c>
      <c r="C991" s="213"/>
      <c r="D991" s="213"/>
      <c r="E991" s="213"/>
      <c r="F991" s="213"/>
      <c r="G991" s="47"/>
      <c r="H991" s="47"/>
      <c r="I991" s="48"/>
      <c r="J991" s="48"/>
      <c r="K991" s="236">
        <v>14</v>
      </c>
      <c r="L991" s="367">
        <f>+K991</f>
        <v>14</v>
      </c>
      <c r="M991" s="336">
        <f>+K991</f>
        <v>14</v>
      </c>
    </row>
    <row r="992" spans="1:13" s="45" customFormat="1" ht="8.5500000000000007" customHeight="1" x14ac:dyDescent="0.2">
      <c r="A992" s="43"/>
      <c r="B992" s="171"/>
      <c r="C992" s="171"/>
      <c r="D992" s="171"/>
      <c r="E992" s="171"/>
      <c r="F992" s="171"/>
      <c r="G992" s="54"/>
      <c r="H992" s="54"/>
      <c r="I992" s="49"/>
      <c r="J992" s="49"/>
      <c r="K992" s="225"/>
      <c r="L992" s="368"/>
      <c r="M992" s="337"/>
    </row>
    <row r="993" spans="1:14" s="45" customFormat="1" ht="8.5500000000000007" customHeight="1" x14ac:dyDescent="0.2">
      <c r="A993" s="43"/>
      <c r="B993" s="213" t="s">
        <v>798</v>
      </c>
      <c r="C993" s="213"/>
      <c r="D993" s="213"/>
      <c r="E993" s="213"/>
      <c r="F993" s="213"/>
      <c r="G993" s="47"/>
      <c r="H993" s="47"/>
      <c r="I993" s="48"/>
      <c r="J993" s="48"/>
      <c r="K993" s="236">
        <v>796</v>
      </c>
      <c r="L993" s="367"/>
      <c r="M993" s="336"/>
    </row>
    <row r="994" spans="1:14" s="45" customFormat="1" ht="8.5500000000000007" customHeight="1" x14ac:dyDescent="0.2">
      <c r="A994" s="43"/>
      <c r="B994" s="171"/>
      <c r="C994" s="171"/>
      <c r="D994" s="171"/>
      <c r="E994" s="171"/>
      <c r="F994" s="171"/>
      <c r="G994" s="54"/>
      <c r="H994" s="54"/>
      <c r="I994" s="49"/>
      <c r="J994" s="49"/>
      <c r="K994" s="225"/>
      <c r="L994" s="368"/>
      <c r="M994" s="337"/>
    </row>
    <row r="995" spans="1:14" ht="8.5500000000000007" customHeight="1" x14ac:dyDescent="0.25">
      <c r="B995" s="361"/>
      <c r="C995" s="355"/>
      <c r="D995" s="355"/>
      <c r="E995" s="355"/>
      <c r="F995" s="355"/>
      <c r="G995" s="352"/>
      <c r="H995" s="16"/>
      <c r="I995" s="26"/>
      <c r="J995" s="26"/>
      <c r="L995" s="359"/>
      <c r="M995" s="366">
        <f>SUM(L19:L994)</f>
        <v>796</v>
      </c>
      <c r="N995" s="366">
        <f>SUM(M19:M994)</f>
        <v>796</v>
      </c>
    </row>
    <row r="996" spans="1:14" x14ac:dyDescent="0.25">
      <c r="B996" s="356"/>
      <c r="C996" s="356"/>
      <c r="D996" s="356"/>
      <c r="E996" s="356"/>
      <c r="F996" s="356"/>
      <c r="G996" s="353"/>
      <c r="H996" s="17"/>
      <c r="I996" s="27"/>
      <c r="J996" s="27"/>
      <c r="L996" s="360"/>
      <c r="M996" s="360"/>
      <c r="N996" s="360"/>
    </row>
    <row r="997" spans="1:14" x14ac:dyDescent="0.25">
      <c r="B997" s="354"/>
      <c r="C997" s="355"/>
      <c r="D997" s="355"/>
      <c r="E997" s="355"/>
      <c r="F997" s="355"/>
      <c r="G997" s="352"/>
      <c r="H997" s="16"/>
      <c r="I997" s="26"/>
      <c r="J997" s="26"/>
      <c r="K997" s="350"/>
    </row>
    <row r="998" spans="1:14" x14ac:dyDescent="0.25">
      <c r="B998" s="356"/>
      <c r="C998" s="356"/>
      <c r="D998" s="356"/>
      <c r="E998" s="356"/>
      <c r="F998" s="356"/>
      <c r="G998" s="353"/>
      <c r="H998" s="17"/>
      <c r="I998" s="27"/>
      <c r="J998" s="27"/>
      <c r="K998" s="351"/>
    </row>
    <row r="999" spans="1:14" x14ac:dyDescent="0.25">
      <c r="B999" s="361"/>
      <c r="C999" s="355"/>
      <c r="D999" s="355"/>
      <c r="E999" s="355"/>
      <c r="F999" s="355"/>
      <c r="G999" s="352"/>
      <c r="H999" s="16"/>
      <c r="I999" s="26"/>
      <c r="J999" s="26"/>
      <c r="K999" s="350"/>
    </row>
    <row r="1000" spans="1:14" x14ac:dyDescent="0.25">
      <c r="B1000" s="356"/>
      <c r="C1000" s="356"/>
      <c r="D1000" s="356"/>
      <c r="E1000" s="356"/>
      <c r="F1000" s="356"/>
      <c r="G1000" s="353"/>
      <c r="H1000" s="17"/>
      <c r="I1000" s="27"/>
      <c r="J1000" s="27"/>
      <c r="K1000" s="351"/>
    </row>
    <row r="1001" spans="1:14" x14ac:dyDescent="0.25">
      <c r="B1001" s="361"/>
      <c r="C1001" s="355"/>
      <c r="D1001" s="355"/>
      <c r="E1001" s="355"/>
      <c r="F1001" s="355"/>
      <c r="G1001" s="352"/>
      <c r="H1001" s="16"/>
      <c r="I1001" s="26"/>
      <c r="J1001" s="26"/>
      <c r="K1001" s="350"/>
    </row>
    <row r="1002" spans="1:14" x14ac:dyDescent="0.25">
      <c r="B1002" s="356"/>
      <c r="C1002" s="356"/>
      <c r="D1002" s="356"/>
      <c r="E1002" s="356"/>
      <c r="F1002" s="356"/>
      <c r="G1002" s="353"/>
      <c r="H1002" s="17"/>
      <c r="I1002" s="27"/>
      <c r="J1002" s="27"/>
      <c r="K1002" s="351"/>
    </row>
    <row r="1003" spans="1:14" x14ac:dyDescent="0.25">
      <c r="B1003" s="361"/>
      <c r="C1003" s="355"/>
      <c r="D1003" s="355"/>
      <c r="E1003" s="355"/>
      <c r="F1003" s="355"/>
      <c r="G1003" s="352"/>
      <c r="H1003" s="16"/>
      <c r="I1003" s="26"/>
      <c r="J1003" s="26"/>
      <c r="K1003" s="38"/>
    </row>
    <row r="1004" spans="1:14" x14ac:dyDescent="0.25">
      <c r="B1004" s="356"/>
      <c r="C1004" s="356"/>
      <c r="D1004" s="356"/>
      <c r="E1004" s="356"/>
      <c r="F1004" s="356"/>
      <c r="G1004" s="353"/>
      <c r="H1004" s="17"/>
      <c r="I1004" s="27"/>
      <c r="J1004" s="27"/>
      <c r="K1004" s="39"/>
    </row>
    <row r="1005" spans="1:14" x14ac:dyDescent="0.25">
      <c r="H1005" s="8"/>
      <c r="K1005" s="7"/>
    </row>
    <row r="1006" spans="1:14" x14ac:dyDescent="0.25">
      <c r="H1006" s="8"/>
      <c r="K1006" s="9"/>
    </row>
    <row r="1007" spans="1:14" x14ac:dyDescent="0.25">
      <c r="H1007" s="8"/>
    </row>
    <row r="1008" spans="1:14" x14ac:dyDescent="0.25">
      <c r="H1008" s="8"/>
    </row>
    <row r="1009" spans="8:8" x14ac:dyDescent="0.25">
      <c r="H1009" s="8"/>
    </row>
    <row r="1010" spans="8:8" x14ac:dyDescent="0.25">
      <c r="H1010" s="8"/>
    </row>
    <row r="1011" spans="8:8" x14ac:dyDescent="0.25">
      <c r="H1011" s="8"/>
    </row>
    <row r="1012" spans="8:8" x14ac:dyDescent="0.25">
      <c r="H1012" s="8"/>
    </row>
    <row r="1013" spans="8:8" x14ac:dyDescent="0.25">
      <c r="H1013" s="8"/>
    </row>
    <row r="1014" spans="8:8" x14ac:dyDescent="0.25">
      <c r="H1014" s="8"/>
    </row>
    <row r="1015" spans="8:8" x14ac:dyDescent="0.25">
      <c r="H1015" s="8"/>
    </row>
    <row r="1016" spans="8:8" x14ac:dyDescent="0.25">
      <c r="H1016" s="8"/>
    </row>
    <row r="1017" spans="8:8" x14ac:dyDescent="0.25">
      <c r="H1017" s="8"/>
    </row>
    <row r="1018" spans="8:8" x14ac:dyDescent="0.25">
      <c r="H1018" s="8"/>
    </row>
    <row r="1019" spans="8:8" x14ac:dyDescent="0.25">
      <c r="H1019" s="8"/>
    </row>
    <row r="1020" spans="8:8" x14ac:dyDescent="0.25">
      <c r="H1020" s="8"/>
    </row>
  </sheetData>
  <autoFilter ref="A3:L1020" xr:uid="{00000000-0009-0000-0000-000008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865">
    <mergeCell ref="I545:I546"/>
    <mergeCell ref="J545:J546"/>
    <mergeCell ref="K545:K546"/>
    <mergeCell ref="I535:I536"/>
    <mergeCell ref="J535:J536"/>
    <mergeCell ref="K535:K536"/>
    <mergeCell ref="B539:F540"/>
    <mergeCell ref="G539:G540"/>
    <mergeCell ref="H539:H540"/>
    <mergeCell ref="I539:I540"/>
    <mergeCell ref="J539:J540"/>
    <mergeCell ref="K539:K540"/>
    <mergeCell ref="B541:F542"/>
    <mergeCell ref="G541:G542"/>
    <mergeCell ref="H541:H542"/>
    <mergeCell ref="I541:I542"/>
    <mergeCell ref="J541:J542"/>
    <mergeCell ref="K541:K542"/>
    <mergeCell ref="B537:F538"/>
    <mergeCell ref="G537:G538"/>
    <mergeCell ref="H537:H538"/>
    <mergeCell ref="I537:I538"/>
    <mergeCell ref="J537:J538"/>
    <mergeCell ref="K537:K538"/>
    <mergeCell ref="J379:J380"/>
    <mergeCell ref="K379:K380"/>
    <mergeCell ref="B381:F382"/>
    <mergeCell ref="G381:G382"/>
    <mergeCell ref="H381:H382"/>
    <mergeCell ref="I381:I382"/>
    <mergeCell ref="J381:J382"/>
    <mergeCell ref="K381:K382"/>
    <mergeCell ref="J385:J386"/>
    <mergeCell ref="K385:K386"/>
    <mergeCell ref="I531:I532"/>
    <mergeCell ref="J531:J532"/>
    <mergeCell ref="K531:K532"/>
    <mergeCell ref="B387:F388"/>
    <mergeCell ref="G387:G388"/>
    <mergeCell ref="H387:H388"/>
    <mergeCell ref="I387:I388"/>
    <mergeCell ref="J387:J388"/>
    <mergeCell ref="K387:K388"/>
    <mergeCell ref="J411:J412"/>
    <mergeCell ref="J471:J472"/>
    <mergeCell ref="K401:K402"/>
    <mergeCell ref="J417:J418"/>
    <mergeCell ref="J435:J436"/>
    <mergeCell ref="B527:F528"/>
    <mergeCell ref="G527:G528"/>
    <mergeCell ref="H527:H528"/>
    <mergeCell ref="I527:I528"/>
    <mergeCell ref="K389:K390"/>
    <mergeCell ref="K479:K480"/>
    <mergeCell ref="J497:J498"/>
    <mergeCell ref="J509:J510"/>
    <mergeCell ref="K519:K520"/>
    <mergeCell ref="J519:J520"/>
    <mergeCell ref="K427:K428"/>
    <mergeCell ref="K437:K438"/>
    <mergeCell ref="K433:K434"/>
    <mergeCell ref="I989:I990"/>
    <mergeCell ref="H973:H974"/>
    <mergeCell ref="J971:J972"/>
    <mergeCell ref="G989:G990"/>
    <mergeCell ref="B973:F974"/>
    <mergeCell ref="J989:J990"/>
    <mergeCell ref="G973:G974"/>
    <mergeCell ref="K977:K978"/>
    <mergeCell ref="K971:K972"/>
    <mergeCell ref="B983:F984"/>
    <mergeCell ref="G983:G984"/>
    <mergeCell ref="H983:H984"/>
    <mergeCell ref="I983:I984"/>
    <mergeCell ref="J983:J984"/>
    <mergeCell ref="K983:K984"/>
    <mergeCell ref="B987:F988"/>
    <mergeCell ref="G987:G988"/>
    <mergeCell ref="H987:H988"/>
    <mergeCell ref="I987:I988"/>
    <mergeCell ref="J987:J988"/>
    <mergeCell ref="K987:K988"/>
    <mergeCell ref="B985:F986"/>
    <mergeCell ref="I543:I544"/>
    <mergeCell ref="G985:G986"/>
    <mergeCell ref="H985:H986"/>
    <mergeCell ref="I985:I986"/>
    <mergeCell ref="J985:J986"/>
    <mergeCell ref="K985:K986"/>
    <mergeCell ref="B981:F982"/>
    <mergeCell ref="G981:G982"/>
    <mergeCell ref="H981:H982"/>
    <mergeCell ref="J981:J982"/>
    <mergeCell ref="K981:K982"/>
    <mergeCell ref="I981:I982"/>
    <mergeCell ref="A655:A656"/>
    <mergeCell ref="K713:K714"/>
    <mergeCell ref="K725:K726"/>
    <mergeCell ref="K661:K662"/>
    <mergeCell ref="K663:K664"/>
    <mergeCell ref="K659:K660"/>
    <mergeCell ref="J673:J674"/>
    <mergeCell ref="J663:J664"/>
    <mergeCell ref="K707:K708"/>
    <mergeCell ref="K665:K666"/>
    <mergeCell ref="J703:J704"/>
    <mergeCell ref="K709:K710"/>
    <mergeCell ref="K705:K706"/>
    <mergeCell ref="K685:K686"/>
    <mergeCell ref="J671:J672"/>
    <mergeCell ref="J719:J720"/>
    <mergeCell ref="K723:K724"/>
    <mergeCell ref="J691:J692"/>
    <mergeCell ref="K727:K728"/>
    <mergeCell ref="K721:K722"/>
    <mergeCell ref="J693:J694"/>
    <mergeCell ref="K377:K378"/>
    <mergeCell ref="K413:K414"/>
    <mergeCell ref="K409:K410"/>
    <mergeCell ref="J407:J408"/>
    <mergeCell ref="K407:K408"/>
    <mergeCell ref="J413:J414"/>
    <mergeCell ref="K369:K370"/>
    <mergeCell ref="I651:I652"/>
    <mergeCell ref="J651:J652"/>
    <mergeCell ref="K651:K652"/>
    <mergeCell ref="A653:A654"/>
    <mergeCell ref="B653:F654"/>
    <mergeCell ref="G653:G654"/>
    <mergeCell ref="H653:H654"/>
    <mergeCell ref="I653:I654"/>
    <mergeCell ref="J653:J654"/>
    <mergeCell ref="K653:K654"/>
    <mergeCell ref="B389:F390"/>
    <mergeCell ref="G389:G390"/>
    <mergeCell ref="H389:H390"/>
    <mergeCell ref="I389:I390"/>
    <mergeCell ref="J389:J390"/>
    <mergeCell ref="J393:J394"/>
    <mergeCell ref="K393:K394"/>
    <mergeCell ref="K515:K516"/>
    <mergeCell ref="K619:K620"/>
    <mergeCell ref="K631:K632"/>
    <mergeCell ref="K633:K634"/>
    <mergeCell ref="K637:K638"/>
    <mergeCell ref="J493:J494"/>
    <mergeCell ref="K489:K490"/>
    <mergeCell ref="K471:K472"/>
    <mergeCell ref="J495:J496"/>
    <mergeCell ref="K581:K582"/>
    <mergeCell ref="K493:K494"/>
    <mergeCell ref="J487:J488"/>
    <mergeCell ref="J479:J480"/>
    <mergeCell ref="K495:K496"/>
    <mergeCell ref="K487:K488"/>
    <mergeCell ref="K583:K584"/>
    <mergeCell ref="K565:K566"/>
    <mergeCell ref="K579:K580"/>
    <mergeCell ref="K621:K622"/>
    <mergeCell ref="K575:K576"/>
    <mergeCell ref="K627:K628"/>
    <mergeCell ref="K563:K564"/>
    <mergeCell ref="I581:I582"/>
    <mergeCell ref="J581:J582"/>
    <mergeCell ref="A649:A650"/>
    <mergeCell ref="B649:F650"/>
    <mergeCell ref="G649:G650"/>
    <mergeCell ref="H649:H650"/>
    <mergeCell ref="I649:I650"/>
    <mergeCell ref="J649:J650"/>
    <mergeCell ref="K649:K650"/>
    <mergeCell ref="K547:K548"/>
    <mergeCell ref="I505:I506"/>
    <mergeCell ref="I577:I578"/>
    <mergeCell ref="G569:G570"/>
    <mergeCell ref="B503:F504"/>
    <mergeCell ref="H501:H502"/>
    <mergeCell ref="B497:F498"/>
    <mergeCell ref="G513:G514"/>
    <mergeCell ref="G557:G558"/>
    <mergeCell ref="J505:J506"/>
    <mergeCell ref="A651:A652"/>
    <mergeCell ref="B651:F652"/>
    <mergeCell ref="K601:K602"/>
    <mergeCell ref="J599:J600"/>
    <mergeCell ref="J631:J632"/>
    <mergeCell ref="J601:J602"/>
    <mergeCell ref="J621:J622"/>
    <mergeCell ref="K617:K618"/>
    <mergeCell ref="K613:K614"/>
    <mergeCell ref="J619:J620"/>
    <mergeCell ref="K607:K608"/>
    <mergeCell ref="K623:K624"/>
    <mergeCell ref="K599:K600"/>
    <mergeCell ref="K643:K644"/>
    <mergeCell ref="K603:K604"/>
    <mergeCell ref="K615:K616"/>
    <mergeCell ref="K587:K588"/>
    <mergeCell ref="K635:K636"/>
    <mergeCell ref="J623:J624"/>
    <mergeCell ref="J645:J646"/>
    <mergeCell ref="H635:H636"/>
    <mergeCell ref="H637:H638"/>
    <mergeCell ref="G601:G602"/>
    <mergeCell ref="B601:F602"/>
    <mergeCell ref="B625:F626"/>
    <mergeCell ref="G629:G630"/>
    <mergeCell ref="B623:F624"/>
    <mergeCell ref="B615:F616"/>
    <mergeCell ref="J527:J528"/>
    <mergeCell ref="J543:J544"/>
    <mergeCell ref="K543:K544"/>
    <mergeCell ref="J447:J448"/>
    <mergeCell ref="J421:J422"/>
    <mergeCell ref="J661:J662"/>
    <mergeCell ref="K701:K702"/>
    <mergeCell ref="K697:K698"/>
    <mergeCell ref="K695:K696"/>
    <mergeCell ref="J689:J690"/>
    <mergeCell ref="K597:K598"/>
    <mergeCell ref="K593:K594"/>
    <mergeCell ref="K595:K596"/>
    <mergeCell ref="K625:K626"/>
    <mergeCell ref="J675:J676"/>
    <mergeCell ref="K647:K648"/>
    <mergeCell ref="K553:K554"/>
    <mergeCell ref="K517:K518"/>
    <mergeCell ref="K505:K506"/>
    <mergeCell ref="K645:K646"/>
    <mergeCell ref="K641:K642"/>
    <mergeCell ref="K529:K530"/>
    <mergeCell ref="K527:K528"/>
    <mergeCell ref="K521:K522"/>
    <mergeCell ref="J523:J524"/>
    <mergeCell ref="K689:K690"/>
    <mergeCell ref="J637:J638"/>
    <mergeCell ref="K657:K658"/>
    <mergeCell ref="K673:K674"/>
    <mergeCell ref="J677:J678"/>
    <mergeCell ref="K605:K606"/>
    <mergeCell ref="K675:K676"/>
    <mergeCell ref="K611:K612"/>
    <mergeCell ref="J547:J548"/>
    <mergeCell ref="K559:K560"/>
    <mergeCell ref="K609:K610"/>
    <mergeCell ref="K591:K592"/>
    <mergeCell ref="J529:J530"/>
    <mergeCell ref="K469:K470"/>
    <mergeCell ref="J461:J462"/>
    <mergeCell ref="J457:J458"/>
    <mergeCell ref="J499:J500"/>
    <mergeCell ref="J511:J512"/>
    <mergeCell ref="J465:J466"/>
    <mergeCell ref="K457:K458"/>
    <mergeCell ref="J483:J484"/>
    <mergeCell ref="J507:J508"/>
    <mergeCell ref="J491:J492"/>
    <mergeCell ref="K577:K578"/>
    <mergeCell ref="J371:J372"/>
    <mergeCell ref="K371:K372"/>
    <mergeCell ref="J369:J370"/>
    <mergeCell ref="K395:K396"/>
    <mergeCell ref="K399:K400"/>
    <mergeCell ref="J391:J392"/>
    <mergeCell ref="K411:K412"/>
    <mergeCell ref="J453:J454"/>
    <mergeCell ref="K429:K430"/>
    <mergeCell ref="K417:K418"/>
    <mergeCell ref="J419:J420"/>
    <mergeCell ref="J445:J446"/>
    <mergeCell ref="J401:J402"/>
    <mergeCell ref="J441:J442"/>
    <mergeCell ref="J433:J434"/>
    <mergeCell ref="J451:J452"/>
    <mergeCell ref="K419:K420"/>
    <mergeCell ref="J415:J416"/>
    <mergeCell ref="J367:J368"/>
    <mergeCell ref="K367:K368"/>
    <mergeCell ref="J357:J358"/>
    <mergeCell ref="K359:K360"/>
    <mergeCell ref="K365:K366"/>
    <mergeCell ref="J455:J456"/>
    <mergeCell ref="J467:J468"/>
    <mergeCell ref="J501:J502"/>
    <mergeCell ref="K573:K574"/>
    <mergeCell ref="K569:K570"/>
    <mergeCell ref="K561:K562"/>
    <mergeCell ref="K567:K568"/>
    <mergeCell ref="K511:K512"/>
    <mergeCell ref="J469:J470"/>
    <mergeCell ref="J489:J490"/>
    <mergeCell ref="J513:J514"/>
    <mergeCell ref="K525:K526"/>
    <mergeCell ref="J481:J482"/>
    <mergeCell ref="K465:K466"/>
    <mergeCell ref="K455:K456"/>
    <mergeCell ref="J463:J464"/>
    <mergeCell ref="J449:J450"/>
    <mergeCell ref="J383:J384"/>
    <mergeCell ref="K383:K384"/>
    <mergeCell ref="J377:J378"/>
    <mergeCell ref="J429:J430"/>
    <mergeCell ref="J423:J424"/>
    <mergeCell ref="K441:K442"/>
    <mergeCell ref="K415:K416"/>
    <mergeCell ref="J431:J432"/>
    <mergeCell ref="K421:K422"/>
    <mergeCell ref="K451:K452"/>
    <mergeCell ref="K353:K354"/>
    <mergeCell ref="J341:J342"/>
    <mergeCell ref="K331:K332"/>
    <mergeCell ref="J351:J352"/>
    <mergeCell ref="J313:J314"/>
    <mergeCell ref="J301:J302"/>
    <mergeCell ref="J353:J354"/>
    <mergeCell ref="K305:K306"/>
    <mergeCell ref="J307:J308"/>
    <mergeCell ref="J315:J316"/>
    <mergeCell ref="J335:J336"/>
    <mergeCell ref="K445:K446"/>
    <mergeCell ref="J337:J338"/>
    <mergeCell ref="K337:K338"/>
    <mergeCell ref="J395:J396"/>
    <mergeCell ref="J359:J360"/>
    <mergeCell ref="J361:J362"/>
    <mergeCell ref="J405:J406"/>
    <mergeCell ref="J409:J410"/>
    <mergeCell ref="J427:J428"/>
    <mergeCell ref="J355:J356"/>
    <mergeCell ref="J437:J438"/>
    <mergeCell ref="K335:K336"/>
    <mergeCell ref="K329:K330"/>
    <mergeCell ref="J363:J364"/>
    <mergeCell ref="J333:J334"/>
    <mergeCell ref="K315:K316"/>
    <mergeCell ref="K313:K314"/>
    <mergeCell ref="J349:J350"/>
    <mergeCell ref="J327:J328"/>
    <mergeCell ref="J321:J322"/>
    <mergeCell ref="K321:K322"/>
    <mergeCell ref="K309:K310"/>
    <mergeCell ref="K291:K292"/>
    <mergeCell ref="K333:K334"/>
    <mergeCell ref="J329:J330"/>
    <mergeCell ref="J317:J318"/>
    <mergeCell ref="J303:J304"/>
    <mergeCell ref="J305:J306"/>
    <mergeCell ref="K299:K300"/>
    <mergeCell ref="K319:K320"/>
    <mergeCell ref="K317:K318"/>
    <mergeCell ref="J299:J300"/>
    <mergeCell ref="J311:J312"/>
    <mergeCell ref="J319:J320"/>
    <mergeCell ref="J297:J298"/>
    <mergeCell ref="J339:J340"/>
    <mergeCell ref="K311:K312"/>
    <mergeCell ref="J343:J344"/>
    <mergeCell ref="K307:K308"/>
    <mergeCell ref="J295:J296"/>
    <mergeCell ref="J293:J294"/>
    <mergeCell ref="I413:I414"/>
    <mergeCell ref="J521:J522"/>
    <mergeCell ref="J365:J366"/>
    <mergeCell ref="K349:K350"/>
    <mergeCell ref="K347:K348"/>
    <mergeCell ref="K341:K342"/>
    <mergeCell ref="K357:K358"/>
    <mergeCell ref="K327:K328"/>
    <mergeCell ref="K589:K590"/>
    <mergeCell ref="J309:J310"/>
    <mergeCell ref="J331:J332"/>
    <mergeCell ref="J561:J562"/>
    <mergeCell ref="J557:J558"/>
    <mergeCell ref="J579:J580"/>
    <mergeCell ref="J611:J612"/>
    <mergeCell ref="K351:K352"/>
    <mergeCell ref="K447:K448"/>
    <mergeCell ref="K443:K444"/>
    <mergeCell ref="K439:K440"/>
    <mergeCell ref="J517:J518"/>
    <mergeCell ref="I407:I408"/>
    <mergeCell ref="K375:K376"/>
    <mergeCell ref="K355:K356"/>
    <mergeCell ref="K339:K340"/>
    <mergeCell ref="K345:K346"/>
    <mergeCell ref="J345:J346"/>
    <mergeCell ref="J323:J324"/>
    <mergeCell ref="K361:K362"/>
    <mergeCell ref="K363:K364"/>
    <mergeCell ref="K301:K302"/>
    <mergeCell ref="I589:I590"/>
    <mergeCell ref="I585:I586"/>
    <mergeCell ref="J585:J586"/>
    <mergeCell ref="J615:J616"/>
    <mergeCell ref="J629:J630"/>
    <mergeCell ref="I639:I640"/>
    <mergeCell ref="J583:J584"/>
    <mergeCell ref="I605:I606"/>
    <mergeCell ref="I633:I634"/>
    <mergeCell ref="I661:I662"/>
    <mergeCell ref="I637:I638"/>
    <mergeCell ref="J597:J598"/>
    <mergeCell ref="I613:I614"/>
    <mergeCell ref="I645:I646"/>
    <mergeCell ref="I623:I624"/>
    <mergeCell ref="I587:I588"/>
    <mergeCell ref="J587:J588"/>
    <mergeCell ref="K671:K672"/>
    <mergeCell ref="K677:K678"/>
    <mergeCell ref="K669:K670"/>
    <mergeCell ref="K683:K684"/>
    <mergeCell ref="K699:K700"/>
    <mergeCell ref="K711:K712"/>
    <mergeCell ref="K731:K732"/>
    <mergeCell ref="K733:K734"/>
    <mergeCell ref="J685:J686"/>
    <mergeCell ref="K715:K716"/>
    <mergeCell ref="K729:K730"/>
    <mergeCell ref="K741:K742"/>
    <mergeCell ref="I677:I678"/>
    <mergeCell ref="I685:I686"/>
    <mergeCell ref="I695:I696"/>
    <mergeCell ref="I699:I700"/>
    <mergeCell ref="I669:I670"/>
    <mergeCell ref="K769:K770"/>
    <mergeCell ref="J753:J754"/>
    <mergeCell ref="K745:K746"/>
    <mergeCell ref="K735:K736"/>
    <mergeCell ref="K767:K768"/>
    <mergeCell ref="K761:K762"/>
    <mergeCell ref="I765:I766"/>
    <mergeCell ref="I689:I690"/>
    <mergeCell ref="K747:K748"/>
    <mergeCell ref="J711:J712"/>
    <mergeCell ref="J705:J706"/>
    <mergeCell ref="J699:J700"/>
    <mergeCell ref="J713:J714"/>
    <mergeCell ref="I703:I704"/>
    <mergeCell ref="K703:K704"/>
    <mergeCell ref="K719:K720"/>
    <mergeCell ref="I675:I676"/>
    <mergeCell ref="K679:K680"/>
    <mergeCell ref="J263:J264"/>
    <mergeCell ref="J255:J256"/>
    <mergeCell ref="J279:J280"/>
    <mergeCell ref="K821:K822"/>
    <mergeCell ref="K771:K772"/>
    <mergeCell ref="K775:K776"/>
    <mergeCell ref="K783:K784"/>
    <mergeCell ref="K779:K780"/>
    <mergeCell ref="I773:I774"/>
    <mergeCell ref="I771:I772"/>
    <mergeCell ref="J799:J800"/>
    <mergeCell ref="K793:K794"/>
    <mergeCell ref="K789:K790"/>
    <mergeCell ref="K773:K774"/>
    <mergeCell ref="K813:K814"/>
    <mergeCell ref="J821:J822"/>
    <mergeCell ref="K815:K816"/>
    <mergeCell ref="K777:K778"/>
    <mergeCell ref="K785:K786"/>
    <mergeCell ref="K781:K782"/>
    <mergeCell ref="I783:I784"/>
    <mergeCell ref="I777:I778"/>
    <mergeCell ref="I751:I752"/>
    <mergeCell ref="K687:K688"/>
    <mergeCell ref="K795:K796"/>
    <mergeCell ref="I775:I776"/>
    <mergeCell ref="I817:I818"/>
    <mergeCell ref="I733:I734"/>
    <mergeCell ref="J773:J774"/>
    <mergeCell ref="K763:K764"/>
    <mergeCell ref="K755:K756"/>
    <mergeCell ref="K757:K758"/>
    <mergeCell ref="K109:K110"/>
    <mergeCell ref="K103:K104"/>
    <mergeCell ref="K89:K90"/>
    <mergeCell ref="K93:K94"/>
    <mergeCell ref="K133:K134"/>
    <mergeCell ref="J125:J126"/>
    <mergeCell ref="J129:J130"/>
    <mergeCell ref="J111:J112"/>
    <mergeCell ref="K119:K120"/>
    <mergeCell ref="K111:K112"/>
    <mergeCell ref="I813:I814"/>
    <mergeCell ref="I779:I780"/>
    <mergeCell ref="I785:I786"/>
    <mergeCell ref="I761:I762"/>
    <mergeCell ref="J749:J750"/>
    <mergeCell ref="I767:I768"/>
    <mergeCell ref="I759:I760"/>
    <mergeCell ref="K753:K754"/>
    <mergeCell ref="K739:K740"/>
    <mergeCell ref="K765:K766"/>
    <mergeCell ref="J769:J770"/>
    <mergeCell ref="I117:I118"/>
    <mergeCell ref="K101:K102"/>
    <mergeCell ref="K157:K158"/>
    <mergeCell ref="K273:K274"/>
    <mergeCell ref="J253:J254"/>
    <mergeCell ref="J231:J232"/>
    <mergeCell ref="J225:J226"/>
    <mergeCell ref="K233:K234"/>
    <mergeCell ref="K247:K248"/>
    <mergeCell ref="K221:K222"/>
    <mergeCell ref="J221:J222"/>
    <mergeCell ref="B43:F44"/>
    <mergeCell ref="B45:F46"/>
    <mergeCell ref="B51:F52"/>
    <mergeCell ref="B53:F54"/>
    <mergeCell ref="K35:K36"/>
    <mergeCell ref="I41:I42"/>
    <mergeCell ref="K19:K20"/>
    <mergeCell ref="K23:K24"/>
    <mergeCell ref="J19:J20"/>
    <mergeCell ref="K51:K52"/>
    <mergeCell ref="I51:I52"/>
    <mergeCell ref="K53:K54"/>
    <mergeCell ref="H59:H60"/>
    <mergeCell ref="K59:K60"/>
    <mergeCell ref="I57:I58"/>
    <mergeCell ref="I49:I50"/>
    <mergeCell ref="K105:K106"/>
    <mergeCell ref="K91:K92"/>
    <mergeCell ref="J103:J104"/>
    <mergeCell ref="K99:K100"/>
    <mergeCell ref="I69:I70"/>
    <mergeCell ref="H35:H36"/>
    <mergeCell ref="I23:I24"/>
    <mergeCell ref="J23:J24"/>
    <mergeCell ref="J91:J92"/>
    <mergeCell ref="K87:K88"/>
    <mergeCell ref="J99:J100"/>
    <mergeCell ref="J93:J94"/>
    <mergeCell ref="J95:J96"/>
    <mergeCell ref="J105:J106"/>
    <mergeCell ref="K97:K98"/>
    <mergeCell ref="H53:H54"/>
    <mergeCell ref="G53:G54"/>
    <mergeCell ref="B113:F114"/>
    <mergeCell ref="B119:F120"/>
    <mergeCell ref="B31:F32"/>
    <mergeCell ref="G29:G30"/>
    <mergeCell ref="G51:G52"/>
    <mergeCell ref="K55:K56"/>
    <mergeCell ref="H51:H52"/>
    <mergeCell ref="H39:H40"/>
    <mergeCell ref="H55:H56"/>
    <mergeCell ref="H49:H50"/>
    <mergeCell ref="K27:K28"/>
    <mergeCell ref="B55:F56"/>
    <mergeCell ref="B59:F60"/>
    <mergeCell ref="B35:F36"/>
    <mergeCell ref="B37:F38"/>
    <mergeCell ref="G65:G66"/>
    <mergeCell ref="G43:G44"/>
    <mergeCell ref="G45:G46"/>
    <mergeCell ref="H33:H34"/>
    <mergeCell ref="K61:K62"/>
    <mergeCell ref="K31:K32"/>
    <mergeCell ref="I31:I32"/>
    <mergeCell ref="H41:H42"/>
    <mergeCell ref="K33:K34"/>
    <mergeCell ref="K57:K58"/>
    <mergeCell ref="H29:H30"/>
    <mergeCell ref="I27:I28"/>
    <mergeCell ref="B29:F30"/>
    <mergeCell ref="G61:G62"/>
    <mergeCell ref="B47:F48"/>
    <mergeCell ref="B57:F58"/>
    <mergeCell ref="I29:I30"/>
    <mergeCell ref="G35:G36"/>
    <mergeCell ref="I59:I60"/>
    <mergeCell ref="G55:G56"/>
    <mergeCell ref="H57:H58"/>
    <mergeCell ref="K219:K220"/>
    <mergeCell ref="J201:J202"/>
    <mergeCell ref="J199:J200"/>
    <mergeCell ref="J215:J216"/>
    <mergeCell ref="K213:K214"/>
    <mergeCell ref="K207:K208"/>
    <mergeCell ref="K195:K196"/>
    <mergeCell ref="J183:J184"/>
    <mergeCell ref="J185:J186"/>
    <mergeCell ref="H27:H28"/>
    <mergeCell ref="K25:K26"/>
    <mergeCell ref="B27:F28"/>
    <mergeCell ref="I33:I34"/>
    <mergeCell ref="K215:K216"/>
    <mergeCell ref="J211:J212"/>
    <mergeCell ref="K205:K206"/>
    <mergeCell ref="K209:K210"/>
    <mergeCell ref="K211:K212"/>
    <mergeCell ref="B147:F148"/>
    <mergeCell ref="J37:J38"/>
    <mergeCell ref="K43:K44"/>
    <mergeCell ref="K67:K68"/>
    <mergeCell ref="J59:J60"/>
    <mergeCell ref="K65:K66"/>
    <mergeCell ref="K63:K64"/>
    <mergeCell ref="J57:J58"/>
    <mergeCell ref="H43:H44"/>
    <mergeCell ref="I39:I40"/>
    <mergeCell ref="G33:G34"/>
    <mergeCell ref="G31:G32"/>
    <mergeCell ref="I47:I48"/>
    <mergeCell ref="J69:J70"/>
    <mergeCell ref="I75:I76"/>
    <mergeCell ref="K79:K80"/>
    <mergeCell ref="J245:J246"/>
    <mergeCell ref="J207:J208"/>
    <mergeCell ref="J227:J228"/>
    <mergeCell ref="J239:J240"/>
    <mergeCell ref="I207:I208"/>
    <mergeCell ref="I209:I210"/>
    <mergeCell ref="H47:H48"/>
    <mergeCell ref="I71:I72"/>
    <mergeCell ref="J87:J88"/>
    <mergeCell ref="I157:I158"/>
    <mergeCell ref="I147:I148"/>
    <mergeCell ref="I159:I160"/>
    <mergeCell ref="G47:G48"/>
    <mergeCell ref="H45:H46"/>
    <mergeCell ref="G37:G38"/>
    <mergeCell ref="J39:J40"/>
    <mergeCell ref="I37:I38"/>
    <mergeCell ref="I73:I74"/>
    <mergeCell ref="J135:J136"/>
    <mergeCell ref="J147:J148"/>
    <mergeCell ref="I55:I56"/>
    <mergeCell ref="J55:J56"/>
    <mergeCell ref="I53:I54"/>
    <mergeCell ref="K49:K50"/>
    <mergeCell ref="K269:K270"/>
    <mergeCell ref="K229:K230"/>
    <mergeCell ref="K227:K228"/>
    <mergeCell ref="K343:K344"/>
    <mergeCell ref="J281:J282"/>
    <mergeCell ref="J287:J288"/>
    <mergeCell ref="K217:K218"/>
    <mergeCell ref="J247:J248"/>
    <mergeCell ref="K231:K232"/>
    <mergeCell ref="K225:K226"/>
    <mergeCell ref="K255:K256"/>
    <mergeCell ref="K235:K236"/>
    <mergeCell ref="K239:K240"/>
    <mergeCell ref="J229:J230"/>
    <mergeCell ref="K303:K304"/>
    <mergeCell ref="J257:J258"/>
    <mergeCell ref="J219:J220"/>
    <mergeCell ref="K283:K284"/>
    <mergeCell ref="K253:K254"/>
    <mergeCell ref="K251:K252"/>
    <mergeCell ref="K249:K250"/>
    <mergeCell ref="K275:K276"/>
    <mergeCell ref="K259:K260"/>
    <mergeCell ref="K295:K296"/>
    <mergeCell ref="K297:K298"/>
    <mergeCell ref="K257:K258"/>
    <mergeCell ref="K277:K278"/>
    <mergeCell ref="K289:K290"/>
    <mergeCell ref="K261:K262"/>
    <mergeCell ref="J233:J234"/>
    <mergeCell ref="K245:K246"/>
    <mergeCell ref="K241:K242"/>
    <mergeCell ref="K585:K586"/>
    <mergeCell ref="K281:K282"/>
    <mergeCell ref="K325:K326"/>
    <mergeCell ref="K293:K294"/>
    <mergeCell ref="K287:K288"/>
    <mergeCell ref="K285:K286"/>
    <mergeCell ref="K263:K264"/>
    <mergeCell ref="K279:K280"/>
    <mergeCell ref="K271:K272"/>
    <mergeCell ref="K323:K324"/>
    <mergeCell ref="M551:M552"/>
    <mergeCell ref="K425:K426"/>
    <mergeCell ref="J473:J474"/>
    <mergeCell ref="J503:J504"/>
    <mergeCell ref="J485:J486"/>
    <mergeCell ref="K477:K478"/>
    <mergeCell ref="K507:K508"/>
    <mergeCell ref="K503:K504"/>
    <mergeCell ref="K481:K482"/>
    <mergeCell ref="K453:K454"/>
    <mergeCell ref="K483:K484"/>
    <mergeCell ref="K473:K474"/>
    <mergeCell ref="J475:J476"/>
    <mergeCell ref="J425:J426"/>
    <mergeCell ref="K449:K450"/>
    <mergeCell ref="K463:K464"/>
    <mergeCell ref="K431:K432"/>
    <mergeCell ref="L551:L552"/>
    <mergeCell ref="K509:K510"/>
    <mergeCell ref="J443:J444"/>
    <mergeCell ref="J439:J440"/>
    <mergeCell ref="J477:J478"/>
    <mergeCell ref="L397:L398"/>
    <mergeCell ref="K405:K406"/>
    <mergeCell ref="K435:K436"/>
    <mergeCell ref="K423:K424"/>
    <mergeCell ref="K475:K476"/>
    <mergeCell ref="K467:K468"/>
    <mergeCell ref="K491:K492"/>
    <mergeCell ref="K557:K558"/>
    <mergeCell ref="K551:K552"/>
    <mergeCell ref="K501:K502"/>
    <mergeCell ref="K459:K460"/>
    <mergeCell ref="K461:K462"/>
    <mergeCell ref="K497:K498"/>
    <mergeCell ref="K397:K398"/>
    <mergeCell ref="K485:K486"/>
    <mergeCell ref="K499:K500"/>
    <mergeCell ref="K513:K514"/>
    <mergeCell ref="K549:K550"/>
    <mergeCell ref="L549:L550"/>
    <mergeCell ref="K523:K524"/>
    <mergeCell ref="K555:K556"/>
    <mergeCell ref="L657:L658"/>
    <mergeCell ref="K885:K886"/>
    <mergeCell ref="J709:J710"/>
    <mergeCell ref="K681:K682"/>
    <mergeCell ref="K787:K788"/>
    <mergeCell ref="J801:J802"/>
    <mergeCell ref="K791:K792"/>
    <mergeCell ref="K809:K810"/>
    <mergeCell ref="K629:K630"/>
    <mergeCell ref="K693:K694"/>
    <mergeCell ref="J633:J634"/>
    <mergeCell ref="J635:J636"/>
    <mergeCell ref="J641:J642"/>
    <mergeCell ref="K749:K750"/>
    <mergeCell ref="K639:K640"/>
    <mergeCell ref="K691:K692"/>
    <mergeCell ref="K655:K656"/>
    <mergeCell ref="K667:K668"/>
    <mergeCell ref="J655:J656"/>
    <mergeCell ref="J665:J666"/>
    <mergeCell ref="J725:J726"/>
    <mergeCell ref="J723:J724"/>
    <mergeCell ref="J687:J688"/>
    <mergeCell ref="J707:J708"/>
    <mergeCell ref="J715:J716"/>
    <mergeCell ref="J701:J702"/>
    <mergeCell ref="K831:K832"/>
    <mergeCell ref="K717:K718"/>
    <mergeCell ref="K751:K752"/>
    <mergeCell ref="K737:K738"/>
    <mergeCell ref="K759:K760"/>
    <mergeCell ref="K743:K744"/>
    <mergeCell ref="K803:K804"/>
    <mergeCell ref="K865:K866"/>
    <mergeCell ref="J881:J882"/>
    <mergeCell ref="K805:K806"/>
    <mergeCell ref="K811:K812"/>
    <mergeCell ref="K825:K826"/>
    <mergeCell ref="K839:K840"/>
    <mergeCell ref="K835:K836"/>
    <mergeCell ref="K879:K880"/>
    <mergeCell ref="J847:J848"/>
    <mergeCell ref="K913:K914"/>
    <mergeCell ref="K799:K800"/>
    <mergeCell ref="K807:K808"/>
    <mergeCell ref="K801:K802"/>
    <mergeCell ref="K797:K798"/>
    <mergeCell ref="K841:K842"/>
    <mergeCell ref="K823:K824"/>
    <mergeCell ref="K819:K820"/>
    <mergeCell ref="K857:K858"/>
    <mergeCell ref="J843:J844"/>
    <mergeCell ref="K909:K910"/>
    <mergeCell ref="K991:K992"/>
    <mergeCell ref="K933:K934"/>
    <mergeCell ref="K929:K930"/>
    <mergeCell ref="J929:J930"/>
    <mergeCell ref="K921:K922"/>
    <mergeCell ref="K953:K954"/>
    <mergeCell ref="K959:K960"/>
    <mergeCell ref="K937:K938"/>
    <mergeCell ref="K859:K860"/>
    <mergeCell ref="J917:J918"/>
    <mergeCell ref="J949:J950"/>
    <mergeCell ref="K949:K950"/>
    <mergeCell ref="J871:J872"/>
    <mergeCell ref="J921:J922"/>
    <mergeCell ref="K907:K908"/>
    <mergeCell ref="K905:K906"/>
    <mergeCell ref="K899:K900"/>
    <mergeCell ref="K919:K920"/>
    <mergeCell ref="J895:J896"/>
    <mergeCell ref="K989:K990"/>
    <mergeCell ref="J913:J914"/>
    <mergeCell ref="J925:J926"/>
    <mergeCell ref="K927:K928"/>
    <mergeCell ref="J919:J920"/>
    <mergeCell ref="K951:K952"/>
    <mergeCell ref="K955:K956"/>
    <mergeCell ref="K943:K944"/>
    <mergeCell ref="J977:J978"/>
    <mergeCell ref="K979:K980"/>
    <mergeCell ref="K975:K976"/>
    <mergeCell ref="K935:K936"/>
    <mergeCell ref="J947:J948"/>
    <mergeCell ref="M905:M906"/>
    <mergeCell ref="J883:J884"/>
    <mergeCell ref="K817:K818"/>
    <mergeCell ref="J833:J834"/>
    <mergeCell ref="J827:J828"/>
    <mergeCell ref="K827:K828"/>
    <mergeCell ref="J873:J874"/>
    <mergeCell ref="K853:K854"/>
    <mergeCell ref="J839:J840"/>
    <mergeCell ref="K861:K862"/>
    <mergeCell ref="J825:J826"/>
    <mergeCell ref="J835:J836"/>
    <mergeCell ref="K881:K882"/>
    <mergeCell ref="J889:J890"/>
    <mergeCell ref="K833:K834"/>
    <mergeCell ref="J911:J912"/>
    <mergeCell ref="K903:K904"/>
    <mergeCell ref="K911:K912"/>
    <mergeCell ref="K867:K868"/>
    <mergeCell ref="K875:K876"/>
    <mergeCell ref="K891:K892"/>
    <mergeCell ref="K843:K844"/>
    <mergeCell ref="J817:J818"/>
    <mergeCell ref="N995:N996"/>
    <mergeCell ref="I827:I828"/>
    <mergeCell ref="M995:M996"/>
    <mergeCell ref="L993:L994"/>
    <mergeCell ref="K963:K964"/>
    <mergeCell ref="K851:K852"/>
    <mergeCell ref="K917:K918"/>
    <mergeCell ref="K889:K890"/>
    <mergeCell ref="J857:J858"/>
    <mergeCell ref="K869:K870"/>
    <mergeCell ref="K871:K872"/>
    <mergeCell ref="J867:J868"/>
    <mergeCell ref="I839:I840"/>
    <mergeCell ref="I843:I844"/>
    <mergeCell ref="J965:J966"/>
    <mergeCell ref="I965:I966"/>
    <mergeCell ref="K931:K932"/>
    <mergeCell ref="K923:K924"/>
    <mergeCell ref="M993:M994"/>
    <mergeCell ref="L903:L904"/>
    <mergeCell ref="L905:L906"/>
    <mergeCell ref="I833:I834"/>
    <mergeCell ref="M991:M992"/>
    <mergeCell ref="K837:K838"/>
    <mergeCell ref="L991:L992"/>
    <mergeCell ref="K925:K926"/>
    <mergeCell ref="K939:K940"/>
    <mergeCell ref="J955:J956"/>
    <mergeCell ref="K915:K916"/>
    <mergeCell ref="J953:J954"/>
    <mergeCell ref="I927:I928"/>
    <mergeCell ref="J951:J952"/>
    <mergeCell ref="G907:G908"/>
    <mergeCell ref="K845:K846"/>
    <mergeCell ref="K873:K874"/>
    <mergeCell ref="J859:J860"/>
    <mergeCell ref="K847:K848"/>
    <mergeCell ref="J869:J870"/>
    <mergeCell ref="K863:K864"/>
    <mergeCell ref="K849:K850"/>
    <mergeCell ref="I873:I874"/>
    <mergeCell ref="J865:J866"/>
    <mergeCell ref="I875:I876"/>
    <mergeCell ref="K855:K856"/>
    <mergeCell ref="J861:J862"/>
    <mergeCell ref="J849:J850"/>
    <mergeCell ref="K883:K884"/>
    <mergeCell ref="I889:I890"/>
    <mergeCell ref="I865:I866"/>
    <mergeCell ref="I861:I862"/>
    <mergeCell ref="J853:J854"/>
    <mergeCell ref="I845:I846"/>
    <mergeCell ref="K897:K898"/>
    <mergeCell ref="K887:K888"/>
    <mergeCell ref="K901:K902"/>
    <mergeCell ref="K893:K894"/>
    <mergeCell ref="K877:K878"/>
    <mergeCell ref="K895:K896"/>
    <mergeCell ref="I885:I886"/>
    <mergeCell ref="H881:H882"/>
    <mergeCell ref="I879:I880"/>
    <mergeCell ref="B869:F870"/>
    <mergeCell ref="G867:G868"/>
    <mergeCell ref="J893:J894"/>
    <mergeCell ref="G883:G884"/>
    <mergeCell ref="B867:F868"/>
    <mergeCell ref="B921:F922"/>
    <mergeCell ref="H917:H918"/>
    <mergeCell ref="G889:G890"/>
    <mergeCell ref="B901:F902"/>
    <mergeCell ref="I921:I922"/>
    <mergeCell ref="B913:F914"/>
    <mergeCell ref="H911:H912"/>
    <mergeCell ref="I911:I912"/>
    <mergeCell ref="J899:J900"/>
    <mergeCell ref="B903:F904"/>
    <mergeCell ref="B905:F906"/>
    <mergeCell ref="B909:F910"/>
    <mergeCell ref="J909:J910"/>
    <mergeCell ref="I913:I914"/>
    <mergeCell ref="G909:G910"/>
    <mergeCell ref="B889:F890"/>
    <mergeCell ref="J915:J916"/>
    <mergeCell ref="B907:F908"/>
    <mergeCell ref="I907:I908"/>
    <mergeCell ref="B883:F884"/>
    <mergeCell ref="J885:J886"/>
    <mergeCell ref="H895:H896"/>
    <mergeCell ref="G901:G902"/>
    <mergeCell ref="B911:F912"/>
    <mergeCell ref="B899:F900"/>
    <mergeCell ref="B871:F872"/>
    <mergeCell ref="G875:G876"/>
    <mergeCell ref="G927:G928"/>
    <mergeCell ref="J927:J928"/>
    <mergeCell ref="H929:H930"/>
    <mergeCell ref="H989:H990"/>
    <mergeCell ref="G957:G958"/>
    <mergeCell ref="H957:H958"/>
    <mergeCell ref="I933:I934"/>
    <mergeCell ref="B989:F990"/>
    <mergeCell ref="I957:I958"/>
    <mergeCell ref="B923:F924"/>
    <mergeCell ref="J957:J958"/>
    <mergeCell ref="H943:H944"/>
    <mergeCell ref="B925:F926"/>
    <mergeCell ref="I925:I926"/>
    <mergeCell ref="B977:F978"/>
    <mergeCell ref="G977:G978"/>
    <mergeCell ref="H977:H978"/>
    <mergeCell ref="I977:I978"/>
    <mergeCell ref="G931:G932"/>
    <mergeCell ref="H927:H928"/>
    <mergeCell ref="I931:I932"/>
    <mergeCell ref="H955:H956"/>
    <mergeCell ref="G949:G950"/>
    <mergeCell ref="H949:H950"/>
    <mergeCell ref="I949:I950"/>
    <mergeCell ref="B965:F966"/>
    <mergeCell ref="B955:F956"/>
    <mergeCell ref="J945:J946"/>
    <mergeCell ref="G929:G930"/>
    <mergeCell ref="B927:F928"/>
    <mergeCell ref="J941:J942"/>
    <mergeCell ref="H935:H936"/>
    <mergeCell ref="B929:F930"/>
    <mergeCell ref="B945:F946"/>
    <mergeCell ref="G945:G946"/>
    <mergeCell ref="I943:I944"/>
    <mergeCell ref="H953:H954"/>
    <mergeCell ref="H961:H962"/>
    <mergeCell ref="G961:G962"/>
    <mergeCell ref="I935:I936"/>
    <mergeCell ref="J933:J934"/>
    <mergeCell ref="B931:F932"/>
    <mergeCell ref="J939:J940"/>
    <mergeCell ref="H941:H942"/>
    <mergeCell ref="I941:I942"/>
    <mergeCell ref="I937:I938"/>
    <mergeCell ref="J943:J944"/>
    <mergeCell ref="I929:I930"/>
    <mergeCell ref="B941:F942"/>
    <mergeCell ref="H939:H940"/>
    <mergeCell ref="G959:G960"/>
    <mergeCell ref="H933:H934"/>
    <mergeCell ref="J931:J932"/>
    <mergeCell ref="B933:F934"/>
    <mergeCell ref="B939:F940"/>
    <mergeCell ref="G939:G940"/>
    <mergeCell ref="G965:G966"/>
    <mergeCell ref="G941:G942"/>
    <mergeCell ref="K945:K946"/>
    <mergeCell ref="G955:G956"/>
    <mergeCell ref="G937:G938"/>
    <mergeCell ref="B953:F954"/>
    <mergeCell ref="B959:F960"/>
    <mergeCell ref="I951:I952"/>
    <mergeCell ref="I959:I960"/>
    <mergeCell ref="B963:F964"/>
    <mergeCell ref="J937:J938"/>
    <mergeCell ref="K941:K942"/>
    <mergeCell ref="I939:I940"/>
    <mergeCell ref="B937:F938"/>
    <mergeCell ref="I961:I962"/>
    <mergeCell ref="I945:I946"/>
    <mergeCell ref="B979:F980"/>
    <mergeCell ref="G979:G980"/>
    <mergeCell ref="H979:H980"/>
    <mergeCell ref="I979:I980"/>
    <mergeCell ref="J979:J980"/>
    <mergeCell ref="G971:G972"/>
    <mergeCell ref="H971:H972"/>
    <mergeCell ref="K947:K948"/>
    <mergeCell ref="K957:K958"/>
    <mergeCell ref="J959:J960"/>
    <mergeCell ref="J961:J962"/>
    <mergeCell ref="K961:K962"/>
    <mergeCell ref="H947:H948"/>
    <mergeCell ref="I973:I974"/>
    <mergeCell ref="J973:J974"/>
    <mergeCell ref="K973:K974"/>
    <mergeCell ref="I947:I948"/>
    <mergeCell ref="B969:F970"/>
    <mergeCell ref="G969:G970"/>
    <mergeCell ref="I969:I970"/>
    <mergeCell ref="K969:K970"/>
    <mergeCell ref="B967:F968"/>
    <mergeCell ref="K967:K968"/>
    <mergeCell ref="B961:F962"/>
    <mergeCell ref="K965:K966"/>
    <mergeCell ref="H951:H952"/>
    <mergeCell ref="I955:I956"/>
    <mergeCell ref="I953:I954"/>
    <mergeCell ref="G925:G926"/>
    <mergeCell ref="G913:G914"/>
    <mergeCell ref="H925:H926"/>
    <mergeCell ref="G975:G976"/>
    <mergeCell ref="H975:H976"/>
    <mergeCell ref="I975:I976"/>
    <mergeCell ref="J975:J976"/>
    <mergeCell ref="G953:G954"/>
    <mergeCell ref="H931:H932"/>
    <mergeCell ref="B971:F972"/>
    <mergeCell ref="B947:F948"/>
    <mergeCell ref="B975:F976"/>
    <mergeCell ref="I971:I972"/>
    <mergeCell ref="G947:G948"/>
    <mergeCell ref="B957:F958"/>
    <mergeCell ref="G943:G944"/>
    <mergeCell ref="H945:H946"/>
    <mergeCell ref="B949:F950"/>
    <mergeCell ref="H959:H960"/>
    <mergeCell ref="H965:H966"/>
    <mergeCell ref="B951:F952"/>
    <mergeCell ref="G951:G952"/>
    <mergeCell ref="G933:G934"/>
    <mergeCell ref="B917:F918"/>
    <mergeCell ref="H921:H922"/>
    <mergeCell ref="I915:I916"/>
    <mergeCell ref="J923:J924"/>
    <mergeCell ref="B943:F944"/>
    <mergeCell ref="J935:J936"/>
    <mergeCell ref="B935:F936"/>
    <mergeCell ref="G935:G936"/>
    <mergeCell ref="H937:H938"/>
    <mergeCell ref="B857:F858"/>
    <mergeCell ref="B853:F854"/>
    <mergeCell ref="B849:F850"/>
    <mergeCell ref="B873:F874"/>
    <mergeCell ref="G853:G854"/>
    <mergeCell ref="G849:G850"/>
    <mergeCell ref="I869:I870"/>
    <mergeCell ref="I871:I872"/>
    <mergeCell ref="B891:F892"/>
    <mergeCell ref="B897:F898"/>
    <mergeCell ref="J901:J902"/>
    <mergeCell ref="I855:I856"/>
    <mergeCell ref="G863:G864"/>
    <mergeCell ref="I883:I884"/>
    <mergeCell ref="J863:J864"/>
    <mergeCell ref="J879:J880"/>
    <mergeCell ref="G871:G872"/>
    <mergeCell ref="B851:F852"/>
    <mergeCell ref="G861:G862"/>
    <mergeCell ref="B885:F886"/>
    <mergeCell ref="G899:G900"/>
    <mergeCell ref="B893:F894"/>
    <mergeCell ref="B879:F880"/>
    <mergeCell ref="B875:F876"/>
    <mergeCell ref="B887:F888"/>
    <mergeCell ref="B881:F882"/>
    <mergeCell ref="J855:J856"/>
    <mergeCell ref="B877:F878"/>
    <mergeCell ref="H887:H888"/>
    <mergeCell ref="I893:I894"/>
    <mergeCell ref="H899:H900"/>
    <mergeCell ref="I899:I900"/>
    <mergeCell ref="B895:F896"/>
    <mergeCell ref="G893:G894"/>
    <mergeCell ref="G885:G886"/>
    <mergeCell ref="H909:H910"/>
    <mergeCell ref="G873:G874"/>
    <mergeCell ref="G895:G896"/>
    <mergeCell ref="H869:H870"/>
    <mergeCell ref="B861:F862"/>
    <mergeCell ref="B919:F920"/>
    <mergeCell ref="I901:I902"/>
    <mergeCell ref="I867:I868"/>
    <mergeCell ref="H923:H924"/>
    <mergeCell ref="H893:H894"/>
    <mergeCell ref="H877:H878"/>
    <mergeCell ref="I877:I878"/>
    <mergeCell ref="J887:J888"/>
    <mergeCell ref="G869:G870"/>
    <mergeCell ref="G877:G878"/>
    <mergeCell ref="I863:I864"/>
    <mergeCell ref="H873:H874"/>
    <mergeCell ref="H883:H884"/>
    <mergeCell ref="I919:I920"/>
    <mergeCell ref="H889:H890"/>
    <mergeCell ref="G917:G918"/>
    <mergeCell ref="H885:H886"/>
    <mergeCell ref="G887:G888"/>
    <mergeCell ref="I881:I882"/>
    <mergeCell ref="H879:H880"/>
    <mergeCell ref="J877:J878"/>
    <mergeCell ref="H901:H902"/>
    <mergeCell ref="I895:I896"/>
    <mergeCell ref="H915:H916"/>
    <mergeCell ref="I909:I910"/>
    <mergeCell ref="G923:G924"/>
    <mergeCell ref="I923:I924"/>
    <mergeCell ref="G921:G922"/>
    <mergeCell ref="J875:J876"/>
    <mergeCell ref="J891:J892"/>
    <mergeCell ref="G897:G898"/>
    <mergeCell ref="H897:H898"/>
    <mergeCell ref="G919:G920"/>
    <mergeCell ref="I897:I898"/>
    <mergeCell ref="J897:J898"/>
    <mergeCell ref="H853:H854"/>
    <mergeCell ref="G865:G866"/>
    <mergeCell ref="H849:H850"/>
    <mergeCell ref="H855:H856"/>
    <mergeCell ref="H833:H834"/>
    <mergeCell ref="I859:I860"/>
    <mergeCell ref="I857:I858"/>
    <mergeCell ref="H875:H876"/>
    <mergeCell ref="G857:G858"/>
    <mergeCell ref="G839:G840"/>
    <mergeCell ref="G843:G844"/>
    <mergeCell ref="G891:G892"/>
    <mergeCell ref="H891:H892"/>
    <mergeCell ref="I891:I892"/>
    <mergeCell ref="G847:G848"/>
    <mergeCell ref="I837:I838"/>
    <mergeCell ref="H863:H864"/>
    <mergeCell ref="I847:I848"/>
    <mergeCell ref="I887:I888"/>
    <mergeCell ref="G881:G882"/>
    <mergeCell ref="G859:G860"/>
    <mergeCell ref="H867:H868"/>
    <mergeCell ref="H847:H848"/>
    <mergeCell ref="I853:I854"/>
    <mergeCell ref="I835:I836"/>
    <mergeCell ref="H807:H808"/>
    <mergeCell ref="I805:I806"/>
    <mergeCell ref="H809:H810"/>
    <mergeCell ref="I797:I798"/>
    <mergeCell ref="J829:J830"/>
    <mergeCell ref="I791:I792"/>
    <mergeCell ref="G793:G794"/>
    <mergeCell ref="I821:I822"/>
    <mergeCell ref="I809:I810"/>
    <mergeCell ref="H813:H814"/>
    <mergeCell ref="I831:I832"/>
    <mergeCell ref="I849:I850"/>
    <mergeCell ref="I823:I824"/>
    <mergeCell ref="I803:I804"/>
    <mergeCell ref="J809:J810"/>
    <mergeCell ref="J811:J812"/>
    <mergeCell ref="J797:J798"/>
    <mergeCell ref="J845:J846"/>
    <mergeCell ref="I825:I826"/>
    <mergeCell ref="I799:I800"/>
    <mergeCell ref="I749:I750"/>
    <mergeCell ref="I729:I730"/>
    <mergeCell ref="I801:I802"/>
    <mergeCell ref="J791:J792"/>
    <mergeCell ref="J805:J806"/>
    <mergeCell ref="H687:H688"/>
    <mergeCell ref="I743:I744"/>
    <mergeCell ref="J813:J814"/>
    <mergeCell ref="J785:J786"/>
    <mergeCell ref="J763:J764"/>
    <mergeCell ref="J793:J794"/>
    <mergeCell ref="I763:I764"/>
    <mergeCell ref="I787:I788"/>
    <mergeCell ref="J765:J766"/>
    <mergeCell ref="J781:J782"/>
    <mergeCell ref="J779:J780"/>
    <mergeCell ref="J777:J778"/>
    <mergeCell ref="I711:I712"/>
    <mergeCell ref="I789:I790"/>
    <mergeCell ref="I793:I794"/>
    <mergeCell ref="H763:H764"/>
    <mergeCell ref="H835:H836"/>
    <mergeCell ref="I725:I726"/>
    <mergeCell ref="J727:J728"/>
    <mergeCell ref="I747:I748"/>
    <mergeCell ref="J747:J748"/>
    <mergeCell ref="I741:I742"/>
    <mergeCell ref="I731:I732"/>
    <mergeCell ref="J757:J758"/>
    <mergeCell ref="J761:J762"/>
    <mergeCell ref="J751:J752"/>
    <mergeCell ref="I757:I758"/>
    <mergeCell ref="I727:I728"/>
    <mergeCell ref="J737:J738"/>
    <mergeCell ref="J613:J614"/>
    <mergeCell ref="I647:I648"/>
    <mergeCell ref="J697:J698"/>
    <mergeCell ref="I607:I608"/>
    <mergeCell ref="J639:J640"/>
    <mergeCell ref="J607:J608"/>
    <mergeCell ref="I719:I720"/>
    <mergeCell ref="H787:H788"/>
    <mergeCell ref="J823:J824"/>
    <mergeCell ref="J787:J788"/>
    <mergeCell ref="H843:H844"/>
    <mergeCell ref="J819:J820"/>
    <mergeCell ref="I811:I812"/>
    <mergeCell ref="I807:I808"/>
    <mergeCell ref="J807:J808"/>
    <mergeCell ref="I717:I718"/>
    <mergeCell ref="J717:J718"/>
    <mergeCell ref="J669:J670"/>
    <mergeCell ref="J667:J668"/>
    <mergeCell ref="I625:I626"/>
    <mergeCell ref="J643:J644"/>
    <mergeCell ref="I609:I610"/>
    <mergeCell ref="I663:I664"/>
    <mergeCell ref="I713:I714"/>
    <mergeCell ref="J735:J736"/>
    <mergeCell ref="I643:I644"/>
    <mergeCell ref="J721:J722"/>
    <mergeCell ref="J605:J606"/>
    <mergeCell ref="J647:J648"/>
    <mergeCell ref="I611:I612"/>
    <mergeCell ref="J679:J680"/>
    <mergeCell ref="I679:I680"/>
    <mergeCell ref="I655:I656"/>
    <mergeCell ref="H691:H692"/>
    <mergeCell ref="H665:H666"/>
    <mergeCell ref="H655:H656"/>
    <mergeCell ref="J695:J696"/>
    <mergeCell ref="H603:H604"/>
    <mergeCell ref="J625:J626"/>
    <mergeCell ref="I615:I616"/>
    <mergeCell ref="H621:H622"/>
    <mergeCell ref="H617:H618"/>
    <mergeCell ref="H623:H624"/>
    <mergeCell ref="J729:J730"/>
    <mergeCell ref="H607:H608"/>
    <mergeCell ref="H613:H614"/>
    <mergeCell ref="I631:I632"/>
    <mergeCell ref="I619:I620"/>
    <mergeCell ref="I635:I636"/>
    <mergeCell ref="H625:H626"/>
    <mergeCell ref="J609:J610"/>
    <mergeCell ref="J617:J618"/>
    <mergeCell ref="I671:I672"/>
    <mergeCell ref="I665:I666"/>
    <mergeCell ref="G677:G678"/>
    <mergeCell ref="G737:G738"/>
    <mergeCell ref="G743:G744"/>
    <mergeCell ref="G711:G712"/>
    <mergeCell ref="I681:I682"/>
    <mergeCell ref="I721:I722"/>
    <mergeCell ref="G699:G700"/>
    <mergeCell ref="H695:H696"/>
    <mergeCell ref="I735:I736"/>
    <mergeCell ref="I715:I716"/>
    <mergeCell ref="G709:G710"/>
    <mergeCell ref="H701:H702"/>
    <mergeCell ref="I709:I710"/>
    <mergeCell ref="G725:G726"/>
    <mergeCell ref="G679:G680"/>
    <mergeCell ref="G717:G718"/>
    <mergeCell ref="H743:H744"/>
    <mergeCell ref="I723:I724"/>
    <mergeCell ref="I707:I708"/>
    <mergeCell ref="I737:I738"/>
    <mergeCell ref="J771:J772"/>
    <mergeCell ref="I781:I782"/>
    <mergeCell ref="H751:H752"/>
    <mergeCell ref="I705:I706"/>
    <mergeCell ref="I697:I698"/>
    <mergeCell ref="H697:H698"/>
    <mergeCell ref="G695:G696"/>
    <mergeCell ref="H741:H742"/>
    <mergeCell ref="J745:J746"/>
    <mergeCell ref="G691:G692"/>
    <mergeCell ref="G685:G686"/>
    <mergeCell ref="H685:H686"/>
    <mergeCell ref="H689:H690"/>
    <mergeCell ref="I687:I688"/>
    <mergeCell ref="G719:G720"/>
    <mergeCell ref="G681:G682"/>
    <mergeCell ref="G727:G728"/>
    <mergeCell ref="G707:G708"/>
    <mergeCell ref="G703:G704"/>
    <mergeCell ref="J767:J768"/>
    <mergeCell ref="J759:J760"/>
    <mergeCell ref="J733:J734"/>
    <mergeCell ref="J681:J682"/>
    <mergeCell ref="H757:H758"/>
    <mergeCell ref="H761:H762"/>
    <mergeCell ref="J775:J776"/>
    <mergeCell ref="J743:J744"/>
    <mergeCell ref="I755:I756"/>
    <mergeCell ref="J755:J756"/>
    <mergeCell ref="I753:I754"/>
    <mergeCell ref="J741:J742"/>
    <mergeCell ref="J731:J732"/>
    <mergeCell ref="I561:I562"/>
    <mergeCell ref="I523:I524"/>
    <mergeCell ref="I573:I574"/>
    <mergeCell ref="I557:I558"/>
    <mergeCell ref="H547:H548"/>
    <mergeCell ref="H605:H606"/>
    <mergeCell ref="J559:J560"/>
    <mergeCell ref="H565:H566"/>
    <mergeCell ref="H563:H564"/>
    <mergeCell ref="J591:J592"/>
    <mergeCell ref="I597:I598"/>
    <mergeCell ref="I595:I596"/>
    <mergeCell ref="I599:I600"/>
    <mergeCell ref="J577:J578"/>
    <mergeCell ref="J595:J596"/>
    <mergeCell ref="J603:J604"/>
    <mergeCell ref="H557:H558"/>
    <mergeCell ref="I565:I566"/>
    <mergeCell ref="I559:I560"/>
    <mergeCell ref="I555:I556"/>
    <mergeCell ref="I553:I554"/>
    <mergeCell ref="I547:I548"/>
    <mergeCell ref="J593:J594"/>
    <mergeCell ref="I603:I604"/>
    <mergeCell ref="I563:I564"/>
    <mergeCell ref="J575:J576"/>
    <mergeCell ref="J567:J568"/>
    <mergeCell ref="J563:J564"/>
    <mergeCell ref="I593:I594"/>
    <mergeCell ref="I591:I592"/>
    <mergeCell ref="I575:I576"/>
    <mergeCell ref="J589:J590"/>
    <mergeCell ref="B783:F784"/>
    <mergeCell ref="H791:H792"/>
    <mergeCell ref="G785:G786"/>
    <mergeCell ref="H785:H786"/>
    <mergeCell ref="H783:H784"/>
    <mergeCell ref="G835:G836"/>
    <mergeCell ref="H815:H816"/>
    <mergeCell ref="G837:G838"/>
    <mergeCell ref="J789:J790"/>
    <mergeCell ref="J815:J816"/>
    <mergeCell ref="G823:G824"/>
    <mergeCell ref="G809:G810"/>
    <mergeCell ref="H811:H812"/>
    <mergeCell ref="G803:G804"/>
    <mergeCell ref="H825:H826"/>
    <mergeCell ref="H839:H840"/>
    <mergeCell ref="G811:G812"/>
    <mergeCell ref="G817:G818"/>
    <mergeCell ref="H827:H828"/>
    <mergeCell ref="G827:G828"/>
    <mergeCell ref="I815:I816"/>
    <mergeCell ref="B789:F790"/>
    <mergeCell ref="B805:F806"/>
    <mergeCell ref="B793:F794"/>
    <mergeCell ref="G825:G826"/>
    <mergeCell ref="G833:G834"/>
    <mergeCell ref="G831:G832"/>
    <mergeCell ref="G807:G808"/>
    <mergeCell ref="B1003:F1004"/>
    <mergeCell ref="G1001:G1002"/>
    <mergeCell ref="G1003:G1004"/>
    <mergeCell ref="B839:F840"/>
    <mergeCell ref="G813:G814"/>
    <mergeCell ref="H837:H838"/>
    <mergeCell ref="B863:F864"/>
    <mergeCell ref="B847:F848"/>
    <mergeCell ref="B855:F856"/>
    <mergeCell ref="B845:F846"/>
    <mergeCell ref="B999:F1000"/>
    <mergeCell ref="B817:F818"/>
    <mergeCell ref="G821:G822"/>
    <mergeCell ref="B813:F814"/>
    <mergeCell ref="I819:I820"/>
    <mergeCell ref="G879:G880"/>
    <mergeCell ref="B993:F994"/>
    <mergeCell ref="H859:H860"/>
    <mergeCell ref="H845:H846"/>
    <mergeCell ref="H841:H842"/>
    <mergeCell ref="H865:H866"/>
    <mergeCell ref="G911:G912"/>
    <mergeCell ref="H871:H872"/>
    <mergeCell ref="H857:H858"/>
    <mergeCell ref="H861:H862"/>
    <mergeCell ref="G845:G846"/>
    <mergeCell ref="B1001:F1002"/>
    <mergeCell ref="G815:G816"/>
    <mergeCell ref="B829:F830"/>
    <mergeCell ref="B859:F860"/>
    <mergeCell ref="B865:F866"/>
    <mergeCell ref="B841:F842"/>
    <mergeCell ref="L995:L996"/>
    <mergeCell ref="B995:F996"/>
    <mergeCell ref="H663:H664"/>
    <mergeCell ref="I617:I618"/>
    <mergeCell ref="B619:F620"/>
    <mergeCell ref="B599:F600"/>
    <mergeCell ref="G673:G674"/>
    <mergeCell ref="G635:G636"/>
    <mergeCell ref="G639:G640"/>
    <mergeCell ref="B745:F746"/>
    <mergeCell ref="G777:G778"/>
    <mergeCell ref="B725:F726"/>
    <mergeCell ref="B707:F708"/>
    <mergeCell ref="B703:F704"/>
    <mergeCell ref="H705:H706"/>
    <mergeCell ref="I673:I674"/>
    <mergeCell ref="H721:H722"/>
    <mergeCell ref="G735:G736"/>
    <mergeCell ref="G603:G604"/>
    <mergeCell ref="I917:I918"/>
    <mergeCell ref="G841:G842"/>
    <mergeCell ref="G791:G792"/>
    <mergeCell ref="H831:H832"/>
    <mergeCell ref="I745:I746"/>
    <mergeCell ref="G855:G856"/>
    <mergeCell ref="I701:I702"/>
    <mergeCell ref="H749:H750"/>
    <mergeCell ref="B629:F630"/>
    <mergeCell ref="B915:F916"/>
    <mergeCell ref="G915:G916"/>
    <mergeCell ref="K993:K994"/>
    <mergeCell ref="J783:J784"/>
    <mergeCell ref="K1001:K1002"/>
    <mergeCell ref="H661:H662"/>
    <mergeCell ref="I579:I580"/>
    <mergeCell ref="G597:G598"/>
    <mergeCell ref="B809:F810"/>
    <mergeCell ref="B751:F752"/>
    <mergeCell ref="G733:G734"/>
    <mergeCell ref="H731:H732"/>
    <mergeCell ref="H727:H728"/>
    <mergeCell ref="B779:F780"/>
    <mergeCell ref="B557:F558"/>
    <mergeCell ref="J565:J566"/>
    <mergeCell ref="J569:J570"/>
    <mergeCell ref="I567:I568"/>
    <mergeCell ref="B997:F998"/>
    <mergeCell ref="B481:F482"/>
    <mergeCell ref="G995:G996"/>
    <mergeCell ref="I513:I514"/>
    <mergeCell ref="H511:H512"/>
    <mergeCell ref="G505:G506"/>
    <mergeCell ref="G511:G512"/>
    <mergeCell ref="B521:F522"/>
    <mergeCell ref="I511:I512"/>
    <mergeCell ref="I519:I520"/>
    <mergeCell ref="H517:H518"/>
    <mergeCell ref="G507:G508"/>
    <mergeCell ref="B553:F554"/>
    <mergeCell ref="H519:H520"/>
    <mergeCell ref="H495:H496"/>
    <mergeCell ref="H481:H482"/>
    <mergeCell ref="H487:H488"/>
    <mergeCell ref="H507:H508"/>
    <mergeCell ref="H913:H914"/>
    <mergeCell ref="G997:G998"/>
    <mergeCell ref="B807:F808"/>
    <mergeCell ref="H821:H822"/>
    <mergeCell ref="J803:J804"/>
    <mergeCell ref="I841:I842"/>
    <mergeCell ref="I309:I310"/>
    <mergeCell ref="G559:G560"/>
    <mergeCell ref="J283:J284"/>
    <mergeCell ref="J285:J286"/>
    <mergeCell ref="B275:F276"/>
    <mergeCell ref="B991:F992"/>
    <mergeCell ref="I769:I770"/>
    <mergeCell ref="I221:I222"/>
    <mergeCell ref="I231:I232"/>
    <mergeCell ref="H221:H222"/>
    <mergeCell ref="I251:I252"/>
    <mergeCell ref="J243:J244"/>
    <mergeCell ref="J275:J276"/>
    <mergeCell ref="J261:J262"/>
    <mergeCell ref="J273:J274"/>
    <mergeCell ref="J289:J290"/>
    <mergeCell ref="B243:F244"/>
    <mergeCell ref="I371:I372"/>
    <mergeCell ref="B373:F374"/>
    <mergeCell ref="B359:F360"/>
    <mergeCell ref="B843:F844"/>
    <mergeCell ref="J841:J842"/>
    <mergeCell ref="J837:J838"/>
    <mergeCell ref="J831:J832"/>
    <mergeCell ref="B781:F782"/>
    <mergeCell ref="B791:F792"/>
    <mergeCell ref="K999:K1000"/>
    <mergeCell ref="G999:G1000"/>
    <mergeCell ref="I333:I334"/>
    <mergeCell ref="K997:K998"/>
    <mergeCell ref="I693:I694"/>
    <mergeCell ref="I691:I692"/>
    <mergeCell ref="I495:I496"/>
    <mergeCell ref="H919:H920"/>
    <mergeCell ref="B775:F776"/>
    <mergeCell ref="I621:I622"/>
    <mergeCell ref="I583:I584"/>
    <mergeCell ref="I601:I602"/>
    <mergeCell ref="G563:G564"/>
    <mergeCell ref="G567:G568"/>
    <mergeCell ref="G751:G752"/>
    <mergeCell ref="G647:G648"/>
    <mergeCell ref="I629:I630"/>
    <mergeCell ref="I351:I352"/>
    <mergeCell ref="B413:F414"/>
    <mergeCell ref="H423:H424"/>
    <mergeCell ref="I641:I642"/>
    <mergeCell ref="I453:I454"/>
    <mergeCell ref="H415:H416"/>
    <mergeCell ref="H421:H422"/>
    <mergeCell ref="I491:I492"/>
    <mergeCell ref="I487:I488"/>
    <mergeCell ref="G469:G470"/>
    <mergeCell ref="B457:F458"/>
    <mergeCell ref="I405:I406"/>
    <mergeCell ref="G359:G360"/>
    <mergeCell ref="I367:I368"/>
    <mergeCell ref="H371:H372"/>
    <mergeCell ref="J259:J260"/>
    <mergeCell ref="J269:J270"/>
    <mergeCell ref="H249:H250"/>
    <mergeCell ref="H227:H228"/>
    <mergeCell ref="B283:F284"/>
    <mergeCell ref="I211:I212"/>
    <mergeCell ref="J195:J196"/>
    <mergeCell ref="J189:J190"/>
    <mergeCell ref="I137:I138"/>
    <mergeCell ref="J171:J172"/>
    <mergeCell ref="J187:J188"/>
    <mergeCell ref="I249:I250"/>
    <mergeCell ref="I219:I220"/>
    <mergeCell ref="I225:I226"/>
    <mergeCell ref="H257:H258"/>
    <mergeCell ref="I229:I230"/>
    <mergeCell ref="I223:I224"/>
    <mergeCell ref="I227:I228"/>
    <mergeCell ref="H243:H244"/>
    <mergeCell ref="H247:H248"/>
    <mergeCell ref="H239:H240"/>
    <mergeCell ref="H237:H238"/>
    <mergeCell ref="I217:I218"/>
    <mergeCell ref="I237:I238"/>
    <mergeCell ref="I233:I234"/>
    <mergeCell ref="H275:H276"/>
    <mergeCell ref="J223:J224"/>
    <mergeCell ref="H217:H218"/>
    <mergeCell ref="G219:G220"/>
    <mergeCell ref="H253:H254"/>
    <mergeCell ref="J277:J278"/>
    <mergeCell ref="J197:J198"/>
    <mergeCell ref="J251:J252"/>
    <mergeCell ref="J209:J210"/>
    <mergeCell ref="J203:J204"/>
    <mergeCell ref="J167:J168"/>
    <mergeCell ref="J157:J158"/>
    <mergeCell ref="J193:J194"/>
    <mergeCell ref="J237:J238"/>
    <mergeCell ref="J213:J214"/>
    <mergeCell ref="J217:J218"/>
    <mergeCell ref="J205:J206"/>
    <mergeCell ref="J241:J242"/>
    <mergeCell ref="J249:J250"/>
    <mergeCell ref="K193:K194"/>
    <mergeCell ref="K197:K198"/>
    <mergeCell ref="K223:K224"/>
    <mergeCell ref="K199:K200"/>
    <mergeCell ref="K135:K136"/>
    <mergeCell ref="K153:K154"/>
    <mergeCell ref="J163:J164"/>
    <mergeCell ref="K151:K152"/>
    <mergeCell ref="J159:J160"/>
    <mergeCell ref="J151:J152"/>
    <mergeCell ref="J137:J138"/>
    <mergeCell ref="J139:J140"/>
    <mergeCell ref="K243:K244"/>
    <mergeCell ref="K203:K204"/>
    <mergeCell ref="K237:K238"/>
    <mergeCell ref="K187:K188"/>
    <mergeCell ref="K191:K192"/>
    <mergeCell ref="J145:J146"/>
    <mergeCell ref="J143:J144"/>
    <mergeCell ref="K143:K144"/>
    <mergeCell ref="K15:K16"/>
    <mergeCell ref="J33:J34"/>
    <mergeCell ref="I21:I22"/>
    <mergeCell ref="H23:H24"/>
    <mergeCell ref="H19:H20"/>
    <mergeCell ref="I19:I20"/>
    <mergeCell ref="J79:J80"/>
    <mergeCell ref="J75:J76"/>
    <mergeCell ref="H75:H76"/>
    <mergeCell ref="H31:H32"/>
    <mergeCell ref="H159:H160"/>
    <mergeCell ref="H189:H190"/>
    <mergeCell ref="I165:I166"/>
    <mergeCell ref="H125:H126"/>
    <mergeCell ref="H133:H134"/>
    <mergeCell ref="H37:H38"/>
    <mergeCell ref="K147:K148"/>
    <mergeCell ref="I149:I150"/>
    <mergeCell ref="H153:H154"/>
    <mergeCell ref="I105:I106"/>
    <mergeCell ref="K185:K186"/>
    <mergeCell ref="I175:I176"/>
    <mergeCell ref="I155:I156"/>
    <mergeCell ref="J47:J48"/>
    <mergeCell ref="K165:K166"/>
    <mergeCell ref="J181:J182"/>
    <mergeCell ref="J141:J142"/>
    <mergeCell ref="K159:K160"/>
    <mergeCell ref="K145:K146"/>
    <mergeCell ref="K45:K46"/>
    <mergeCell ref="K39:K40"/>
    <mergeCell ref="J45:J46"/>
    <mergeCell ref="I203:I204"/>
    <mergeCell ref="I161:I162"/>
    <mergeCell ref="K189:K190"/>
    <mergeCell ref="I143:I144"/>
    <mergeCell ref="J21:J22"/>
    <mergeCell ref="I61:I62"/>
    <mergeCell ref="K77:K78"/>
    <mergeCell ref="J77:J78"/>
    <mergeCell ref="I83:I84"/>
    <mergeCell ref="K155:K156"/>
    <mergeCell ref="K177:K178"/>
    <mergeCell ref="K183:K184"/>
    <mergeCell ref="J191:J192"/>
    <mergeCell ref="I185:I186"/>
    <mergeCell ref="K179:K180"/>
    <mergeCell ref="I63:I64"/>
    <mergeCell ref="I89:I90"/>
    <mergeCell ref="I191:I192"/>
    <mergeCell ref="K21:K22"/>
    <mergeCell ref="K29:K30"/>
    <mergeCell ref="J29:J30"/>
    <mergeCell ref="J51:J52"/>
    <mergeCell ref="J71:J72"/>
    <mergeCell ref="I81:I82"/>
    <mergeCell ref="K75:K76"/>
    <mergeCell ref="K41:K42"/>
    <mergeCell ref="I65:I66"/>
    <mergeCell ref="I45:I46"/>
    <mergeCell ref="I43:I44"/>
    <mergeCell ref="J41:J42"/>
    <mergeCell ref="I87:I88"/>
    <mergeCell ref="J133:J134"/>
    <mergeCell ref="J43:J44"/>
    <mergeCell ref="K149:K150"/>
    <mergeCell ref="K171:K172"/>
    <mergeCell ref="K169:K170"/>
    <mergeCell ref="K163:K164"/>
    <mergeCell ref="J149:J150"/>
    <mergeCell ref="J161:J162"/>
    <mergeCell ref="J173:J174"/>
    <mergeCell ref="J175:J176"/>
    <mergeCell ref="J177:J178"/>
    <mergeCell ref="J155:J156"/>
    <mergeCell ref="K173:K174"/>
    <mergeCell ref="K37:K38"/>
    <mergeCell ref="K17:K18"/>
    <mergeCell ref="K85:K86"/>
    <mergeCell ref="K139:K140"/>
    <mergeCell ref="K137:K138"/>
    <mergeCell ref="K129:K130"/>
    <mergeCell ref="J115:J116"/>
    <mergeCell ref="J131:J132"/>
    <mergeCell ref="K125:K126"/>
    <mergeCell ref="K113:K114"/>
    <mergeCell ref="K107:K108"/>
    <mergeCell ref="J119:J120"/>
    <mergeCell ref="J113:J114"/>
    <mergeCell ref="J109:J110"/>
    <mergeCell ref="K121:K122"/>
    <mergeCell ref="J107:J108"/>
    <mergeCell ref="K123:K124"/>
    <mergeCell ref="K141:K142"/>
    <mergeCell ref="K115:K116"/>
    <mergeCell ref="K127:K128"/>
    <mergeCell ref="K9:K10"/>
    <mergeCell ref="H9:H10"/>
    <mergeCell ref="K131:K132"/>
    <mergeCell ref="J117:J118"/>
    <mergeCell ref="K117:K118"/>
    <mergeCell ref="H105:H106"/>
    <mergeCell ref="I97:I98"/>
    <mergeCell ref="I103:I104"/>
    <mergeCell ref="H101:H102"/>
    <mergeCell ref="J85:J86"/>
    <mergeCell ref="H15:H16"/>
    <mergeCell ref="I15:I16"/>
    <mergeCell ref="J15:J16"/>
    <mergeCell ref="K175:K176"/>
    <mergeCell ref="J169:J170"/>
    <mergeCell ref="K161:K162"/>
    <mergeCell ref="K47:K48"/>
    <mergeCell ref="K13:K14"/>
    <mergeCell ref="K71:K72"/>
    <mergeCell ref="J127:J128"/>
    <mergeCell ref="J97:J98"/>
    <mergeCell ref="K95:K96"/>
    <mergeCell ref="K83:K84"/>
    <mergeCell ref="K73:K74"/>
    <mergeCell ref="K69:K70"/>
    <mergeCell ref="J63:J64"/>
    <mergeCell ref="J49:J50"/>
    <mergeCell ref="I91:I92"/>
    <mergeCell ref="H61:H62"/>
    <mergeCell ref="K11:K12"/>
    <mergeCell ref="J73:J74"/>
    <mergeCell ref="K81:K82"/>
    <mergeCell ref="I213:I214"/>
    <mergeCell ref="I205:I206"/>
    <mergeCell ref="I163:I164"/>
    <mergeCell ref="I215:I216"/>
    <mergeCell ref="K201:K202"/>
    <mergeCell ref="B179:F180"/>
    <mergeCell ref="G39:G40"/>
    <mergeCell ref="I145:I146"/>
    <mergeCell ref="I133:I134"/>
    <mergeCell ref="I141:I142"/>
    <mergeCell ref="G151:G152"/>
    <mergeCell ref="I153:I154"/>
    <mergeCell ref="H137:H138"/>
    <mergeCell ref="H69:H70"/>
    <mergeCell ref="G85:G86"/>
    <mergeCell ref="H85:H86"/>
    <mergeCell ref="G129:G130"/>
    <mergeCell ref="G137:G138"/>
    <mergeCell ref="G49:G50"/>
    <mergeCell ref="J101:J102"/>
    <mergeCell ref="J153:J154"/>
    <mergeCell ref="I111:I112"/>
    <mergeCell ref="B183:F184"/>
    <mergeCell ref="H173:H174"/>
    <mergeCell ref="I181:I182"/>
    <mergeCell ref="J165:J166"/>
    <mergeCell ref="K167:K168"/>
    <mergeCell ref="K181:K182"/>
    <mergeCell ref="I193:I194"/>
    <mergeCell ref="G173:G174"/>
    <mergeCell ref="B91:F92"/>
    <mergeCell ref="B89:F90"/>
    <mergeCell ref="J65:J66"/>
    <mergeCell ref="G71:G72"/>
    <mergeCell ref="H201:H202"/>
    <mergeCell ref="G181:G182"/>
    <mergeCell ref="I201:I202"/>
    <mergeCell ref="G183:G184"/>
    <mergeCell ref="B181:F182"/>
    <mergeCell ref="G195:G196"/>
    <mergeCell ref="B201:F202"/>
    <mergeCell ref="B165:F166"/>
    <mergeCell ref="B175:F176"/>
    <mergeCell ref="I169:I170"/>
    <mergeCell ref="H167:H168"/>
    <mergeCell ref="H175:H176"/>
    <mergeCell ref="G197:G198"/>
    <mergeCell ref="I93:I94"/>
    <mergeCell ref="I115:I116"/>
    <mergeCell ref="B127:F128"/>
    <mergeCell ref="H117:H118"/>
    <mergeCell ref="G115:G116"/>
    <mergeCell ref="G131:G132"/>
    <mergeCell ref="I139:I140"/>
    <mergeCell ref="G139:G140"/>
    <mergeCell ref="H115:H116"/>
    <mergeCell ref="G125:G126"/>
    <mergeCell ref="G133:G134"/>
    <mergeCell ref="H131:H132"/>
    <mergeCell ref="B135:F136"/>
    <mergeCell ref="B107:F108"/>
    <mergeCell ref="B123:F124"/>
    <mergeCell ref="B133:F134"/>
    <mergeCell ref="B131:F132"/>
    <mergeCell ref="J81:J82"/>
    <mergeCell ref="I99:I100"/>
    <mergeCell ref="I135:I136"/>
    <mergeCell ref="I119:I120"/>
    <mergeCell ref="G121:G122"/>
    <mergeCell ref="I129:I130"/>
    <mergeCell ref="I113:I114"/>
    <mergeCell ref="H119:H120"/>
    <mergeCell ref="I121:I122"/>
    <mergeCell ref="I125:I126"/>
    <mergeCell ref="G111:G112"/>
    <mergeCell ref="G113:G114"/>
    <mergeCell ref="I131:I132"/>
    <mergeCell ref="I127:I128"/>
    <mergeCell ref="G81:G82"/>
    <mergeCell ref="G105:G106"/>
    <mergeCell ref="G117:G118"/>
    <mergeCell ref="G89:G90"/>
    <mergeCell ref="H107:H108"/>
    <mergeCell ref="I95:I96"/>
    <mergeCell ref="I85:I86"/>
    <mergeCell ref="I101:I102"/>
    <mergeCell ref="H113:H114"/>
    <mergeCell ref="H83:H84"/>
    <mergeCell ref="J89:J90"/>
    <mergeCell ref="H121:H122"/>
    <mergeCell ref="G119:G120"/>
    <mergeCell ref="J83:J84"/>
    <mergeCell ref="J121:J122"/>
    <mergeCell ref="C3:J5"/>
    <mergeCell ref="I9:I10"/>
    <mergeCell ref="J35:J36"/>
    <mergeCell ref="J27:J28"/>
    <mergeCell ref="H21:H22"/>
    <mergeCell ref="J25:J26"/>
    <mergeCell ref="I35:I36"/>
    <mergeCell ref="J31:J32"/>
    <mergeCell ref="B13:F14"/>
    <mergeCell ref="B33:F34"/>
    <mergeCell ref="I25:I26"/>
    <mergeCell ref="D6:J7"/>
    <mergeCell ref="G9:G10"/>
    <mergeCell ref="B9:F10"/>
    <mergeCell ref="H25:H26"/>
    <mergeCell ref="B11:F12"/>
    <mergeCell ref="G15:G16"/>
    <mergeCell ref="H17:H18"/>
    <mergeCell ref="I17:I18"/>
    <mergeCell ref="B15:F16"/>
    <mergeCell ref="J17:J18"/>
    <mergeCell ref="G17:G18"/>
    <mergeCell ref="B19:F20"/>
    <mergeCell ref="G21:G22"/>
    <mergeCell ref="B17:F18"/>
    <mergeCell ref="G27:G28"/>
    <mergeCell ref="G19:G20"/>
    <mergeCell ref="B21:F22"/>
    <mergeCell ref="G23:G24"/>
    <mergeCell ref="I79:I80"/>
    <mergeCell ref="H109:H110"/>
    <mergeCell ref="H97:H98"/>
    <mergeCell ref="G41:G42"/>
    <mergeCell ref="B49:F50"/>
    <mergeCell ref="J61:J62"/>
    <mergeCell ref="G25:G26"/>
    <mergeCell ref="B25:F26"/>
    <mergeCell ref="B23:F24"/>
    <mergeCell ref="B81:F82"/>
    <mergeCell ref="I77:I78"/>
    <mergeCell ref="G57:G58"/>
    <mergeCell ref="G59:G60"/>
    <mergeCell ref="B69:F70"/>
    <mergeCell ref="B61:F62"/>
    <mergeCell ref="B63:F64"/>
    <mergeCell ref="G63:G64"/>
    <mergeCell ref="H71:H72"/>
    <mergeCell ref="G75:G76"/>
    <mergeCell ref="J53:J54"/>
    <mergeCell ref="B41:F42"/>
    <mergeCell ref="B85:F86"/>
    <mergeCell ref="B65:F66"/>
    <mergeCell ref="B79:F80"/>
    <mergeCell ref="H77:H78"/>
    <mergeCell ref="B39:F40"/>
    <mergeCell ref="G109:G110"/>
    <mergeCell ref="H87:H88"/>
    <mergeCell ref="B77:F78"/>
    <mergeCell ref="B73:F74"/>
    <mergeCell ref="G73:G74"/>
    <mergeCell ref="H65:H66"/>
    <mergeCell ref="H63:H64"/>
    <mergeCell ref="G101:G102"/>
    <mergeCell ref="B83:F84"/>
    <mergeCell ref="H81:H82"/>
    <mergeCell ref="G83:G84"/>
    <mergeCell ref="G87:G88"/>
    <mergeCell ref="B101:F102"/>
    <mergeCell ref="B111:F112"/>
    <mergeCell ref="G107:G108"/>
    <mergeCell ref="H103:H104"/>
    <mergeCell ref="B93:F94"/>
    <mergeCell ref="H99:H100"/>
    <mergeCell ref="B71:F72"/>
    <mergeCell ref="H73:H74"/>
    <mergeCell ref="B75:F76"/>
    <mergeCell ref="G79:G80"/>
    <mergeCell ref="B105:F106"/>
    <mergeCell ref="B99:F100"/>
    <mergeCell ref="G95:G96"/>
    <mergeCell ref="H89:H90"/>
    <mergeCell ref="H91:H92"/>
    <mergeCell ref="B95:F96"/>
    <mergeCell ref="H95:H96"/>
    <mergeCell ref="H93:H94"/>
    <mergeCell ref="G97:G98"/>
    <mergeCell ref="G99:G100"/>
    <mergeCell ref="B67:F68"/>
    <mergeCell ref="G77:G78"/>
    <mergeCell ref="G69:G70"/>
    <mergeCell ref="B87:F88"/>
    <mergeCell ref="H79:H80"/>
    <mergeCell ref="H111:H112"/>
    <mergeCell ref="G153:G154"/>
    <mergeCell ref="G177:G178"/>
    <mergeCell ref="H177:H178"/>
    <mergeCell ref="B145:F146"/>
    <mergeCell ref="H171:H172"/>
    <mergeCell ref="B157:F158"/>
    <mergeCell ref="B155:F156"/>
    <mergeCell ref="B153:F154"/>
    <mergeCell ref="G147:G148"/>
    <mergeCell ref="B173:F174"/>
    <mergeCell ref="G155:G156"/>
    <mergeCell ref="H169:H170"/>
    <mergeCell ref="B171:F172"/>
    <mergeCell ref="B137:F138"/>
    <mergeCell ref="H141:H142"/>
    <mergeCell ref="B139:F140"/>
    <mergeCell ref="B129:F130"/>
    <mergeCell ref="H129:H130"/>
    <mergeCell ref="H135:H136"/>
    <mergeCell ref="H143:H144"/>
    <mergeCell ref="H139:H140"/>
    <mergeCell ref="H127:H128"/>
    <mergeCell ref="H145:H146"/>
    <mergeCell ref="H149:H150"/>
    <mergeCell ref="B125:F126"/>
    <mergeCell ref="B115:F116"/>
    <mergeCell ref="B141:F142"/>
    <mergeCell ref="G145:G146"/>
    <mergeCell ref="B149:F150"/>
    <mergeCell ref="B197:F198"/>
    <mergeCell ref="B191:F192"/>
    <mergeCell ref="B163:F164"/>
    <mergeCell ref="B121:F122"/>
    <mergeCell ref="B143:F144"/>
    <mergeCell ref="G143:G144"/>
    <mergeCell ref="B169:F170"/>
    <mergeCell ref="B151:F152"/>
    <mergeCell ref="G141:G142"/>
    <mergeCell ref="G135:G136"/>
    <mergeCell ref="G127:G128"/>
    <mergeCell ref="G167:G168"/>
    <mergeCell ref="B117:F118"/>
    <mergeCell ref="G91:G92"/>
    <mergeCell ref="G93:G94"/>
    <mergeCell ref="G103:G104"/>
    <mergeCell ref="B97:F98"/>
    <mergeCell ref="B109:F110"/>
    <mergeCell ref="B103:F104"/>
    <mergeCell ref="H199:H200"/>
    <mergeCell ref="H195:H196"/>
    <mergeCell ref="G187:G188"/>
    <mergeCell ref="H163:H164"/>
    <mergeCell ref="G189:G190"/>
    <mergeCell ref="H187:H188"/>
    <mergeCell ref="B185:F186"/>
    <mergeCell ref="B161:F162"/>
    <mergeCell ref="B159:F160"/>
    <mergeCell ref="G175:G176"/>
    <mergeCell ref="H197:H198"/>
    <mergeCell ref="G199:G200"/>
    <mergeCell ref="H183:H184"/>
    <mergeCell ref="G163:G164"/>
    <mergeCell ref="G161:G162"/>
    <mergeCell ref="H161:H162"/>
    <mergeCell ref="H151:H152"/>
    <mergeCell ref="H155:H156"/>
    <mergeCell ref="H165:H166"/>
    <mergeCell ref="H181:H182"/>
    <mergeCell ref="G191:G192"/>
    <mergeCell ref="G157:G158"/>
    <mergeCell ref="G193:G194"/>
    <mergeCell ref="B195:F196"/>
    <mergeCell ref="B189:F190"/>
    <mergeCell ref="B193:F194"/>
    <mergeCell ref="B199:F200"/>
    <mergeCell ref="G201:G202"/>
    <mergeCell ref="H219:H220"/>
    <mergeCell ref="B167:F168"/>
    <mergeCell ref="G217:G218"/>
    <mergeCell ref="B211:F212"/>
    <mergeCell ref="G213:G214"/>
    <mergeCell ref="B213:F214"/>
    <mergeCell ref="H213:H214"/>
    <mergeCell ref="B177:F178"/>
    <mergeCell ref="B187:F188"/>
    <mergeCell ref="I195:I196"/>
    <mergeCell ref="H191:H192"/>
    <mergeCell ref="I177:I178"/>
    <mergeCell ref="I199:I200"/>
    <mergeCell ref="H147:H148"/>
    <mergeCell ref="I151:I152"/>
    <mergeCell ref="I171:I172"/>
    <mergeCell ref="I173:I174"/>
    <mergeCell ref="I189:I190"/>
    <mergeCell ref="I183:I184"/>
    <mergeCell ref="I187:I188"/>
    <mergeCell ref="I197:I198"/>
    <mergeCell ref="H185:H186"/>
    <mergeCell ref="G185:G186"/>
    <mergeCell ref="G165:G166"/>
    <mergeCell ref="H193:H194"/>
    <mergeCell ref="G171:G172"/>
    <mergeCell ref="G169:G170"/>
    <mergeCell ref="G149:G150"/>
    <mergeCell ref="H157:H158"/>
    <mergeCell ref="G159:G160"/>
    <mergeCell ref="I167:I168"/>
    <mergeCell ref="H231:H232"/>
    <mergeCell ref="G251:G252"/>
    <mergeCell ref="G247:G248"/>
    <mergeCell ref="G221:G222"/>
    <mergeCell ref="G225:G226"/>
    <mergeCell ref="H223:H224"/>
    <mergeCell ref="G249:G250"/>
    <mergeCell ref="G223:G224"/>
    <mergeCell ref="B221:F222"/>
    <mergeCell ref="B225:F226"/>
    <mergeCell ref="B217:F218"/>
    <mergeCell ref="G215:G216"/>
    <mergeCell ref="H215:H216"/>
    <mergeCell ref="H211:H212"/>
    <mergeCell ref="H225:H226"/>
    <mergeCell ref="G205:G206"/>
    <mergeCell ref="B209:F210"/>
    <mergeCell ref="H205:H206"/>
    <mergeCell ref="B205:F206"/>
    <mergeCell ref="B215:F216"/>
    <mergeCell ref="G211:G212"/>
    <mergeCell ref="B219:F220"/>
    <mergeCell ref="G229:G230"/>
    <mergeCell ref="H229:H230"/>
    <mergeCell ref="G207:G208"/>
    <mergeCell ref="G243:G244"/>
    <mergeCell ref="G233:G234"/>
    <mergeCell ref="B273:F274"/>
    <mergeCell ref="G273:G274"/>
    <mergeCell ref="H273:H274"/>
    <mergeCell ref="G237:G238"/>
    <mergeCell ref="H241:H242"/>
    <mergeCell ref="G287:G288"/>
    <mergeCell ref="H279:H280"/>
    <mergeCell ref="H401:H402"/>
    <mergeCell ref="B249:F250"/>
    <mergeCell ref="B207:F208"/>
    <mergeCell ref="G209:G210"/>
    <mergeCell ref="B233:F234"/>
    <mergeCell ref="B247:F248"/>
    <mergeCell ref="G275:G276"/>
    <mergeCell ref="B229:F230"/>
    <mergeCell ref="H245:H246"/>
    <mergeCell ref="B203:F204"/>
    <mergeCell ref="G203:G204"/>
    <mergeCell ref="H203:H204"/>
    <mergeCell ref="H207:H208"/>
    <mergeCell ref="H209:H210"/>
    <mergeCell ref="B223:F224"/>
    <mergeCell ref="H233:H234"/>
    <mergeCell ref="H259:H260"/>
    <mergeCell ref="B239:F240"/>
    <mergeCell ref="B231:F232"/>
    <mergeCell ref="B241:F242"/>
    <mergeCell ref="G245:G246"/>
    <mergeCell ref="G241:G242"/>
    <mergeCell ref="H251:H252"/>
    <mergeCell ref="G227:G228"/>
    <mergeCell ref="G231:G232"/>
    <mergeCell ref="B253:F254"/>
    <mergeCell ref="H255:H256"/>
    <mergeCell ref="B235:F236"/>
    <mergeCell ref="B237:F238"/>
    <mergeCell ref="B227:F228"/>
    <mergeCell ref="B411:F412"/>
    <mergeCell ref="B367:F368"/>
    <mergeCell ref="H327:H328"/>
    <mergeCell ref="G283:G284"/>
    <mergeCell ref="G341:G342"/>
    <mergeCell ref="H363:H364"/>
    <mergeCell ref="G319:G320"/>
    <mergeCell ref="H341:H342"/>
    <mergeCell ref="H321:H322"/>
    <mergeCell ref="B261:F262"/>
    <mergeCell ref="H277:H278"/>
    <mergeCell ref="G261:G262"/>
    <mergeCell ref="H261:H262"/>
    <mergeCell ref="B255:F256"/>
    <mergeCell ref="B289:F290"/>
    <mergeCell ref="G355:G356"/>
    <mergeCell ref="H355:H356"/>
    <mergeCell ref="B365:F366"/>
    <mergeCell ref="G365:G366"/>
    <mergeCell ref="H361:H362"/>
    <mergeCell ref="G407:G408"/>
    <mergeCell ref="B349:F350"/>
    <mergeCell ref="B353:F354"/>
    <mergeCell ref="B299:F300"/>
    <mergeCell ref="B329:F330"/>
    <mergeCell ref="H337:H338"/>
    <mergeCell ref="B317:F318"/>
    <mergeCell ref="B493:F494"/>
    <mergeCell ref="B477:F478"/>
    <mergeCell ref="I455:I456"/>
    <mergeCell ref="H455:H456"/>
    <mergeCell ref="B449:F450"/>
    <mergeCell ref="H451:H452"/>
    <mergeCell ref="G363:G364"/>
    <mergeCell ref="H405:H406"/>
    <mergeCell ref="H409:H410"/>
    <mergeCell ref="B415:F416"/>
    <mergeCell ref="I435:I436"/>
    <mergeCell ref="H385:H386"/>
    <mergeCell ref="I385:I386"/>
    <mergeCell ref="B395:F396"/>
    <mergeCell ref="B369:F370"/>
    <mergeCell ref="I395:I396"/>
    <mergeCell ref="B391:F392"/>
    <mergeCell ref="H425:H426"/>
    <mergeCell ref="B371:F372"/>
    <mergeCell ref="I369:I370"/>
    <mergeCell ref="B363:F364"/>
    <mergeCell ref="B385:F386"/>
    <mergeCell ref="G385:G386"/>
    <mergeCell ref="B379:F380"/>
    <mergeCell ref="G379:G380"/>
    <mergeCell ref="H379:H380"/>
    <mergeCell ref="I379:I380"/>
    <mergeCell ref="I451:I452"/>
    <mergeCell ref="H467:H468"/>
    <mergeCell ref="G431:G432"/>
    <mergeCell ref="B397:F398"/>
    <mergeCell ref="G395:G396"/>
    <mergeCell ref="G371:G372"/>
    <mergeCell ref="G401:G402"/>
    <mergeCell ref="I361:I362"/>
    <mergeCell ref="I427:I428"/>
    <mergeCell ref="G409:G410"/>
    <mergeCell ref="G425:G426"/>
    <mergeCell ref="G413:G414"/>
    <mergeCell ref="B407:F408"/>
    <mergeCell ref="B409:F410"/>
    <mergeCell ref="I363:I364"/>
    <mergeCell ref="I409:I410"/>
    <mergeCell ref="G405:G406"/>
    <mergeCell ref="G361:G362"/>
    <mergeCell ref="I507:I508"/>
    <mergeCell ref="G439:G440"/>
    <mergeCell ref="G477:G478"/>
    <mergeCell ref="H471:H472"/>
    <mergeCell ref="G437:G438"/>
    <mergeCell ref="B453:F454"/>
    <mergeCell ref="I473:I474"/>
    <mergeCell ref="G455:G456"/>
    <mergeCell ref="I493:I494"/>
    <mergeCell ref="H491:H492"/>
    <mergeCell ref="I463:I464"/>
    <mergeCell ref="I485:I486"/>
    <mergeCell ref="I469:I470"/>
    <mergeCell ref="I461:I462"/>
    <mergeCell ref="G453:G454"/>
    <mergeCell ref="I431:I432"/>
    <mergeCell ref="H445:H446"/>
    <mergeCell ref="G441:G442"/>
    <mergeCell ref="H435:H436"/>
    <mergeCell ref="I437:I438"/>
    <mergeCell ref="I445:I446"/>
    <mergeCell ref="H437:H438"/>
    <mergeCell ref="B443:F444"/>
    <mergeCell ref="B441:F442"/>
    <mergeCell ref="B439:F440"/>
    <mergeCell ref="G483:G484"/>
    <mergeCell ref="G457:G458"/>
    <mergeCell ref="G489:G490"/>
    <mergeCell ref="B465:F466"/>
    <mergeCell ref="H489:H490"/>
    <mergeCell ref="I477:I478"/>
    <mergeCell ref="H449:H450"/>
    <mergeCell ref="I269:I270"/>
    <mergeCell ref="G339:G340"/>
    <mergeCell ref="G353:G354"/>
    <mergeCell ref="H353:H354"/>
    <mergeCell ref="G295:G296"/>
    <mergeCell ref="G327:G328"/>
    <mergeCell ref="I259:I260"/>
    <mergeCell ref="H269:H270"/>
    <mergeCell ref="G259:G260"/>
    <mergeCell ref="G299:G300"/>
    <mergeCell ref="H443:H444"/>
    <mergeCell ref="I509:I510"/>
    <mergeCell ref="H497:H498"/>
    <mergeCell ref="I471:I472"/>
    <mergeCell ref="H463:H464"/>
    <mergeCell ref="G497:G498"/>
    <mergeCell ref="H493:H494"/>
    <mergeCell ref="H453:H454"/>
    <mergeCell ref="I483:I484"/>
    <mergeCell ref="H499:H500"/>
    <mergeCell ref="H473:H474"/>
    <mergeCell ref="H427:H428"/>
    <mergeCell ref="H475:H476"/>
    <mergeCell ref="G429:G430"/>
    <mergeCell ref="G503:G504"/>
    <mergeCell ref="I489:I490"/>
    <mergeCell ref="I501:I502"/>
    <mergeCell ref="H447:H448"/>
    <mergeCell ref="I465:I466"/>
    <mergeCell ref="G435:G436"/>
    <mergeCell ref="I441:I442"/>
    <mergeCell ref="G461:G462"/>
    <mergeCell ref="G391:G392"/>
    <mergeCell ref="H391:H392"/>
    <mergeCell ref="G393:G394"/>
    <mergeCell ref="H393:H394"/>
    <mergeCell ref="G367:G368"/>
    <mergeCell ref="I393:I394"/>
    <mergeCell ref="H319:H320"/>
    <mergeCell ref="I319:I320"/>
    <mergeCell ref="G315:G316"/>
    <mergeCell ref="H329:H330"/>
    <mergeCell ref="I317:I318"/>
    <mergeCell ref="H369:H370"/>
    <mergeCell ref="H357:H358"/>
    <mergeCell ref="I339:I340"/>
    <mergeCell ref="I343:I344"/>
    <mergeCell ref="G373:G374"/>
    <mergeCell ref="H373:H374"/>
    <mergeCell ref="G317:G318"/>
    <mergeCell ref="I391:I392"/>
    <mergeCell ref="G337:G338"/>
    <mergeCell ref="H335:H336"/>
    <mergeCell ref="H375:H376"/>
    <mergeCell ref="I375:I376"/>
    <mergeCell ref="H323:H324"/>
    <mergeCell ref="I345:I346"/>
    <mergeCell ref="I353:I354"/>
    <mergeCell ref="I337:I338"/>
    <mergeCell ref="H343:H344"/>
    <mergeCell ref="H351:H352"/>
    <mergeCell ref="I341:I342"/>
    <mergeCell ref="H367:H368"/>
    <mergeCell ref="I261:I262"/>
    <mergeCell ref="I323:I324"/>
    <mergeCell ref="I327:I328"/>
    <mergeCell ref="B347:F348"/>
    <mergeCell ref="B351:F352"/>
    <mergeCell ref="G351:G352"/>
    <mergeCell ref="B327:F328"/>
    <mergeCell ref="G331:G332"/>
    <mergeCell ref="B355:F356"/>
    <mergeCell ref="H299:H300"/>
    <mergeCell ref="B297:F298"/>
    <mergeCell ref="B339:F340"/>
    <mergeCell ref="I303:I304"/>
    <mergeCell ref="G301:G302"/>
    <mergeCell ref="H307:H308"/>
    <mergeCell ref="I325:I326"/>
    <mergeCell ref="H309:H310"/>
    <mergeCell ref="I315:I316"/>
    <mergeCell ref="B279:F280"/>
    <mergeCell ref="B313:F314"/>
    <mergeCell ref="H305:H306"/>
    <mergeCell ref="G297:G298"/>
    <mergeCell ref="G309:G310"/>
    <mergeCell ref="H317:H318"/>
    <mergeCell ref="G311:G312"/>
    <mergeCell ref="B311:F312"/>
    <mergeCell ref="I275:I276"/>
    <mergeCell ref="I357:I358"/>
    <mergeCell ref="G285:G286"/>
    <mergeCell ref="I299:I300"/>
    <mergeCell ref="H289:H290"/>
    <mergeCell ref="H263:H264"/>
    <mergeCell ref="I263:I264"/>
    <mergeCell ref="B285:F286"/>
    <mergeCell ref="I281:I282"/>
    <mergeCell ref="B301:F302"/>
    <mergeCell ref="I285:I286"/>
    <mergeCell ref="I297:I298"/>
    <mergeCell ref="G239:G240"/>
    <mergeCell ref="B259:F260"/>
    <mergeCell ref="B251:F252"/>
    <mergeCell ref="G255:G256"/>
    <mergeCell ref="G253:G254"/>
    <mergeCell ref="B269:F270"/>
    <mergeCell ref="B277:F278"/>
    <mergeCell ref="G289:G290"/>
    <mergeCell ref="B295:F296"/>
    <mergeCell ref="G269:G270"/>
    <mergeCell ref="G293:G294"/>
    <mergeCell ref="I245:I246"/>
    <mergeCell ref="G281:G282"/>
    <mergeCell ref="G277:G278"/>
    <mergeCell ref="I293:I294"/>
    <mergeCell ref="I295:I296"/>
    <mergeCell ref="H287:H288"/>
    <mergeCell ref="I247:I248"/>
    <mergeCell ref="I253:I254"/>
    <mergeCell ref="I257:I258"/>
    <mergeCell ref="I277:I278"/>
    <mergeCell ref="I279:I280"/>
    <mergeCell ref="H285:H286"/>
    <mergeCell ref="H293:H294"/>
    <mergeCell ref="I273:I274"/>
    <mergeCell ref="H349:H350"/>
    <mergeCell ref="H311:H312"/>
    <mergeCell ref="B335:F336"/>
    <mergeCell ref="G335:G336"/>
    <mergeCell ref="B321:F322"/>
    <mergeCell ref="G321:G322"/>
    <mergeCell ref="H325:H326"/>
    <mergeCell ref="H315:H316"/>
    <mergeCell ref="G307:G308"/>
    <mergeCell ref="G349:G350"/>
    <mergeCell ref="B325:F326"/>
    <mergeCell ref="G325:G326"/>
    <mergeCell ref="I329:I330"/>
    <mergeCell ref="H283:H284"/>
    <mergeCell ref="I335:I336"/>
    <mergeCell ref="I287:I288"/>
    <mergeCell ref="I239:I240"/>
    <mergeCell ref="G303:G304"/>
    <mergeCell ref="H303:H304"/>
    <mergeCell ref="I289:I290"/>
    <mergeCell ref="G305:G306"/>
    <mergeCell ref="B287:F288"/>
    <mergeCell ref="G257:G258"/>
    <mergeCell ref="B245:F246"/>
    <mergeCell ref="B257:F258"/>
    <mergeCell ref="I243:I244"/>
    <mergeCell ref="I255:I256"/>
    <mergeCell ref="I241:I242"/>
    <mergeCell ref="B293:F294"/>
    <mergeCell ref="I301:I302"/>
    <mergeCell ref="B263:F264"/>
    <mergeCell ref="G263:G264"/>
    <mergeCell ref="H345:H346"/>
    <mergeCell ref="B341:F342"/>
    <mergeCell ref="I331:I332"/>
    <mergeCell ref="B281:F282"/>
    <mergeCell ref="I311:I312"/>
    <mergeCell ref="G279:G280"/>
    <mergeCell ref="I313:I314"/>
    <mergeCell ref="G313:G314"/>
    <mergeCell ref="H313:H314"/>
    <mergeCell ref="B309:F310"/>
    <mergeCell ref="H301:H302"/>
    <mergeCell ref="B315:F316"/>
    <mergeCell ref="B303:F304"/>
    <mergeCell ref="B331:F332"/>
    <mergeCell ref="B323:F324"/>
    <mergeCell ref="G323:G324"/>
    <mergeCell ref="H297:H298"/>
    <mergeCell ref="B337:F338"/>
    <mergeCell ref="B305:F306"/>
    <mergeCell ref="I321:I322"/>
    <mergeCell ref="H281:H282"/>
    <mergeCell ref="I283:I284"/>
    <mergeCell ref="I305:I306"/>
    <mergeCell ref="I525:I526"/>
    <mergeCell ref="I517:I518"/>
    <mergeCell ref="B509:F510"/>
    <mergeCell ref="H407:H408"/>
    <mergeCell ref="H395:H396"/>
    <mergeCell ref="H331:H332"/>
    <mergeCell ref="G369:G370"/>
    <mergeCell ref="G343:G344"/>
    <mergeCell ref="I355:I356"/>
    <mergeCell ref="B357:F358"/>
    <mergeCell ref="G357:G358"/>
    <mergeCell ref="B345:F346"/>
    <mergeCell ref="B343:F344"/>
    <mergeCell ref="I359:I360"/>
    <mergeCell ref="H359:H360"/>
    <mergeCell ref="B361:F362"/>
    <mergeCell ref="B399:F400"/>
    <mergeCell ref="B403:F404"/>
    <mergeCell ref="G333:G334"/>
    <mergeCell ref="B333:F334"/>
    <mergeCell ref="I401:I402"/>
    <mergeCell ref="B393:F394"/>
    <mergeCell ref="B377:F378"/>
    <mergeCell ref="G377:G378"/>
    <mergeCell ref="H377:H378"/>
    <mergeCell ref="I377:I378"/>
    <mergeCell ref="B383:F384"/>
    <mergeCell ref="G383:G384"/>
    <mergeCell ref="H383:H384"/>
    <mergeCell ref="I383:I384"/>
    <mergeCell ref="H339:H340"/>
    <mergeCell ref="G345:G346"/>
    <mergeCell ref="G607:G608"/>
    <mergeCell ref="G573:G574"/>
    <mergeCell ref="B575:F576"/>
    <mergeCell ref="G617:G618"/>
    <mergeCell ref="B473:F474"/>
    <mergeCell ref="B467:F468"/>
    <mergeCell ref="B459:F460"/>
    <mergeCell ref="H461:H462"/>
    <mergeCell ref="G499:G500"/>
    <mergeCell ref="G471:G472"/>
    <mergeCell ref="I481:I482"/>
    <mergeCell ref="G485:G486"/>
    <mergeCell ref="G475:G476"/>
    <mergeCell ref="I467:I468"/>
    <mergeCell ref="I521:I522"/>
    <mergeCell ref="B581:F582"/>
    <mergeCell ref="G581:G582"/>
    <mergeCell ref="H581:H582"/>
    <mergeCell ref="G501:G502"/>
    <mergeCell ref="B529:F530"/>
    <mergeCell ref="G529:G530"/>
    <mergeCell ref="H529:H530"/>
    <mergeCell ref="I529:I530"/>
    <mergeCell ref="B489:F490"/>
    <mergeCell ref="H523:H524"/>
    <mergeCell ref="B507:F508"/>
    <mergeCell ref="I569:I570"/>
    <mergeCell ref="H503:H504"/>
    <mergeCell ref="B501:F502"/>
    <mergeCell ref="H509:H510"/>
    <mergeCell ref="B511:F512"/>
    <mergeCell ref="G495:G496"/>
    <mergeCell ref="B563:F564"/>
    <mergeCell ref="B565:F566"/>
    <mergeCell ref="B523:F524"/>
    <mergeCell ref="B535:F536"/>
    <mergeCell ref="G535:G536"/>
    <mergeCell ref="H535:H536"/>
    <mergeCell ref="B543:F544"/>
    <mergeCell ref="G543:G544"/>
    <mergeCell ref="H543:H544"/>
    <mergeCell ref="B531:F532"/>
    <mergeCell ref="G531:G532"/>
    <mergeCell ref="H531:H532"/>
    <mergeCell ref="B589:F590"/>
    <mergeCell ref="G589:G590"/>
    <mergeCell ref="H589:H590"/>
    <mergeCell ref="H573:H574"/>
    <mergeCell ref="H513:H514"/>
    <mergeCell ref="B545:F546"/>
    <mergeCell ref="G545:G546"/>
    <mergeCell ref="H545:H546"/>
    <mergeCell ref="H577:H578"/>
    <mergeCell ref="B547:F548"/>
    <mergeCell ref="G575:G576"/>
    <mergeCell ref="B515:F516"/>
    <mergeCell ref="B549:F550"/>
    <mergeCell ref="H567:H568"/>
    <mergeCell ref="H575:H576"/>
    <mergeCell ref="B555:F556"/>
    <mergeCell ref="B519:F520"/>
    <mergeCell ref="H559:H560"/>
    <mergeCell ref="G547:G548"/>
    <mergeCell ref="B561:F562"/>
    <mergeCell ref="H521:H522"/>
    <mergeCell ref="G631:G632"/>
    <mergeCell ref="H629:H630"/>
    <mergeCell ref="B611:F612"/>
    <mergeCell ref="B617:F618"/>
    <mergeCell ref="B613:F614"/>
    <mergeCell ref="B559:F560"/>
    <mergeCell ref="B569:F570"/>
    <mergeCell ref="B585:F586"/>
    <mergeCell ref="G585:G586"/>
    <mergeCell ref="H585:H586"/>
    <mergeCell ref="B577:F578"/>
    <mergeCell ref="H569:H570"/>
    <mergeCell ref="G579:G580"/>
    <mergeCell ref="H579:H580"/>
    <mergeCell ref="G593:G594"/>
    <mergeCell ref="H583:H584"/>
    <mergeCell ref="H561:H562"/>
    <mergeCell ref="G621:G622"/>
    <mergeCell ref="G591:G592"/>
    <mergeCell ref="B571:F572"/>
    <mergeCell ref="H591:H592"/>
    <mergeCell ref="G565:G566"/>
    <mergeCell ref="G721:G722"/>
    <mergeCell ref="G665:G666"/>
    <mergeCell ref="G749:G750"/>
    <mergeCell ref="G651:G652"/>
    <mergeCell ref="H651:H652"/>
    <mergeCell ref="H693:H694"/>
    <mergeCell ref="H675:H676"/>
    <mergeCell ref="H673:H674"/>
    <mergeCell ref="B659:F660"/>
    <mergeCell ref="G641:G642"/>
    <mergeCell ref="B647:F648"/>
    <mergeCell ref="B637:F638"/>
    <mergeCell ref="B597:F598"/>
    <mergeCell ref="G637:G638"/>
    <mergeCell ref="G675:G676"/>
    <mergeCell ref="G689:G690"/>
    <mergeCell ref="H745:H746"/>
    <mergeCell ref="H747:H748"/>
    <mergeCell ref="B633:F634"/>
    <mergeCell ref="B621:F622"/>
    <mergeCell ref="H599:H600"/>
    <mergeCell ref="B587:F588"/>
    <mergeCell ref="G577:G578"/>
    <mergeCell ref="G583:G584"/>
    <mergeCell ref="H597:H598"/>
    <mergeCell ref="H595:H596"/>
    <mergeCell ref="B739:F740"/>
    <mergeCell ref="H719:H720"/>
    <mergeCell ref="G619:G620"/>
    <mergeCell ref="B573:F574"/>
    <mergeCell ref="G605:G606"/>
    <mergeCell ref="H781:H782"/>
    <mergeCell ref="G789:G790"/>
    <mergeCell ref="B787:F788"/>
    <mergeCell ref="H755:H756"/>
    <mergeCell ref="G765:G766"/>
    <mergeCell ref="B755:F756"/>
    <mergeCell ref="B759:F760"/>
    <mergeCell ref="G731:G732"/>
    <mergeCell ref="B709:F710"/>
    <mergeCell ref="G693:G694"/>
    <mergeCell ref="H699:H700"/>
    <mergeCell ref="H677:H678"/>
    <mergeCell ref="H669:H670"/>
    <mergeCell ref="H639:H640"/>
    <mergeCell ref="B673:F674"/>
    <mergeCell ref="B749:F750"/>
    <mergeCell ref="H729:H730"/>
    <mergeCell ref="B689:F690"/>
    <mergeCell ref="B671:F672"/>
    <mergeCell ref="H681:H682"/>
    <mergeCell ref="B677:F678"/>
    <mergeCell ref="H645:H646"/>
    <mergeCell ref="H671:H672"/>
    <mergeCell ref="B679:F680"/>
    <mergeCell ref="H703:H704"/>
    <mergeCell ref="B695:F696"/>
    <mergeCell ref="B773:F774"/>
    <mergeCell ref="B767:F768"/>
    <mergeCell ref="B697:F698"/>
    <mergeCell ref="B705:F706"/>
    <mergeCell ref="B753:F754"/>
    <mergeCell ref="B737:F738"/>
    <mergeCell ref="B729:F730"/>
    <mergeCell ref="H735:H736"/>
    <mergeCell ref="G797:G798"/>
    <mergeCell ref="G753:G754"/>
    <mergeCell ref="G729:G730"/>
    <mergeCell ref="B763:F764"/>
    <mergeCell ref="H737:H738"/>
    <mergeCell ref="H717:H718"/>
    <mergeCell ref="B719:F720"/>
    <mergeCell ref="H753:H754"/>
    <mergeCell ref="G779:G780"/>
    <mergeCell ref="H777:H778"/>
    <mergeCell ref="B743:F744"/>
    <mergeCell ref="B831:F832"/>
    <mergeCell ref="B827:F828"/>
    <mergeCell ref="B735:F736"/>
    <mergeCell ref="B747:F748"/>
    <mergeCell ref="B757:F758"/>
    <mergeCell ref="H771:H772"/>
    <mergeCell ref="H805:H806"/>
    <mergeCell ref="G781:G782"/>
    <mergeCell ref="H797:H798"/>
    <mergeCell ref="B785:F786"/>
    <mergeCell ref="G771:G772"/>
    <mergeCell ref="B765:F766"/>
    <mergeCell ref="G763:G764"/>
    <mergeCell ref="H803:H804"/>
    <mergeCell ref="G787:G788"/>
    <mergeCell ref="H801:H802"/>
    <mergeCell ref="H789:H790"/>
    <mergeCell ref="B691:F692"/>
    <mergeCell ref="B721:F722"/>
    <mergeCell ref="G697:G698"/>
    <mergeCell ref="H725:H726"/>
    <mergeCell ref="G757:G758"/>
    <mergeCell ref="G829:G830"/>
    <mergeCell ref="H817:H818"/>
    <mergeCell ref="H819:H820"/>
    <mergeCell ref="B833:F834"/>
    <mergeCell ref="B837:F838"/>
    <mergeCell ref="H759:H760"/>
    <mergeCell ref="G805:G806"/>
    <mergeCell ref="B801:F802"/>
    <mergeCell ref="B835:F836"/>
    <mergeCell ref="B771:F772"/>
    <mergeCell ref="B803:F804"/>
    <mergeCell ref="H823:H824"/>
    <mergeCell ref="G819:G820"/>
    <mergeCell ref="H793:H794"/>
    <mergeCell ref="B797:F798"/>
    <mergeCell ref="B825:F826"/>
    <mergeCell ref="B815:F816"/>
    <mergeCell ref="G775:G776"/>
    <mergeCell ref="H769:H770"/>
    <mergeCell ref="G783:G784"/>
    <mergeCell ref="B761:F762"/>
    <mergeCell ref="B823:F824"/>
    <mergeCell ref="B795:F796"/>
    <mergeCell ref="B799:F800"/>
    <mergeCell ref="H829:H830"/>
    <mergeCell ref="H799:H800"/>
    <mergeCell ref="G801:G802"/>
    <mergeCell ref="B733:F734"/>
    <mergeCell ref="B713:F714"/>
    <mergeCell ref="B741:F742"/>
    <mergeCell ref="G773:G774"/>
    <mergeCell ref="B693:F694"/>
    <mergeCell ref="H709:H710"/>
    <mergeCell ref="G767:G768"/>
    <mergeCell ref="G701:G702"/>
    <mergeCell ref="H779:H780"/>
    <mergeCell ref="G747:G748"/>
    <mergeCell ref="H733:H734"/>
    <mergeCell ref="H713:H714"/>
    <mergeCell ref="B711:F712"/>
    <mergeCell ref="G745:G746"/>
    <mergeCell ref="G723:G724"/>
    <mergeCell ref="G799:G800"/>
    <mergeCell ref="B769:F770"/>
    <mergeCell ref="G741:G742"/>
    <mergeCell ref="H765:H766"/>
    <mergeCell ref="H767:H768"/>
    <mergeCell ref="G761:G762"/>
    <mergeCell ref="H775:H776"/>
    <mergeCell ref="B731:F732"/>
    <mergeCell ref="H711:H712"/>
    <mergeCell ref="B723:F724"/>
    <mergeCell ref="H715:H716"/>
    <mergeCell ref="B727:F728"/>
    <mergeCell ref="H707:H708"/>
    <mergeCell ref="B717:F718"/>
    <mergeCell ref="G715:G716"/>
    <mergeCell ref="H723:H724"/>
    <mergeCell ref="B701:F702"/>
    <mergeCell ref="H641:H642"/>
    <mergeCell ref="G687:G688"/>
    <mergeCell ref="B667:F668"/>
    <mergeCell ref="B603:F604"/>
    <mergeCell ref="H609:H610"/>
    <mergeCell ref="H601:H602"/>
    <mergeCell ref="H643:H644"/>
    <mergeCell ref="B645:F646"/>
    <mergeCell ref="G643:G644"/>
    <mergeCell ref="B639:F640"/>
    <mergeCell ref="G587:G588"/>
    <mergeCell ref="H587:H588"/>
    <mergeCell ref="B681:F682"/>
    <mergeCell ref="H679:H680"/>
    <mergeCell ref="B675:F676"/>
    <mergeCell ref="G667:G668"/>
    <mergeCell ref="B669:F670"/>
    <mergeCell ref="B661:F662"/>
    <mergeCell ref="B627:F628"/>
    <mergeCell ref="B595:F596"/>
    <mergeCell ref="G669:G670"/>
    <mergeCell ref="H593:H594"/>
    <mergeCell ref="G633:G634"/>
    <mergeCell ref="G625:G626"/>
    <mergeCell ref="B631:F632"/>
    <mergeCell ref="G611:G612"/>
    <mergeCell ref="H615:H616"/>
    <mergeCell ref="H633:H634"/>
    <mergeCell ref="B609:F610"/>
    <mergeCell ref="G623:G624"/>
    <mergeCell ref="B591:F592"/>
    <mergeCell ref="G613:G614"/>
    <mergeCell ref="G523:G524"/>
    <mergeCell ref="G473:G474"/>
    <mergeCell ref="H505:H506"/>
    <mergeCell ref="G463:G464"/>
    <mergeCell ref="G465:G466"/>
    <mergeCell ref="B451:F452"/>
    <mergeCell ref="B469:F470"/>
    <mergeCell ref="B505:F506"/>
    <mergeCell ref="G449:G450"/>
    <mergeCell ref="G427:G428"/>
    <mergeCell ref="I443:I444"/>
    <mergeCell ref="I425:I426"/>
    <mergeCell ref="G421:G422"/>
    <mergeCell ref="G517:G518"/>
    <mergeCell ref="B513:F514"/>
    <mergeCell ref="G445:G446"/>
    <mergeCell ref="G447:G448"/>
    <mergeCell ref="H433:H434"/>
    <mergeCell ref="B435:F436"/>
    <mergeCell ref="B437:F438"/>
    <mergeCell ref="G521:G522"/>
    <mergeCell ref="B495:F496"/>
    <mergeCell ref="B487:F488"/>
    <mergeCell ref="B517:F518"/>
    <mergeCell ref="G519:G520"/>
    <mergeCell ref="B499:F500"/>
    <mergeCell ref="H483:H484"/>
    <mergeCell ref="G493:G494"/>
    <mergeCell ref="G487:G488"/>
    <mergeCell ref="I497:I498"/>
    <mergeCell ref="I499:I500"/>
    <mergeCell ref="I503:I504"/>
    <mergeCell ref="B271:F272"/>
    <mergeCell ref="G271:G272"/>
    <mergeCell ref="H271:H272"/>
    <mergeCell ref="B291:F292"/>
    <mergeCell ref="I307:I308"/>
    <mergeCell ref="B319:F320"/>
    <mergeCell ref="H295:H296"/>
    <mergeCell ref="B307:F308"/>
    <mergeCell ref="I271:I272"/>
    <mergeCell ref="J271:J272"/>
    <mergeCell ref="K571:K572"/>
    <mergeCell ref="B431:F432"/>
    <mergeCell ref="B471:F472"/>
    <mergeCell ref="G491:G492"/>
    <mergeCell ref="H485:H486"/>
    <mergeCell ref="H479:H480"/>
    <mergeCell ref="B429:F430"/>
    <mergeCell ref="H457:H458"/>
    <mergeCell ref="J375:J376"/>
    <mergeCell ref="J325:J326"/>
    <mergeCell ref="I419:I420"/>
    <mergeCell ref="H333:H334"/>
    <mergeCell ref="G443:G444"/>
    <mergeCell ref="I429:I430"/>
    <mergeCell ref="I349:I350"/>
    <mergeCell ref="B401:F402"/>
    <mergeCell ref="G467:G468"/>
    <mergeCell ref="J525:J526"/>
    <mergeCell ref="B445:F446"/>
    <mergeCell ref="G417:G418"/>
    <mergeCell ref="B447:F448"/>
    <mergeCell ref="B427:F428"/>
    <mergeCell ref="B419:F420"/>
    <mergeCell ref="B421:F422"/>
    <mergeCell ref="B485:F486"/>
    <mergeCell ref="B475:F476"/>
    <mergeCell ref="B433:F434"/>
    <mergeCell ref="B425:F426"/>
    <mergeCell ref="H417:H418"/>
    <mergeCell ref="G419:G420"/>
    <mergeCell ref="I417:I418"/>
    <mergeCell ref="H441:H442"/>
    <mergeCell ref="H411:H412"/>
    <mergeCell ref="B417:F418"/>
    <mergeCell ref="H413:H414"/>
    <mergeCell ref="H477:H478"/>
    <mergeCell ref="B483:F484"/>
    <mergeCell ref="G481:G482"/>
    <mergeCell ref="G423:G424"/>
    <mergeCell ref="I411:I412"/>
    <mergeCell ref="G411:G412"/>
    <mergeCell ref="I423:I424"/>
    <mergeCell ref="H439:H440"/>
    <mergeCell ref="H431:H432"/>
    <mergeCell ref="I447:I448"/>
    <mergeCell ref="I479:I480"/>
    <mergeCell ref="G451:G452"/>
    <mergeCell ref="B479:F480"/>
    <mergeCell ref="G433:G434"/>
    <mergeCell ref="I439:I440"/>
    <mergeCell ref="I421:I422"/>
    <mergeCell ref="I433:I434"/>
    <mergeCell ref="H429:H430"/>
    <mergeCell ref="I457:I458"/>
    <mergeCell ref="B405:F406"/>
    <mergeCell ref="G329:G330"/>
    <mergeCell ref="B455:F456"/>
    <mergeCell ref="I667:I668"/>
    <mergeCell ref="H619:H620"/>
    <mergeCell ref="G609:G610"/>
    <mergeCell ref="H647:H648"/>
    <mergeCell ref="K391:K392"/>
    <mergeCell ref="B533:F534"/>
    <mergeCell ref="G533:G534"/>
    <mergeCell ref="H533:H534"/>
    <mergeCell ref="I533:I534"/>
    <mergeCell ref="J533:J534"/>
    <mergeCell ref="K533:K534"/>
    <mergeCell ref="K373:K374"/>
    <mergeCell ref="H365:H366"/>
    <mergeCell ref="I365:I366"/>
    <mergeCell ref="I449:I450"/>
    <mergeCell ref="G479:G480"/>
    <mergeCell ref="J573:J574"/>
    <mergeCell ref="H419:H420"/>
    <mergeCell ref="B423:F424"/>
    <mergeCell ref="B461:F462"/>
    <mergeCell ref="H465:H466"/>
    <mergeCell ref="G509:G510"/>
    <mergeCell ref="B491:F492"/>
    <mergeCell ref="H469:H470"/>
    <mergeCell ref="G415:G416"/>
    <mergeCell ref="I415:I416"/>
    <mergeCell ref="G375:G376"/>
    <mergeCell ref="K403:K404"/>
    <mergeCell ref="G661:G662"/>
    <mergeCell ref="H525:H526"/>
    <mergeCell ref="B811:F812"/>
    <mergeCell ref="B641:F642"/>
    <mergeCell ref="G655:G656"/>
    <mergeCell ref="G615:G616"/>
    <mergeCell ref="B583:F584"/>
    <mergeCell ref="G561:G562"/>
    <mergeCell ref="B593:F594"/>
    <mergeCell ref="G599:G600"/>
    <mergeCell ref="B605:F606"/>
    <mergeCell ref="B579:F580"/>
    <mergeCell ref="G759:G760"/>
    <mergeCell ref="H773:H774"/>
    <mergeCell ref="G755:G756"/>
    <mergeCell ref="B777:F778"/>
    <mergeCell ref="B715:F716"/>
    <mergeCell ref="B685:F686"/>
    <mergeCell ref="H631:H632"/>
    <mergeCell ref="B663:F664"/>
    <mergeCell ref="B643:F644"/>
    <mergeCell ref="B665:F666"/>
    <mergeCell ref="H667:H668"/>
    <mergeCell ref="G705:G706"/>
    <mergeCell ref="B699:F700"/>
    <mergeCell ref="H611:H612"/>
    <mergeCell ref="B551:F552"/>
    <mergeCell ref="B567:F568"/>
    <mergeCell ref="G595:G596"/>
    <mergeCell ref="G645:G646"/>
    <mergeCell ref="B657:F658"/>
    <mergeCell ref="B655:F656"/>
    <mergeCell ref="B635:F636"/>
    <mergeCell ref="M969:M970"/>
    <mergeCell ref="B265:F266"/>
    <mergeCell ref="G265:G266"/>
    <mergeCell ref="H265:H266"/>
    <mergeCell ref="I265:I266"/>
    <mergeCell ref="J265:J266"/>
    <mergeCell ref="K265:K266"/>
    <mergeCell ref="B267:F268"/>
    <mergeCell ref="G267:G268"/>
    <mergeCell ref="H267:H268"/>
    <mergeCell ref="I267:I268"/>
    <mergeCell ref="J267:J268"/>
    <mergeCell ref="K267:K268"/>
    <mergeCell ref="L967:L968"/>
    <mergeCell ref="I373:I374"/>
    <mergeCell ref="J373:J374"/>
    <mergeCell ref="I475:I476"/>
    <mergeCell ref="B463:F464"/>
    <mergeCell ref="I829:I830"/>
    <mergeCell ref="B687:F688"/>
    <mergeCell ref="K829:K830"/>
    <mergeCell ref="B607:F608"/>
    <mergeCell ref="B821:F822"/>
    <mergeCell ref="B819:F820"/>
    <mergeCell ref="B375:F376"/>
    <mergeCell ref="G769:G770"/>
    <mergeCell ref="G713:G714"/>
    <mergeCell ref="G663:G664"/>
    <mergeCell ref="G671:G672"/>
    <mergeCell ref="B683:F684"/>
    <mergeCell ref="B525:F526"/>
    <mergeCell ref="G525:G526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/>
  <dimension ref="A1:L62"/>
  <sheetViews>
    <sheetView showGridLines="0" view="pageBreakPreview" zoomScaleNormal="100" workbookViewId="0"/>
  </sheetViews>
  <sheetFormatPr defaultColWidth="9.109375" defaultRowHeight="13.2" x14ac:dyDescent="0.25"/>
  <cols>
    <col min="1" max="1" width="9.109375" style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88671875" style="1" customWidth="1"/>
    <col min="8" max="8" width="9.33203125" style="1" customWidth="1"/>
    <col min="9" max="10" width="9.109375" style="1"/>
    <col min="11" max="11" width="10" style="1" customWidth="1"/>
    <col min="12" max="12" width="8.88671875" customWidth="1"/>
    <col min="13" max="16384" width="9.109375" style="1"/>
  </cols>
  <sheetData>
    <row r="1" spans="2:12" ht="12" customHeight="1" x14ac:dyDescent="0.25"/>
    <row r="2" spans="2:12" ht="12" customHeight="1" x14ac:dyDescent="0.25"/>
    <row r="3" spans="2:12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2:12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2:12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2:12" ht="12" customHeight="1" x14ac:dyDescent="0.25">
      <c r="D6" s="227" t="s">
        <v>433</v>
      </c>
      <c r="E6" s="227"/>
      <c r="F6" s="227"/>
      <c r="G6" s="227"/>
      <c r="H6" s="227"/>
      <c r="I6" s="227"/>
      <c r="J6" s="227"/>
    </row>
    <row r="7" spans="2:12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2:12" ht="12" customHeight="1" x14ac:dyDescent="0.25">
      <c r="B8" s="2"/>
    </row>
    <row r="9" spans="2:12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2:12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2:12" s="45" customFormat="1" ht="8.5500000000000007" customHeight="1" x14ac:dyDescent="0.2">
      <c r="B11" s="156" t="s">
        <v>1725</v>
      </c>
      <c r="C11" s="156"/>
      <c r="D11" s="156"/>
      <c r="E11" s="156"/>
      <c r="F11" s="156"/>
      <c r="G11" s="251">
        <v>2000</v>
      </c>
      <c r="H11" s="60"/>
      <c r="I11" s="160">
        <v>92</v>
      </c>
      <c r="J11" s="56"/>
      <c r="K11" s="164">
        <v>1</v>
      </c>
      <c r="L11" s="43"/>
    </row>
    <row r="12" spans="2:12" s="45" customFormat="1" ht="8.5500000000000007" customHeight="1" x14ac:dyDescent="0.2">
      <c r="B12" s="158"/>
      <c r="C12" s="158"/>
      <c r="D12" s="158"/>
      <c r="E12" s="158"/>
      <c r="F12" s="158"/>
      <c r="G12" s="252"/>
      <c r="H12" s="61"/>
      <c r="I12" s="161"/>
      <c r="J12" s="57"/>
      <c r="K12" s="165"/>
      <c r="L12" s="43"/>
    </row>
    <row r="13" spans="2:12" s="45" customFormat="1" ht="8.5500000000000007" customHeight="1" x14ac:dyDescent="0.2">
      <c r="B13" s="156" t="s">
        <v>1725</v>
      </c>
      <c r="C13" s="156"/>
      <c r="D13" s="156"/>
      <c r="E13" s="156"/>
      <c r="F13" s="156"/>
      <c r="G13" s="251">
        <v>2004</v>
      </c>
      <c r="H13" s="60"/>
      <c r="I13" s="160"/>
      <c r="J13" s="56"/>
      <c r="K13" s="164">
        <v>3</v>
      </c>
      <c r="L13" s="43"/>
    </row>
    <row r="14" spans="2:12" s="45" customFormat="1" ht="8.5500000000000007" customHeight="1" x14ac:dyDescent="0.2">
      <c r="B14" s="158"/>
      <c r="C14" s="158"/>
      <c r="D14" s="158"/>
      <c r="E14" s="158"/>
      <c r="F14" s="158"/>
      <c r="G14" s="252"/>
      <c r="H14" s="61"/>
      <c r="I14" s="161"/>
      <c r="J14" s="57"/>
      <c r="K14" s="165"/>
      <c r="L14" s="43"/>
    </row>
    <row r="15" spans="2:12" s="45" customFormat="1" ht="8.5500000000000007" customHeight="1" x14ac:dyDescent="0.2">
      <c r="B15" s="156" t="s">
        <v>1725</v>
      </c>
      <c r="C15" s="156"/>
      <c r="D15" s="156"/>
      <c r="E15" s="156"/>
      <c r="F15" s="156"/>
      <c r="G15" s="251">
        <v>2005</v>
      </c>
      <c r="H15" s="60"/>
      <c r="I15" s="160"/>
      <c r="J15" s="56"/>
      <c r="K15" s="164">
        <v>2</v>
      </c>
      <c r="L15" s="43"/>
    </row>
    <row r="16" spans="2:12" s="45" customFormat="1" ht="8.5500000000000007" customHeight="1" x14ac:dyDescent="0.2">
      <c r="B16" s="158"/>
      <c r="C16" s="158"/>
      <c r="D16" s="158"/>
      <c r="E16" s="158"/>
      <c r="F16" s="158"/>
      <c r="G16" s="252"/>
      <c r="H16" s="61"/>
      <c r="I16" s="161"/>
      <c r="J16" s="57"/>
      <c r="K16" s="165"/>
      <c r="L16" s="43"/>
    </row>
    <row r="17" spans="2:12" s="45" customFormat="1" ht="8.5500000000000007" customHeight="1" x14ac:dyDescent="0.2">
      <c r="B17" s="156" t="s">
        <v>1726</v>
      </c>
      <c r="C17" s="156"/>
      <c r="D17" s="156"/>
      <c r="E17" s="156"/>
      <c r="F17" s="156"/>
      <c r="G17" s="251">
        <v>2000</v>
      </c>
      <c r="H17" s="60"/>
      <c r="I17" s="160">
        <v>92</v>
      </c>
      <c r="J17" s="56"/>
      <c r="K17" s="164">
        <v>3</v>
      </c>
      <c r="L17" s="43"/>
    </row>
    <row r="18" spans="2:12" s="45" customFormat="1" ht="8.5500000000000007" customHeight="1" x14ac:dyDescent="0.2">
      <c r="B18" s="158"/>
      <c r="C18" s="158"/>
      <c r="D18" s="158"/>
      <c r="E18" s="158"/>
      <c r="F18" s="158"/>
      <c r="G18" s="252"/>
      <c r="H18" s="61"/>
      <c r="I18" s="161"/>
      <c r="J18" s="57"/>
      <c r="K18" s="165"/>
      <c r="L18" s="43"/>
    </row>
    <row r="19" spans="2:12" s="45" customFormat="1" ht="8.5500000000000007" customHeight="1" x14ac:dyDescent="0.2">
      <c r="B19" s="156" t="s">
        <v>1726</v>
      </c>
      <c r="C19" s="156"/>
      <c r="D19" s="156"/>
      <c r="E19" s="156"/>
      <c r="F19" s="156"/>
      <c r="G19" s="251">
        <v>2004</v>
      </c>
      <c r="H19" s="60"/>
      <c r="I19" s="160"/>
      <c r="J19" s="56"/>
      <c r="K19" s="164">
        <v>1</v>
      </c>
      <c r="L19" s="43"/>
    </row>
    <row r="20" spans="2:12" s="45" customFormat="1" ht="8.5500000000000007" customHeight="1" x14ac:dyDescent="0.2">
      <c r="B20" s="158"/>
      <c r="C20" s="158"/>
      <c r="D20" s="158"/>
      <c r="E20" s="158"/>
      <c r="F20" s="158"/>
      <c r="G20" s="252"/>
      <c r="H20" s="61"/>
      <c r="I20" s="161"/>
      <c r="J20" s="57"/>
      <c r="K20" s="165"/>
      <c r="L20" s="43"/>
    </row>
    <row r="21" spans="2:12" s="45" customFormat="1" ht="8.5500000000000007" customHeight="1" x14ac:dyDescent="0.2">
      <c r="B21" s="156" t="s">
        <v>1726</v>
      </c>
      <c r="C21" s="156"/>
      <c r="D21" s="156"/>
      <c r="E21" s="156"/>
      <c r="F21" s="156"/>
      <c r="G21" s="251">
        <v>2005</v>
      </c>
      <c r="H21" s="60"/>
      <c r="I21" s="160"/>
      <c r="J21" s="56"/>
      <c r="K21" s="164">
        <v>1</v>
      </c>
      <c r="L21" s="43"/>
    </row>
    <row r="22" spans="2:12" s="45" customFormat="1" ht="8.5500000000000007" customHeight="1" x14ac:dyDescent="0.2">
      <c r="B22" s="158"/>
      <c r="C22" s="158"/>
      <c r="D22" s="158"/>
      <c r="E22" s="158"/>
      <c r="F22" s="158"/>
      <c r="G22" s="252"/>
      <c r="H22" s="61"/>
      <c r="I22" s="161"/>
      <c r="J22" s="57"/>
      <c r="K22" s="165"/>
      <c r="L22" s="43"/>
    </row>
    <row r="23" spans="2:12" s="45" customFormat="1" ht="8.5500000000000007" customHeight="1" x14ac:dyDescent="0.2">
      <c r="B23" s="156" t="s">
        <v>1726</v>
      </c>
      <c r="C23" s="156"/>
      <c r="D23" s="156"/>
      <c r="E23" s="156"/>
      <c r="F23" s="156"/>
      <c r="G23" s="251">
        <v>2006</v>
      </c>
      <c r="H23" s="60"/>
      <c r="I23" s="160"/>
      <c r="J23" s="56"/>
      <c r="K23" s="164">
        <v>2</v>
      </c>
      <c r="L23" s="43"/>
    </row>
    <row r="24" spans="2:12" s="45" customFormat="1" ht="8.5500000000000007" customHeight="1" x14ac:dyDescent="0.2">
      <c r="B24" s="158"/>
      <c r="C24" s="158"/>
      <c r="D24" s="158"/>
      <c r="E24" s="158"/>
      <c r="F24" s="158"/>
      <c r="G24" s="252"/>
      <c r="H24" s="61"/>
      <c r="I24" s="161"/>
      <c r="J24" s="57"/>
      <c r="K24" s="165"/>
      <c r="L24" s="43"/>
    </row>
    <row r="25" spans="2:12" s="45" customFormat="1" ht="8.5500000000000007" customHeight="1" x14ac:dyDescent="0.2">
      <c r="B25" s="156" t="s">
        <v>1483</v>
      </c>
      <c r="C25" s="156"/>
      <c r="D25" s="156"/>
      <c r="E25" s="156"/>
      <c r="F25" s="156"/>
      <c r="G25" s="251">
        <v>2007</v>
      </c>
      <c r="H25" s="304"/>
      <c r="I25" s="160"/>
      <c r="J25" s="371"/>
      <c r="K25" s="164">
        <v>1</v>
      </c>
      <c r="L25" s="43"/>
    </row>
    <row r="26" spans="2:12" s="45" customFormat="1" ht="8.5500000000000007" customHeight="1" x14ac:dyDescent="0.2">
      <c r="B26" s="158"/>
      <c r="C26" s="158"/>
      <c r="D26" s="158"/>
      <c r="E26" s="158"/>
      <c r="F26" s="158"/>
      <c r="G26" s="252"/>
      <c r="H26" s="303"/>
      <c r="I26" s="161"/>
      <c r="J26" s="372"/>
      <c r="K26" s="165"/>
      <c r="L26" s="43"/>
    </row>
    <row r="27" spans="2:12" s="45" customFormat="1" ht="8.5500000000000007" customHeight="1" x14ac:dyDescent="0.2">
      <c r="B27" s="156" t="s">
        <v>1483</v>
      </c>
      <c r="C27" s="156"/>
      <c r="D27" s="156"/>
      <c r="E27" s="156"/>
      <c r="F27" s="156"/>
      <c r="G27" s="251">
        <v>2008</v>
      </c>
      <c r="H27" s="304"/>
      <c r="I27" s="160"/>
      <c r="J27" s="371"/>
      <c r="K27" s="164">
        <v>2</v>
      </c>
      <c r="L27" s="43"/>
    </row>
    <row r="28" spans="2:12" s="45" customFormat="1" ht="8.5500000000000007" customHeight="1" x14ac:dyDescent="0.2">
      <c r="B28" s="158"/>
      <c r="C28" s="158"/>
      <c r="D28" s="158"/>
      <c r="E28" s="158"/>
      <c r="F28" s="158"/>
      <c r="G28" s="252"/>
      <c r="H28" s="303"/>
      <c r="I28" s="161"/>
      <c r="J28" s="372"/>
      <c r="K28" s="165"/>
      <c r="L28" s="43"/>
    </row>
    <row r="29" spans="2:12" s="45" customFormat="1" ht="8.5500000000000007" customHeight="1" x14ac:dyDescent="0.2">
      <c r="B29" s="156" t="s">
        <v>1483</v>
      </c>
      <c r="C29" s="156"/>
      <c r="D29" s="156"/>
      <c r="E29" s="156"/>
      <c r="F29" s="156"/>
      <c r="G29" s="251">
        <v>2010</v>
      </c>
      <c r="H29" s="304"/>
      <c r="I29" s="160"/>
      <c r="J29" s="371"/>
      <c r="K29" s="164">
        <v>1</v>
      </c>
      <c r="L29" s="43"/>
    </row>
    <row r="30" spans="2:12" s="45" customFormat="1" ht="8.5500000000000007" customHeight="1" x14ac:dyDescent="0.2">
      <c r="B30" s="158"/>
      <c r="C30" s="158"/>
      <c r="D30" s="158"/>
      <c r="E30" s="158"/>
      <c r="F30" s="158"/>
      <c r="G30" s="252"/>
      <c r="H30" s="303"/>
      <c r="I30" s="161"/>
      <c r="J30" s="372"/>
      <c r="K30" s="165"/>
      <c r="L30" s="43"/>
    </row>
    <row r="31" spans="2:12" s="45" customFormat="1" ht="8.5500000000000007" customHeight="1" x14ac:dyDescent="0.2">
      <c r="B31" s="156" t="s">
        <v>781</v>
      </c>
      <c r="C31" s="156"/>
      <c r="D31" s="156"/>
      <c r="E31" s="156"/>
      <c r="F31" s="156"/>
      <c r="G31" s="251">
        <v>2011</v>
      </c>
      <c r="H31" s="304"/>
      <c r="I31" s="160"/>
      <c r="J31" s="371"/>
      <c r="K31" s="164">
        <v>1</v>
      </c>
      <c r="L31" s="43"/>
    </row>
    <row r="32" spans="2:12" s="45" customFormat="1" ht="8.5500000000000007" customHeight="1" x14ac:dyDescent="0.2">
      <c r="B32" s="158"/>
      <c r="C32" s="158"/>
      <c r="D32" s="158"/>
      <c r="E32" s="158"/>
      <c r="F32" s="158"/>
      <c r="G32" s="252"/>
      <c r="H32" s="303"/>
      <c r="I32" s="161"/>
      <c r="J32" s="372"/>
      <c r="K32" s="165"/>
      <c r="L32" s="43"/>
    </row>
    <row r="33" spans="1:12" s="45" customFormat="1" ht="8.5500000000000007" customHeight="1" x14ac:dyDescent="0.2">
      <c r="B33" s="156" t="s">
        <v>781</v>
      </c>
      <c r="C33" s="156"/>
      <c r="D33" s="156"/>
      <c r="E33" s="156"/>
      <c r="F33" s="156"/>
      <c r="G33" s="251">
        <v>2013</v>
      </c>
      <c r="H33" s="304">
        <v>93</v>
      </c>
      <c r="I33" s="160"/>
      <c r="J33" s="371" t="s">
        <v>263</v>
      </c>
      <c r="K33" s="164">
        <v>1</v>
      </c>
      <c r="L33" s="43"/>
    </row>
    <row r="34" spans="1:12" s="45" customFormat="1" ht="8.5500000000000007" customHeight="1" x14ac:dyDescent="0.2">
      <c r="B34" s="158"/>
      <c r="C34" s="158"/>
      <c r="D34" s="158"/>
      <c r="E34" s="158"/>
      <c r="F34" s="158"/>
      <c r="G34" s="252"/>
      <c r="H34" s="303"/>
      <c r="I34" s="161"/>
      <c r="J34" s="372"/>
      <c r="K34" s="165"/>
      <c r="L34" s="43"/>
    </row>
    <row r="35" spans="1:12" s="45" customFormat="1" ht="8.5500000000000007" customHeight="1" x14ac:dyDescent="0.2">
      <c r="B35" s="156" t="s">
        <v>781</v>
      </c>
      <c r="C35" s="156"/>
      <c r="D35" s="156"/>
      <c r="E35" s="156"/>
      <c r="F35" s="156"/>
      <c r="G35" s="251">
        <v>2017</v>
      </c>
      <c r="H35" s="304" t="s">
        <v>1579</v>
      </c>
      <c r="I35" s="160"/>
      <c r="J35" s="371" t="s">
        <v>1578</v>
      </c>
      <c r="K35" s="164">
        <v>3</v>
      </c>
      <c r="L35" s="43"/>
    </row>
    <row r="36" spans="1:12" s="45" customFormat="1" ht="8.5500000000000007" customHeight="1" x14ac:dyDescent="0.2">
      <c r="B36" s="158"/>
      <c r="C36" s="158"/>
      <c r="D36" s="158"/>
      <c r="E36" s="158"/>
      <c r="F36" s="158"/>
      <c r="G36" s="252"/>
      <c r="H36" s="303"/>
      <c r="I36" s="161"/>
      <c r="J36" s="372"/>
      <c r="K36" s="165"/>
      <c r="L36" s="43"/>
    </row>
    <row r="37" spans="1:12" s="45" customFormat="1" ht="8.5500000000000007" customHeight="1" x14ac:dyDescent="0.2">
      <c r="B37" s="156" t="s">
        <v>887</v>
      </c>
      <c r="C37" s="156"/>
      <c r="D37" s="156"/>
      <c r="E37" s="156"/>
      <c r="F37" s="156"/>
      <c r="G37" s="251">
        <v>2010</v>
      </c>
      <c r="H37" s="304"/>
      <c r="I37" s="160"/>
      <c r="J37" s="371"/>
      <c r="K37" s="164">
        <v>1</v>
      </c>
      <c r="L37" s="43"/>
    </row>
    <row r="38" spans="1:12" s="45" customFormat="1" ht="8.5500000000000007" customHeight="1" x14ac:dyDescent="0.2">
      <c r="B38" s="158"/>
      <c r="C38" s="158"/>
      <c r="D38" s="158"/>
      <c r="E38" s="158"/>
      <c r="F38" s="158"/>
      <c r="G38" s="252"/>
      <c r="H38" s="303"/>
      <c r="I38" s="161"/>
      <c r="J38" s="372"/>
      <c r="K38" s="165"/>
      <c r="L38" s="43"/>
    </row>
    <row r="39" spans="1:12" s="45" customFormat="1" ht="8.5500000000000007" customHeight="1" x14ac:dyDescent="0.2">
      <c r="B39" s="201" t="s">
        <v>1452</v>
      </c>
      <c r="C39" s="201"/>
      <c r="D39" s="201"/>
      <c r="E39" s="201"/>
      <c r="F39" s="157"/>
      <c r="G39" s="251">
        <v>2016</v>
      </c>
      <c r="H39" s="304"/>
      <c r="I39" s="305"/>
      <c r="J39" s="302"/>
      <c r="K39" s="164">
        <v>1</v>
      </c>
      <c r="L39" s="43"/>
    </row>
    <row r="40" spans="1:12" s="45" customFormat="1" ht="8.5500000000000007" customHeight="1" x14ac:dyDescent="0.2">
      <c r="B40" s="158"/>
      <c r="C40" s="158"/>
      <c r="D40" s="158"/>
      <c r="E40" s="158"/>
      <c r="F40" s="159"/>
      <c r="G40" s="252"/>
      <c r="H40" s="303"/>
      <c r="I40" s="306"/>
      <c r="J40" s="338"/>
      <c r="K40" s="165"/>
      <c r="L40" s="43"/>
    </row>
    <row r="41" spans="1:12" s="45" customFormat="1" ht="8.5500000000000007" customHeight="1" x14ac:dyDescent="0.2">
      <c r="B41" s="156" t="s">
        <v>1349</v>
      </c>
      <c r="C41" s="156"/>
      <c r="D41" s="156"/>
      <c r="E41" s="156"/>
      <c r="F41" s="156"/>
      <c r="G41" s="251">
        <v>2019</v>
      </c>
      <c r="H41" s="304">
        <v>96</v>
      </c>
      <c r="I41" s="160"/>
      <c r="J41" s="371" t="s">
        <v>1580</v>
      </c>
      <c r="K41" s="164">
        <v>2</v>
      </c>
      <c r="L41" s="43"/>
    </row>
    <row r="42" spans="1:12" s="45" customFormat="1" ht="8.5500000000000007" customHeight="1" x14ac:dyDescent="0.2">
      <c r="B42" s="158"/>
      <c r="C42" s="158"/>
      <c r="D42" s="158"/>
      <c r="E42" s="158"/>
      <c r="F42" s="158"/>
      <c r="G42" s="252"/>
      <c r="H42" s="303"/>
      <c r="I42" s="161"/>
      <c r="J42" s="372"/>
      <c r="K42" s="165"/>
      <c r="L42" s="43"/>
    </row>
    <row r="43" spans="1:12" s="45" customFormat="1" ht="8.5500000000000007" customHeight="1" x14ac:dyDescent="0.2">
      <c r="A43" s="43"/>
      <c r="B43" s="170" t="s">
        <v>798</v>
      </c>
      <c r="C43" s="170"/>
      <c r="D43" s="170"/>
      <c r="E43" s="170"/>
      <c r="F43" s="170"/>
      <c r="G43" s="47"/>
      <c r="H43" s="47"/>
      <c r="I43" s="48"/>
      <c r="J43" s="48"/>
      <c r="K43" s="224">
        <v>26</v>
      </c>
      <c r="L43" s="43"/>
    </row>
    <row r="44" spans="1:12" s="45" customFormat="1" ht="8.5500000000000007" customHeight="1" x14ac:dyDescent="0.2">
      <c r="A44" s="43"/>
      <c r="B44" s="171"/>
      <c r="C44" s="171"/>
      <c r="D44" s="171"/>
      <c r="E44" s="171"/>
      <c r="F44" s="171"/>
      <c r="G44" s="54"/>
      <c r="H44" s="54"/>
      <c r="I44" s="49"/>
      <c r="J44" s="49"/>
      <c r="K44" s="225"/>
      <c r="L44" s="43"/>
    </row>
    <row r="45" spans="1:12" ht="8.5500000000000007" customHeight="1" x14ac:dyDescent="0.25">
      <c r="B45" s="361"/>
      <c r="C45" s="355"/>
      <c r="D45" s="355"/>
      <c r="E45" s="355"/>
      <c r="F45" s="373"/>
      <c r="G45" s="352"/>
      <c r="H45" s="375"/>
      <c r="I45" s="26"/>
      <c r="J45" s="377"/>
      <c r="L45" s="366">
        <f>SUM(K11:K42)</f>
        <v>26</v>
      </c>
    </row>
    <row r="46" spans="1:12" ht="12.6" x14ac:dyDescent="0.25">
      <c r="B46" s="356"/>
      <c r="C46" s="356"/>
      <c r="D46" s="356"/>
      <c r="E46" s="356"/>
      <c r="F46" s="374"/>
      <c r="G46" s="353"/>
      <c r="H46" s="376"/>
      <c r="I46" s="27"/>
      <c r="J46" s="376"/>
      <c r="L46" s="360"/>
    </row>
    <row r="47" spans="1:12" x14ac:dyDescent="0.25">
      <c r="H47" s="8"/>
      <c r="K47" s="7"/>
    </row>
    <row r="48" spans="1:12" x14ac:dyDescent="0.25">
      <c r="H48" s="8"/>
      <c r="K48" s="9"/>
    </row>
    <row r="49" spans="8:8" x14ac:dyDescent="0.25">
      <c r="H49" s="8"/>
    </row>
    <row r="50" spans="8:8" x14ac:dyDescent="0.25">
      <c r="H50" s="8"/>
    </row>
    <row r="51" spans="8:8" x14ac:dyDescent="0.25">
      <c r="H51" s="8"/>
    </row>
    <row r="52" spans="8:8" x14ac:dyDescent="0.25">
      <c r="H52" s="8"/>
    </row>
    <row r="53" spans="8:8" x14ac:dyDescent="0.25">
      <c r="H53" s="8"/>
    </row>
    <row r="54" spans="8:8" x14ac:dyDescent="0.25">
      <c r="H54" s="8"/>
    </row>
    <row r="55" spans="8:8" x14ac:dyDescent="0.25">
      <c r="H55" s="8"/>
    </row>
    <row r="56" spans="8:8" x14ac:dyDescent="0.25">
      <c r="H56" s="8"/>
    </row>
    <row r="57" spans="8:8" x14ac:dyDescent="0.25">
      <c r="H57" s="8"/>
    </row>
    <row r="58" spans="8:8" x14ac:dyDescent="0.25">
      <c r="H58" s="8"/>
    </row>
    <row r="59" spans="8:8" x14ac:dyDescent="0.25">
      <c r="H59" s="8"/>
    </row>
    <row r="60" spans="8:8" x14ac:dyDescent="0.25">
      <c r="H60" s="8"/>
    </row>
    <row r="61" spans="8:8" x14ac:dyDescent="0.25">
      <c r="H61" s="8"/>
    </row>
    <row r="62" spans="8:8" x14ac:dyDescent="0.25">
      <c r="H62" s="8"/>
    </row>
  </sheetData>
  <autoFilter ref="B3:L62" xr:uid="{00000000-0009-0000-0000-000009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96">
    <mergeCell ref="K23:K24"/>
    <mergeCell ref="K17:K18"/>
    <mergeCell ref="B19:F20"/>
    <mergeCell ref="G19:G20"/>
    <mergeCell ref="I19:I20"/>
    <mergeCell ref="K19:K20"/>
    <mergeCell ref="B21:F22"/>
    <mergeCell ref="G21:G22"/>
    <mergeCell ref="I21:I22"/>
    <mergeCell ref="K21:K22"/>
    <mergeCell ref="B23:F24"/>
    <mergeCell ref="G23:G24"/>
    <mergeCell ref="I23:I24"/>
    <mergeCell ref="C3:J5"/>
    <mergeCell ref="D6:J7"/>
    <mergeCell ref="B11:F12"/>
    <mergeCell ref="G11:G12"/>
    <mergeCell ref="B15:F16"/>
    <mergeCell ref="G15:G16"/>
    <mergeCell ref="I11:I12"/>
    <mergeCell ref="I15:I16"/>
    <mergeCell ref="I9:I10"/>
    <mergeCell ref="B13:F14"/>
    <mergeCell ref="G13:G14"/>
    <mergeCell ref="I13:I14"/>
    <mergeCell ref="B9:F10"/>
    <mergeCell ref="G9:G10"/>
    <mergeCell ref="H9:H10"/>
    <mergeCell ref="B43:F44"/>
    <mergeCell ref="K43:K44"/>
    <mergeCell ref="G45:G46"/>
    <mergeCell ref="B45:F46"/>
    <mergeCell ref="H45:H46"/>
    <mergeCell ref="J45:J46"/>
    <mergeCell ref="L45:L46"/>
    <mergeCell ref="I37:I38"/>
    <mergeCell ref="J37:J38"/>
    <mergeCell ref="J41:J42"/>
    <mergeCell ref="B39:F40"/>
    <mergeCell ref="G39:G40"/>
    <mergeCell ref="H39:H40"/>
    <mergeCell ref="I39:I40"/>
    <mergeCell ref="J39:J40"/>
    <mergeCell ref="B37:F38"/>
    <mergeCell ref="G37:G38"/>
    <mergeCell ref="H37:H38"/>
    <mergeCell ref="K37:K38"/>
    <mergeCell ref="K41:K42"/>
    <mergeCell ref="G41:G42"/>
    <mergeCell ref="H41:H42"/>
    <mergeCell ref="K39:K40"/>
    <mergeCell ref="J25:J26"/>
    <mergeCell ref="J29:J30"/>
    <mergeCell ref="K25:K26"/>
    <mergeCell ref="J27:J28"/>
    <mergeCell ref="K27:K28"/>
    <mergeCell ref="K31:K32"/>
    <mergeCell ref="K29:K30"/>
    <mergeCell ref="K35:K36"/>
    <mergeCell ref="K33:K34"/>
    <mergeCell ref="I41:I42"/>
    <mergeCell ref="B41:F42"/>
    <mergeCell ref="H31:H32"/>
    <mergeCell ref="I31:I32"/>
    <mergeCell ref="J31:J32"/>
    <mergeCell ref="J35:J36"/>
    <mergeCell ref="J33:J34"/>
    <mergeCell ref="B27:F28"/>
    <mergeCell ref="G27:G28"/>
    <mergeCell ref="H27:H28"/>
    <mergeCell ref="I27:I28"/>
    <mergeCell ref="B35:F36"/>
    <mergeCell ref="B33:F34"/>
    <mergeCell ref="G33:G34"/>
    <mergeCell ref="H33:H34"/>
    <mergeCell ref="I33:I34"/>
    <mergeCell ref="G35:G36"/>
    <mergeCell ref="H35:H36"/>
    <mergeCell ref="I35:I36"/>
    <mergeCell ref="I29:I30"/>
    <mergeCell ref="K9:K10"/>
    <mergeCell ref="K11:K12"/>
    <mergeCell ref="B31:F32"/>
    <mergeCell ref="G31:G32"/>
    <mergeCell ref="K15:K16"/>
    <mergeCell ref="B25:F26"/>
    <mergeCell ref="G25:G26"/>
    <mergeCell ref="H25:H26"/>
    <mergeCell ref="I25:I26"/>
    <mergeCell ref="B29:F30"/>
    <mergeCell ref="B17:F18"/>
    <mergeCell ref="G17:G18"/>
    <mergeCell ref="I17:I18"/>
    <mergeCell ref="K13:K14"/>
    <mergeCell ref="G29:G30"/>
    <mergeCell ref="H29:H30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0"/>
  <dimension ref="A1:M582"/>
  <sheetViews>
    <sheetView showGridLines="0" view="pageBreakPreview" topLeftCell="A7" zoomScaleNormal="100" zoomScaleSheetLayoutView="100" workbookViewId="0"/>
  </sheetViews>
  <sheetFormatPr defaultColWidth="12.6640625" defaultRowHeight="13.2" x14ac:dyDescent="0.25"/>
  <cols>
    <col min="1" max="1" width="9.109375" customWidth="1"/>
    <col min="2" max="3" width="15.6640625" style="1" customWidth="1"/>
    <col min="4" max="4" width="10.109375" style="1" customWidth="1"/>
    <col min="5" max="5" width="9.109375" style="1" customWidth="1"/>
    <col min="6" max="6" width="9.6640625" style="1" customWidth="1"/>
    <col min="7" max="7" width="6.6640625" style="1" customWidth="1"/>
    <col min="8" max="8" width="9.33203125" style="1" customWidth="1"/>
    <col min="9" max="10" width="9.109375" style="1" customWidth="1"/>
    <col min="11" max="11" width="10" style="1" customWidth="1"/>
    <col min="12" max="12" width="12.6640625" style="89"/>
    <col min="13" max="13" width="12.6640625" style="90"/>
    <col min="14" max="16384" width="12.664062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432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3" s="45" customFormat="1" ht="8.5500000000000007" customHeight="1" x14ac:dyDescent="0.2">
      <c r="A11" s="43"/>
      <c r="B11" s="347" t="s">
        <v>380</v>
      </c>
      <c r="C11" s="347"/>
      <c r="D11" s="347"/>
      <c r="E11" s="347"/>
      <c r="F11" s="347"/>
      <c r="G11" s="47"/>
      <c r="H11" s="47"/>
      <c r="I11" s="48"/>
      <c r="J11" s="48"/>
      <c r="K11" s="164"/>
      <c r="L11" s="91"/>
      <c r="M11" s="92"/>
    </row>
    <row r="12" spans="1:13" s="45" customFormat="1" ht="8.5500000000000007" customHeight="1" x14ac:dyDescent="0.2">
      <c r="A12" s="43"/>
      <c r="B12" s="348"/>
      <c r="C12" s="348"/>
      <c r="D12" s="348"/>
      <c r="E12" s="348"/>
      <c r="F12" s="348"/>
      <c r="G12" s="54"/>
      <c r="H12" s="54"/>
      <c r="I12" s="49"/>
      <c r="J12" s="49"/>
      <c r="K12" s="165"/>
      <c r="L12" s="91"/>
      <c r="M12" s="92"/>
    </row>
    <row r="13" spans="1:13" s="45" customFormat="1" ht="8.5500000000000007" customHeight="1" x14ac:dyDescent="0.2">
      <c r="A13" s="43"/>
      <c r="B13" s="378" t="s">
        <v>1094</v>
      </c>
      <c r="C13" s="378"/>
      <c r="D13" s="378"/>
      <c r="E13" s="378"/>
      <c r="F13" s="379"/>
      <c r="G13" s="251">
        <v>1936</v>
      </c>
      <c r="H13" s="253"/>
      <c r="I13" s="160"/>
      <c r="J13" s="209"/>
      <c r="K13" s="234">
        <v>1</v>
      </c>
      <c r="L13" s="91"/>
      <c r="M13" s="92"/>
    </row>
    <row r="14" spans="1:13" s="45" customFormat="1" ht="8.5500000000000007" customHeight="1" x14ac:dyDescent="0.2">
      <c r="A14" s="43"/>
      <c r="B14" s="380"/>
      <c r="C14" s="380"/>
      <c r="D14" s="380"/>
      <c r="E14" s="380"/>
      <c r="F14" s="381"/>
      <c r="G14" s="252"/>
      <c r="H14" s="254"/>
      <c r="I14" s="161"/>
      <c r="J14" s="210"/>
      <c r="K14" s="235"/>
      <c r="L14" s="91"/>
      <c r="M14" s="92"/>
    </row>
    <row r="15" spans="1:13" s="45" customFormat="1" ht="8.5500000000000007" customHeight="1" x14ac:dyDescent="0.2">
      <c r="A15" s="43"/>
      <c r="B15" s="378" t="s">
        <v>1094</v>
      </c>
      <c r="C15" s="378"/>
      <c r="D15" s="378"/>
      <c r="E15" s="378"/>
      <c r="F15" s="379"/>
      <c r="G15" s="251">
        <v>1941</v>
      </c>
      <c r="H15" s="253"/>
      <c r="I15" s="160"/>
      <c r="J15" s="209"/>
      <c r="K15" s="234">
        <v>1</v>
      </c>
      <c r="L15" s="91"/>
      <c r="M15" s="92"/>
    </row>
    <row r="16" spans="1:13" s="45" customFormat="1" ht="8.5500000000000007" customHeight="1" x14ac:dyDescent="0.2">
      <c r="A16" s="43"/>
      <c r="B16" s="380"/>
      <c r="C16" s="380"/>
      <c r="D16" s="380"/>
      <c r="E16" s="380"/>
      <c r="F16" s="381"/>
      <c r="G16" s="252"/>
      <c r="H16" s="254"/>
      <c r="I16" s="161"/>
      <c r="J16" s="210"/>
      <c r="K16" s="235"/>
      <c r="L16" s="91"/>
      <c r="M16" s="92"/>
    </row>
    <row r="17" spans="1:13" s="45" customFormat="1" ht="8.5500000000000007" customHeight="1" x14ac:dyDescent="0.2">
      <c r="A17" s="43"/>
      <c r="B17" s="378" t="s">
        <v>1094</v>
      </c>
      <c r="C17" s="378"/>
      <c r="D17" s="378"/>
      <c r="E17" s="378"/>
      <c r="F17" s="379"/>
      <c r="G17" s="251">
        <v>1948</v>
      </c>
      <c r="H17" s="253">
        <v>86</v>
      </c>
      <c r="I17" s="160"/>
      <c r="J17" s="209"/>
      <c r="K17" s="234">
        <v>1</v>
      </c>
      <c r="L17" s="91"/>
      <c r="M17" s="92"/>
    </row>
    <row r="18" spans="1:13" s="45" customFormat="1" ht="8.5500000000000007" customHeight="1" x14ac:dyDescent="0.2">
      <c r="A18" s="43"/>
      <c r="B18" s="380"/>
      <c r="C18" s="380"/>
      <c r="D18" s="380"/>
      <c r="E18" s="380"/>
      <c r="F18" s="381"/>
      <c r="G18" s="252"/>
      <c r="H18" s="254"/>
      <c r="I18" s="161"/>
      <c r="J18" s="210"/>
      <c r="K18" s="235"/>
      <c r="L18" s="91"/>
      <c r="M18" s="92"/>
    </row>
    <row r="19" spans="1:13" s="45" customFormat="1" ht="8.5500000000000007" customHeight="1" x14ac:dyDescent="0.2">
      <c r="A19" s="43"/>
      <c r="B19" s="378" t="s">
        <v>1094</v>
      </c>
      <c r="C19" s="378"/>
      <c r="D19" s="378"/>
      <c r="E19" s="378"/>
      <c r="F19" s="379"/>
      <c r="G19" s="251">
        <v>1953</v>
      </c>
      <c r="H19" s="253"/>
      <c r="I19" s="160"/>
      <c r="J19" s="209"/>
      <c r="K19" s="234">
        <v>1</v>
      </c>
      <c r="L19" s="91"/>
      <c r="M19" s="92"/>
    </row>
    <row r="20" spans="1:13" s="45" customFormat="1" ht="8.5500000000000007" customHeight="1" x14ac:dyDescent="0.2">
      <c r="A20" s="43"/>
      <c r="B20" s="380"/>
      <c r="C20" s="380"/>
      <c r="D20" s="380"/>
      <c r="E20" s="380"/>
      <c r="F20" s="381"/>
      <c r="G20" s="252"/>
      <c r="H20" s="254"/>
      <c r="I20" s="161"/>
      <c r="J20" s="210"/>
      <c r="K20" s="235"/>
      <c r="L20" s="91"/>
      <c r="M20" s="92"/>
    </row>
    <row r="21" spans="1:13" s="45" customFormat="1" ht="8.5500000000000007" customHeight="1" x14ac:dyDescent="0.2">
      <c r="A21" s="43"/>
      <c r="B21" s="378" t="s">
        <v>1094</v>
      </c>
      <c r="C21" s="378"/>
      <c r="D21" s="378"/>
      <c r="E21" s="378"/>
      <c r="F21" s="379"/>
      <c r="G21" s="251">
        <v>1957</v>
      </c>
      <c r="H21" s="253">
        <v>90</v>
      </c>
      <c r="I21" s="160"/>
      <c r="J21" s="209" t="s">
        <v>1581</v>
      </c>
      <c r="K21" s="234">
        <v>1</v>
      </c>
      <c r="L21" s="91"/>
      <c r="M21" s="92"/>
    </row>
    <row r="22" spans="1:13" s="45" customFormat="1" ht="8.5500000000000007" customHeight="1" x14ac:dyDescent="0.2">
      <c r="A22" s="43"/>
      <c r="B22" s="380"/>
      <c r="C22" s="380"/>
      <c r="D22" s="380"/>
      <c r="E22" s="380"/>
      <c r="F22" s="381"/>
      <c r="G22" s="252"/>
      <c r="H22" s="254"/>
      <c r="I22" s="161"/>
      <c r="J22" s="210"/>
      <c r="K22" s="235"/>
      <c r="L22" s="91"/>
      <c r="M22" s="92"/>
    </row>
    <row r="23" spans="1:13" s="45" customFormat="1" ht="8.5500000000000007" customHeight="1" x14ac:dyDescent="0.2">
      <c r="A23" s="43"/>
      <c r="B23" s="378" t="s">
        <v>1094</v>
      </c>
      <c r="C23" s="378"/>
      <c r="D23" s="378"/>
      <c r="E23" s="378"/>
      <c r="F23" s="379"/>
      <c r="G23" s="251">
        <v>1958</v>
      </c>
      <c r="H23" s="253"/>
      <c r="I23" s="160"/>
      <c r="J23" s="209"/>
      <c r="K23" s="234">
        <v>1</v>
      </c>
      <c r="L23" s="91"/>
      <c r="M23" s="92"/>
    </row>
    <row r="24" spans="1:13" s="45" customFormat="1" ht="8.5500000000000007" customHeight="1" x14ac:dyDescent="0.2">
      <c r="A24" s="43"/>
      <c r="B24" s="380"/>
      <c r="C24" s="380"/>
      <c r="D24" s="380"/>
      <c r="E24" s="380"/>
      <c r="F24" s="381"/>
      <c r="G24" s="252"/>
      <c r="H24" s="254"/>
      <c r="I24" s="161"/>
      <c r="J24" s="210"/>
      <c r="K24" s="235"/>
      <c r="L24" s="91"/>
      <c r="M24" s="92"/>
    </row>
    <row r="25" spans="1:13" s="45" customFormat="1" ht="8.5500000000000007" customHeight="1" x14ac:dyDescent="0.2">
      <c r="A25" s="43"/>
      <c r="B25" s="378" t="s">
        <v>1094</v>
      </c>
      <c r="C25" s="378"/>
      <c r="D25" s="378"/>
      <c r="E25" s="378"/>
      <c r="F25" s="379"/>
      <c r="G25" s="251">
        <v>1960</v>
      </c>
      <c r="H25" s="253">
        <v>97</v>
      </c>
      <c r="I25" s="160"/>
      <c r="J25" s="209" t="s">
        <v>1582</v>
      </c>
      <c r="K25" s="234">
        <v>2</v>
      </c>
      <c r="L25" s="91"/>
      <c r="M25" s="92"/>
    </row>
    <row r="26" spans="1:13" s="45" customFormat="1" ht="8.5500000000000007" customHeight="1" x14ac:dyDescent="0.2">
      <c r="A26" s="43"/>
      <c r="B26" s="380"/>
      <c r="C26" s="380"/>
      <c r="D26" s="380"/>
      <c r="E26" s="380"/>
      <c r="F26" s="381"/>
      <c r="G26" s="252"/>
      <c r="H26" s="254"/>
      <c r="I26" s="161"/>
      <c r="J26" s="210"/>
      <c r="K26" s="235"/>
      <c r="L26" s="91"/>
      <c r="M26" s="92"/>
    </row>
    <row r="27" spans="1:13" s="45" customFormat="1" ht="8.5500000000000007" customHeight="1" x14ac:dyDescent="0.2">
      <c r="A27" s="43"/>
      <c r="B27" s="378" t="s">
        <v>1094</v>
      </c>
      <c r="C27" s="378"/>
      <c r="D27" s="378"/>
      <c r="E27" s="378"/>
      <c r="F27" s="379"/>
      <c r="G27" s="251">
        <v>1962</v>
      </c>
      <c r="H27" s="253">
        <v>100</v>
      </c>
      <c r="I27" s="160"/>
      <c r="J27" s="209" t="s">
        <v>413</v>
      </c>
      <c r="K27" s="234">
        <v>1</v>
      </c>
      <c r="L27" s="91"/>
      <c r="M27" s="92"/>
    </row>
    <row r="28" spans="1:13" s="45" customFormat="1" ht="8.5500000000000007" customHeight="1" x14ac:dyDescent="0.2">
      <c r="A28" s="43"/>
      <c r="B28" s="380"/>
      <c r="C28" s="380"/>
      <c r="D28" s="380"/>
      <c r="E28" s="380"/>
      <c r="F28" s="381"/>
      <c r="G28" s="252"/>
      <c r="H28" s="254"/>
      <c r="I28" s="161"/>
      <c r="J28" s="210"/>
      <c r="K28" s="235"/>
      <c r="L28" s="91"/>
      <c r="M28" s="92"/>
    </row>
    <row r="29" spans="1:13" s="45" customFormat="1" ht="8.5500000000000007" customHeight="1" x14ac:dyDescent="0.2">
      <c r="A29" s="43"/>
      <c r="B29" s="378" t="s">
        <v>1094</v>
      </c>
      <c r="C29" s="378"/>
      <c r="D29" s="378"/>
      <c r="E29" s="378"/>
      <c r="F29" s="379"/>
      <c r="G29" s="251">
        <v>1964</v>
      </c>
      <c r="H29" s="253">
        <v>96</v>
      </c>
      <c r="I29" s="160"/>
      <c r="J29" s="209" t="s">
        <v>236</v>
      </c>
      <c r="K29" s="234">
        <v>2</v>
      </c>
      <c r="L29" s="91"/>
      <c r="M29" s="92"/>
    </row>
    <row r="30" spans="1:13" s="45" customFormat="1" ht="8.5500000000000007" customHeight="1" x14ac:dyDescent="0.2">
      <c r="A30" s="43"/>
      <c r="B30" s="380"/>
      <c r="C30" s="380"/>
      <c r="D30" s="380"/>
      <c r="E30" s="380"/>
      <c r="F30" s="381"/>
      <c r="G30" s="252"/>
      <c r="H30" s="254"/>
      <c r="I30" s="161"/>
      <c r="J30" s="210"/>
      <c r="K30" s="235"/>
      <c r="L30" s="91"/>
      <c r="M30" s="92"/>
    </row>
    <row r="31" spans="1:13" s="45" customFormat="1" ht="8.5500000000000007" customHeight="1" x14ac:dyDescent="0.2">
      <c r="A31" s="43"/>
      <c r="B31" s="378" t="s">
        <v>1094</v>
      </c>
      <c r="C31" s="378"/>
      <c r="D31" s="378"/>
      <c r="E31" s="378"/>
      <c r="F31" s="379"/>
      <c r="G31" s="251">
        <v>1965</v>
      </c>
      <c r="H31" s="253">
        <v>94</v>
      </c>
      <c r="I31" s="160"/>
      <c r="J31" s="209" t="s">
        <v>413</v>
      </c>
      <c r="K31" s="234">
        <v>3</v>
      </c>
      <c r="L31" s="91"/>
      <c r="M31" s="92"/>
    </row>
    <row r="32" spans="1:13" s="45" customFormat="1" ht="8.5500000000000007" customHeight="1" x14ac:dyDescent="0.2">
      <c r="A32" s="43"/>
      <c r="B32" s="380"/>
      <c r="C32" s="380"/>
      <c r="D32" s="380"/>
      <c r="E32" s="380"/>
      <c r="F32" s="381"/>
      <c r="G32" s="252"/>
      <c r="H32" s="254"/>
      <c r="I32" s="161"/>
      <c r="J32" s="210"/>
      <c r="K32" s="235"/>
      <c r="L32" s="91"/>
      <c r="M32" s="92"/>
    </row>
    <row r="33" spans="1:13" s="45" customFormat="1" ht="8.5500000000000007" customHeight="1" x14ac:dyDescent="0.2">
      <c r="A33" s="43"/>
      <c r="B33" s="378" t="s">
        <v>1110</v>
      </c>
      <c r="C33" s="378"/>
      <c r="D33" s="378"/>
      <c r="E33" s="378"/>
      <c r="F33" s="379"/>
      <c r="G33" s="251">
        <v>1965</v>
      </c>
      <c r="H33" s="253">
        <v>94</v>
      </c>
      <c r="I33" s="160"/>
      <c r="J33" s="209" t="s">
        <v>413</v>
      </c>
      <c r="K33" s="234">
        <v>1</v>
      </c>
      <c r="L33" s="91"/>
      <c r="M33" s="92"/>
    </row>
    <row r="34" spans="1:13" s="45" customFormat="1" ht="8.5500000000000007" customHeight="1" x14ac:dyDescent="0.2">
      <c r="A34" s="43"/>
      <c r="B34" s="380"/>
      <c r="C34" s="380"/>
      <c r="D34" s="380"/>
      <c r="E34" s="380"/>
      <c r="F34" s="381"/>
      <c r="G34" s="252"/>
      <c r="H34" s="254"/>
      <c r="I34" s="161"/>
      <c r="J34" s="210"/>
      <c r="K34" s="235"/>
      <c r="L34" s="91"/>
      <c r="M34" s="92"/>
    </row>
    <row r="35" spans="1:13" s="45" customFormat="1" ht="8.5500000000000007" customHeight="1" x14ac:dyDescent="0.2">
      <c r="A35" s="43"/>
      <c r="B35" s="378" t="s">
        <v>1094</v>
      </c>
      <c r="C35" s="378"/>
      <c r="D35" s="378"/>
      <c r="E35" s="378"/>
      <c r="F35" s="379"/>
      <c r="G35" s="251">
        <v>1966</v>
      </c>
      <c r="H35" s="253">
        <v>95</v>
      </c>
      <c r="I35" s="160"/>
      <c r="J35" s="209" t="s">
        <v>579</v>
      </c>
      <c r="K35" s="234">
        <v>1</v>
      </c>
      <c r="L35" s="91"/>
      <c r="M35" s="92"/>
    </row>
    <row r="36" spans="1:13" s="45" customFormat="1" ht="8.5500000000000007" customHeight="1" x14ac:dyDescent="0.2">
      <c r="A36" s="43"/>
      <c r="B36" s="380"/>
      <c r="C36" s="380"/>
      <c r="D36" s="380"/>
      <c r="E36" s="380"/>
      <c r="F36" s="381"/>
      <c r="G36" s="252"/>
      <c r="H36" s="254"/>
      <c r="I36" s="161"/>
      <c r="J36" s="210"/>
      <c r="K36" s="235"/>
      <c r="L36" s="91"/>
      <c r="M36" s="92"/>
    </row>
    <row r="37" spans="1:13" s="45" customFormat="1" ht="8.5500000000000007" customHeight="1" x14ac:dyDescent="0.2">
      <c r="A37" s="43"/>
      <c r="B37" s="378" t="s">
        <v>1094</v>
      </c>
      <c r="C37" s="378"/>
      <c r="D37" s="378"/>
      <c r="E37" s="378"/>
      <c r="F37" s="379"/>
      <c r="G37" s="251">
        <v>1967</v>
      </c>
      <c r="H37" s="253">
        <v>96</v>
      </c>
      <c r="I37" s="160"/>
      <c r="J37" s="209" t="s">
        <v>413</v>
      </c>
      <c r="K37" s="234">
        <v>5</v>
      </c>
      <c r="L37" s="91"/>
      <c r="M37" s="92"/>
    </row>
    <row r="38" spans="1:13" s="45" customFormat="1" ht="8.5500000000000007" customHeight="1" x14ac:dyDescent="0.2">
      <c r="A38" s="43"/>
      <c r="B38" s="380"/>
      <c r="C38" s="380"/>
      <c r="D38" s="380"/>
      <c r="E38" s="380"/>
      <c r="F38" s="381"/>
      <c r="G38" s="252"/>
      <c r="H38" s="254"/>
      <c r="I38" s="161"/>
      <c r="J38" s="210"/>
      <c r="K38" s="235"/>
      <c r="L38" s="91"/>
      <c r="M38" s="92"/>
    </row>
    <row r="39" spans="1:13" s="45" customFormat="1" ht="8.5500000000000007" customHeight="1" x14ac:dyDescent="0.2">
      <c r="A39" s="43"/>
      <c r="B39" s="378" t="s">
        <v>1094</v>
      </c>
      <c r="C39" s="378"/>
      <c r="D39" s="378"/>
      <c r="E39" s="378"/>
      <c r="F39" s="379"/>
      <c r="G39" s="251">
        <v>1968</v>
      </c>
      <c r="H39" s="253">
        <v>98</v>
      </c>
      <c r="I39" s="160"/>
      <c r="J39" s="209" t="s">
        <v>308</v>
      </c>
      <c r="K39" s="234">
        <v>2</v>
      </c>
      <c r="L39" s="91"/>
      <c r="M39" s="92"/>
    </row>
    <row r="40" spans="1:13" s="45" customFormat="1" ht="8.5500000000000007" customHeight="1" x14ac:dyDescent="0.2">
      <c r="A40" s="43"/>
      <c r="B40" s="380"/>
      <c r="C40" s="380"/>
      <c r="D40" s="380"/>
      <c r="E40" s="380"/>
      <c r="F40" s="381"/>
      <c r="G40" s="252"/>
      <c r="H40" s="254"/>
      <c r="I40" s="161"/>
      <c r="J40" s="210"/>
      <c r="K40" s="235"/>
      <c r="L40" s="91"/>
      <c r="M40" s="92"/>
    </row>
    <row r="41" spans="1:13" s="45" customFormat="1" ht="8.5500000000000007" customHeight="1" x14ac:dyDescent="0.2">
      <c r="A41" s="43"/>
      <c r="B41" s="378" t="s">
        <v>1094</v>
      </c>
      <c r="C41" s="378"/>
      <c r="D41" s="378"/>
      <c r="E41" s="378"/>
      <c r="F41" s="379"/>
      <c r="G41" s="251">
        <v>1970</v>
      </c>
      <c r="H41" s="253">
        <v>100</v>
      </c>
      <c r="I41" s="160">
        <v>92</v>
      </c>
      <c r="J41" s="209" t="s">
        <v>1583</v>
      </c>
      <c r="K41" s="234">
        <v>4</v>
      </c>
      <c r="L41" s="91"/>
      <c r="M41" s="92"/>
    </row>
    <row r="42" spans="1:13" s="45" customFormat="1" ht="8.5500000000000007" customHeight="1" x14ac:dyDescent="0.2">
      <c r="A42" s="43"/>
      <c r="B42" s="380"/>
      <c r="C42" s="380"/>
      <c r="D42" s="380"/>
      <c r="E42" s="380"/>
      <c r="F42" s="381"/>
      <c r="G42" s="252"/>
      <c r="H42" s="254"/>
      <c r="I42" s="161"/>
      <c r="J42" s="210"/>
      <c r="K42" s="235"/>
      <c r="L42" s="91"/>
      <c r="M42" s="92"/>
    </row>
    <row r="43" spans="1:13" s="45" customFormat="1" ht="8.5500000000000007" customHeight="1" x14ac:dyDescent="0.2">
      <c r="A43" s="43"/>
      <c r="B43" s="378" t="s">
        <v>1110</v>
      </c>
      <c r="C43" s="378"/>
      <c r="D43" s="378"/>
      <c r="E43" s="378"/>
      <c r="F43" s="379"/>
      <c r="G43" s="251">
        <v>1972</v>
      </c>
      <c r="H43" s="253">
        <v>89</v>
      </c>
      <c r="I43" s="160"/>
      <c r="J43" s="209" t="s">
        <v>1584</v>
      </c>
      <c r="K43" s="234">
        <v>1</v>
      </c>
      <c r="L43" s="91"/>
      <c r="M43" s="92"/>
    </row>
    <row r="44" spans="1:13" s="45" customFormat="1" ht="8.5500000000000007" customHeight="1" x14ac:dyDescent="0.2">
      <c r="A44" s="43"/>
      <c r="B44" s="380"/>
      <c r="C44" s="380"/>
      <c r="D44" s="380"/>
      <c r="E44" s="380"/>
      <c r="F44" s="381"/>
      <c r="G44" s="252"/>
      <c r="H44" s="254"/>
      <c r="I44" s="161"/>
      <c r="J44" s="210"/>
      <c r="K44" s="235"/>
      <c r="L44" s="91"/>
      <c r="M44" s="92"/>
    </row>
    <row r="45" spans="1:13" s="45" customFormat="1" ht="8.5500000000000007" customHeight="1" x14ac:dyDescent="0.2">
      <c r="A45" s="43"/>
      <c r="B45" s="378" t="s">
        <v>1094</v>
      </c>
      <c r="C45" s="378"/>
      <c r="D45" s="378"/>
      <c r="E45" s="378"/>
      <c r="F45" s="379"/>
      <c r="G45" s="251">
        <v>1975</v>
      </c>
      <c r="H45" s="253">
        <v>95</v>
      </c>
      <c r="I45" s="160"/>
      <c r="J45" s="209" t="s">
        <v>236</v>
      </c>
      <c r="K45" s="234">
        <v>2</v>
      </c>
      <c r="L45" s="91"/>
      <c r="M45" s="92"/>
    </row>
    <row r="46" spans="1:13" s="45" customFormat="1" ht="8.5500000000000007" customHeight="1" x14ac:dyDescent="0.2">
      <c r="A46" s="43"/>
      <c r="B46" s="380"/>
      <c r="C46" s="380"/>
      <c r="D46" s="380"/>
      <c r="E46" s="380"/>
      <c r="F46" s="381"/>
      <c r="G46" s="252"/>
      <c r="H46" s="254"/>
      <c r="I46" s="161"/>
      <c r="J46" s="210"/>
      <c r="K46" s="235"/>
      <c r="L46" s="91"/>
      <c r="M46" s="92"/>
    </row>
    <row r="47" spans="1:13" s="45" customFormat="1" ht="8.5500000000000007" customHeight="1" x14ac:dyDescent="0.2">
      <c r="A47" s="43"/>
      <c r="B47" s="378" t="s">
        <v>1094</v>
      </c>
      <c r="C47" s="378"/>
      <c r="D47" s="378"/>
      <c r="E47" s="378"/>
      <c r="F47" s="379"/>
      <c r="G47" s="251">
        <v>1981</v>
      </c>
      <c r="H47" s="253">
        <v>96</v>
      </c>
      <c r="I47" s="160">
        <v>93</v>
      </c>
      <c r="J47" s="209" t="s">
        <v>15</v>
      </c>
      <c r="K47" s="234">
        <v>2</v>
      </c>
      <c r="L47" s="91"/>
      <c r="M47" s="92"/>
    </row>
    <row r="48" spans="1:13" s="45" customFormat="1" ht="8.5500000000000007" customHeight="1" x14ac:dyDescent="0.2">
      <c r="A48" s="43"/>
      <c r="B48" s="380"/>
      <c r="C48" s="380"/>
      <c r="D48" s="380"/>
      <c r="E48" s="380"/>
      <c r="F48" s="381"/>
      <c r="G48" s="252"/>
      <c r="H48" s="254"/>
      <c r="I48" s="161"/>
      <c r="J48" s="210"/>
      <c r="K48" s="235"/>
      <c r="L48" s="91"/>
      <c r="M48" s="92"/>
    </row>
    <row r="49" spans="1:13" s="45" customFormat="1" ht="8.5500000000000007" customHeight="1" x14ac:dyDescent="0.2">
      <c r="A49" s="43"/>
      <c r="B49" s="378" t="s">
        <v>1094</v>
      </c>
      <c r="C49" s="378"/>
      <c r="D49" s="378"/>
      <c r="E49" s="378"/>
      <c r="F49" s="379"/>
      <c r="G49" s="251">
        <v>1982</v>
      </c>
      <c r="H49" s="253">
        <v>96</v>
      </c>
      <c r="I49" s="160">
        <v>91</v>
      </c>
      <c r="J49" s="209" t="s">
        <v>15</v>
      </c>
      <c r="K49" s="234">
        <v>1</v>
      </c>
      <c r="L49" s="91"/>
      <c r="M49" s="92"/>
    </row>
    <row r="50" spans="1:13" s="45" customFormat="1" ht="8.5500000000000007" customHeight="1" x14ac:dyDescent="0.2">
      <c r="A50" s="43"/>
      <c r="B50" s="380"/>
      <c r="C50" s="380"/>
      <c r="D50" s="380"/>
      <c r="E50" s="380"/>
      <c r="F50" s="381"/>
      <c r="G50" s="252"/>
      <c r="H50" s="254"/>
      <c r="I50" s="161"/>
      <c r="J50" s="210"/>
      <c r="K50" s="235"/>
      <c r="L50" s="91"/>
      <c r="M50" s="92"/>
    </row>
    <row r="51" spans="1:13" s="45" customFormat="1" ht="8.5500000000000007" customHeight="1" x14ac:dyDescent="0.2">
      <c r="A51" s="43"/>
      <c r="B51" s="378" t="s">
        <v>1094</v>
      </c>
      <c r="C51" s="378"/>
      <c r="D51" s="378"/>
      <c r="E51" s="378"/>
      <c r="F51" s="379"/>
      <c r="G51" s="251">
        <v>1985</v>
      </c>
      <c r="H51" s="253">
        <v>93</v>
      </c>
      <c r="I51" s="160"/>
      <c r="J51" s="209" t="s">
        <v>703</v>
      </c>
      <c r="K51" s="234">
        <v>1</v>
      </c>
      <c r="L51" s="91"/>
      <c r="M51" s="92"/>
    </row>
    <row r="52" spans="1:13" s="45" customFormat="1" ht="8.5500000000000007" customHeight="1" x14ac:dyDescent="0.2">
      <c r="A52" s="43"/>
      <c r="B52" s="380"/>
      <c r="C52" s="380"/>
      <c r="D52" s="380"/>
      <c r="E52" s="380"/>
      <c r="F52" s="381"/>
      <c r="G52" s="252"/>
      <c r="H52" s="254"/>
      <c r="I52" s="161"/>
      <c r="J52" s="210"/>
      <c r="K52" s="235"/>
      <c r="L52" s="91"/>
      <c r="M52" s="92"/>
    </row>
    <row r="53" spans="1:13" s="45" customFormat="1" ht="8.5500000000000007" customHeight="1" x14ac:dyDescent="0.2">
      <c r="A53" s="43"/>
      <c r="B53" s="378" t="s">
        <v>1110</v>
      </c>
      <c r="C53" s="378"/>
      <c r="D53" s="378"/>
      <c r="E53" s="378"/>
      <c r="F53" s="379"/>
      <c r="G53" s="251">
        <v>1987</v>
      </c>
      <c r="H53" s="253">
        <v>95</v>
      </c>
      <c r="I53" s="160"/>
      <c r="J53" s="209" t="s">
        <v>259</v>
      </c>
      <c r="K53" s="234">
        <v>2</v>
      </c>
      <c r="L53" s="91"/>
      <c r="M53" s="92"/>
    </row>
    <row r="54" spans="1:13" s="45" customFormat="1" ht="8.5500000000000007" customHeight="1" x14ac:dyDescent="0.2">
      <c r="A54" s="43"/>
      <c r="B54" s="380"/>
      <c r="C54" s="380"/>
      <c r="D54" s="380"/>
      <c r="E54" s="380"/>
      <c r="F54" s="381"/>
      <c r="G54" s="252"/>
      <c r="H54" s="254"/>
      <c r="I54" s="161"/>
      <c r="J54" s="210"/>
      <c r="K54" s="235"/>
      <c r="L54" s="91"/>
      <c r="M54" s="92"/>
    </row>
    <row r="55" spans="1:13" s="45" customFormat="1" ht="8.5500000000000007" customHeight="1" x14ac:dyDescent="0.2">
      <c r="A55" s="43"/>
      <c r="B55" s="378" t="s">
        <v>1095</v>
      </c>
      <c r="C55" s="378"/>
      <c r="D55" s="378"/>
      <c r="E55" s="378"/>
      <c r="F55" s="379"/>
      <c r="G55" s="251">
        <v>1987</v>
      </c>
      <c r="H55" s="253">
        <v>95</v>
      </c>
      <c r="I55" s="160"/>
      <c r="J55" s="209" t="s">
        <v>259</v>
      </c>
      <c r="K55" s="234">
        <v>3</v>
      </c>
      <c r="L55" s="91"/>
      <c r="M55" s="92"/>
    </row>
    <row r="56" spans="1:13" s="45" customFormat="1" ht="8.5500000000000007" customHeight="1" x14ac:dyDescent="0.2">
      <c r="A56" s="43"/>
      <c r="B56" s="380"/>
      <c r="C56" s="380"/>
      <c r="D56" s="380"/>
      <c r="E56" s="380"/>
      <c r="F56" s="381"/>
      <c r="G56" s="252"/>
      <c r="H56" s="254"/>
      <c r="I56" s="161"/>
      <c r="J56" s="210"/>
      <c r="K56" s="235"/>
      <c r="L56" s="91"/>
      <c r="M56" s="92"/>
    </row>
    <row r="57" spans="1:13" s="45" customFormat="1" ht="8.5500000000000007" customHeight="1" x14ac:dyDescent="0.2">
      <c r="A57" s="43"/>
      <c r="B57" s="378" t="s">
        <v>1095</v>
      </c>
      <c r="C57" s="378"/>
      <c r="D57" s="378"/>
      <c r="E57" s="378"/>
      <c r="F57" s="379"/>
      <c r="G57" s="251">
        <v>1989</v>
      </c>
      <c r="H57" s="253">
        <v>98</v>
      </c>
      <c r="I57" s="160">
        <v>90</v>
      </c>
      <c r="J57" s="209" t="s">
        <v>22</v>
      </c>
      <c r="K57" s="234">
        <v>3</v>
      </c>
      <c r="L57" s="91"/>
      <c r="M57" s="92"/>
    </row>
    <row r="58" spans="1:13" s="45" customFormat="1" ht="8.5500000000000007" customHeight="1" x14ac:dyDescent="0.2">
      <c r="A58" s="43"/>
      <c r="B58" s="380"/>
      <c r="C58" s="380"/>
      <c r="D58" s="380"/>
      <c r="E58" s="380"/>
      <c r="F58" s="381"/>
      <c r="G58" s="252"/>
      <c r="H58" s="254"/>
      <c r="I58" s="161"/>
      <c r="J58" s="210"/>
      <c r="K58" s="235"/>
      <c r="L58" s="91"/>
      <c r="M58" s="92"/>
    </row>
    <row r="59" spans="1:13" s="45" customFormat="1" ht="8.5500000000000007" customHeight="1" x14ac:dyDescent="0.2">
      <c r="A59" s="43"/>
      <c r="B59" s="378" t="s">
        <v>1095</v>
      </c>
      <c r="C59" s="378"/>
      <c r="D59" s="378"/>
      <c r="E59" s="378"/>
      <c r="F59" s="379"/>
      <c r="G59" s="251">
        <v>1990</v>
      </c>
      <c r="H59" s="253">
        <v>93</v>
      </c>
      <c r="I59" s="160"/>
      <c r="J59" s="209" t="s">
        <v>340</v>
      </c>
      <c r="K59" s="234">
        <v>3</v>
      </c>
      <c r="L59" s="91"/>
      <c r="M59" s="92"/>
    </row>
    <row r="60" spans="1:13" s="45" customFormat="1" ht="8.5500000000000007" customHeight="1" x14ac:dyDescent="0.2">
      <c r="A60" s="43"/>
      <c r="B60" s="380"/>
      <c r="C60" s="380"/>
      <c r="D60" s="380"/>
      <c r="E60" s="380"/>
      <c r="F60" s="381"/>
      <c r="G60" s="252"/>
      <c r="H60" s="254"/>
      <c r="I60" s="161"/>
      <c r="J60" s="210"/>
      <c r="K60" s="235"/>
      <c r="L60" s="91"/>
      <c r="M60" s="92"/>
    </row>
    <row r="61" spans="1:13" s="45" customFormat="1" ht="8.5500000000000007" customHeight="1" x14ac:dyDescent="0.2">
      <c r="A61" s="43"/>
      <c r="B61" s="378" t="s">
        <v>1110</v>
      </c>
      <c r="C61" s="378"/>
      <c r="D61" s="378"/>
      <c r="E61" s="378"/>
      <c r="F61" s="379"/>
      <c r="G61" s="251">
        <v>1991</v>
      </c>
      <c r="H61" s="253">
        <v>96</v>
      </c>
      <c r="I61" s="160">
        <v>91</v>
      </c>
      <c r="J61" s="209" t="s">
        <v>580</v>
      </c>
      <c r="K61" s="234">
        <v>1</v>
      </c>
      <c r="L61" s="91"/>
      <c r="M61" s="92"/>
    </row>
    <row r="62" spans="1:13" s="45" customFormat="1" ht="8.5500000000000007" customHeight="1" x14ac:dyDescent="0.2">
      <c r="A62" s="43"/>
      <c r="B62" s="380"/>
      <c r="C62" s="380"/>
      <c r="D62" s="380"/>
      <c r="E62" s="380"/>
      <c r="F62" s="381"/>
      <c r="G62" s="252"/>
      <c r="H62" s="254"/>
      <c r="I62" s="161"/>
      <c r="J62" s="210"/>
      <c r="K62" s="235"/>
      <c r="L62" s="91"/>
      <c r="M62" s="92"/>
    </row>
    <row r="63" spans="1:13" s="45" customFormat="1" ht="8.5500000000000007" customHeight="1" x14ac:dyDescent="0.2">
      <c r="A63" s="43"/>
      <c r="B63" s="378" t="s">
        <v>1094</v>
      </c>
      <c r="C63" s="378"/>
      <c r="D63" s="378"/>
      <c r="E63" s="378"/>
      <c r="F63" s="379"/>
      <c r="G63" s="251">
        <v>1991</v>
      </c>
      <c r="H63" s="253">
        <v>96</v>
      </c>
      <c r="I63" s="160">
        <v>91</v>
      </c>
      <c r="J63" s="209" t="s">
        <v>580</v>
      </c>
      <c r="K63" s="234">
        <v>2</v>
      </c>
      <c r="L63" s="91"/>
      <c r="M63" s="92"/>
    </row>
    <row r="64" spans="1:13" s="45" customFormat="1" ht="8.5500000000000007" customHeight="1" x14ac:dyDescent="0.2">
      <c r="A64" s="43"/>
      <c r="B64" s="380"/>
      <c r="C64" s="380"/>
      <c r="D64" s="380"/>
      <c r="E64" s="380"/>
      <c r="F64" s="381"/>
      <c r="G64" s="252"/>
      <c r="H64" s="254"/>
      <c r="I64" s="161"/>
      <c r="J64" s="210"/>
      <c r="K64" s="235"/>
      <c r="L64" s="91"/>
      <c r="M64" s="92"/>
    </row>
    <row r="65" spans="1:13" s="45" customFormat="1" ht="8.5500000000000007" customHeight="1" x14ac:dyDescent="0.2">
      <c r="A65" s="43"/>
      <c r="B65" s="378" t="s">
        <v>1094</v>
      </c>
      <c r="C65" s="378"/>
      <c r="D65" s="378"/>
      <c r="E65" s="378"/>
      <c r="F65" s="379"/>
      <c r="G65" s="251">
        <v>1994</v>
      </c>
      <c r="H65" s="253">
        <v>96</v>
      </c>
      <c r="I65" s="160">
        <v>96</v>
      </c>
      <c r="J65" s="209" t="s">
        <v>581</v>
      </c>
      <c r="K65" s="234">
        <v>6</v>
      </c>
      <c r="L65" s="91"/>
      <c r="M65" s="92"/>
    </row>
    <row r="66" spans="1:13" s="45" customFormat="1" ht="8.5500000000000007" customHeight="1" x14ac:dyDescent="0.2">
      <c r="A66" s="43"/>
      <c r="B66" s="380"/>
      <c r="C66" s="380"/>
      <c r="D66" s="380"/>
      <c r="E66" s="380"/>
      <c r="F66" s="381"/>
      <c r="G66" s="252"/>
      <c r="H66" s="254"/>
      <c r="I66" s="161"/>
      <c r="J66" s="210"/>
      <c r="K66" s="235"/>
      <c r="L66" s="91"/>
      <c r="M66" s="92"/>
    </row>
    <row r="67" spans="1:13" s="45" customFormat="1" ht="8.5500000000000007" customHeight="1" x14ac:dyDescent="0.2">
      <c r="A67" s="43"/>
      <c r="B67" s="339" t="s">
        <v>381</v>
      </c>
      <c r="C67" s="339"/>
      <c r="D67" s="339"/>
      <c r="E67" s="339"/>
      <c r="F67" s="339"/>
      <c r="G67" s="47"/>
      <c r="H67" s="47"/>
      <c r="I67" s="48"/>
      <c r="J67" s="48"/>
      <c r="K67" s="234"/>
      <c r="L67" s="91"/>
      <c r="M67" s="92"/>
    </row>
    <row r="68" spans="1:13" s="45" customFormat="1" ht="8.5500000000000007" customHeight="1" x14ac:dyDescent="0.2">
      <c r="A68" s="43"/>
      <c r="B68" s="340"/>
      <c r="C68" s="340"/>
      <c r="D68" s="340"/>
      <c r="E68" s="340"/>
      <c r="F68" s="340"/>
      <c r="G68" s="54"/>
      <c r="H68" s="54"/>
      <c r="I68" s="49"/>
      <c r="J68" s="49"/>
      <c r="K68" s="235"/>
      <c r="L68" s="91"/>
      <c r="M68" s="92"/>
    </row>
    <row r="69" spans="1:13" s="45" customFormat="1" ht="8.5500000000000007" customHeight="1" x14ac:dyDescent="0.2">
      <c r="A69" s="43"/>
      <c r="B69" s="378" t="s">
        <v>1094</v>
      </c>
      <c r="C69" s="378"/>
      <c r="D69" s="378"/>
      <c r="E69" s="378"/>
      <c r="F69" s="379"/>
      <c r="G69" s="251">
        <v>1995</v>
      </c>
      <c r="H69" s="253">
        <v>97</v>
      </c>
      <c r="I69" s="160">
        <v>94</v>
      </c>
      <c r="J69" s="209" t="s">
        <v>345</v>
      </c>
      <c r="K69" s="234">
        <v>4</v>
      </c>
      <c r="L69" s="91"/>
      <c r="M69" s="92"/>
    </row>
    <row r="70" spans="1:13" s="45" customFormat="1" ht="8.5500000000000007" customHeight="1" x14ac:dyDescent="0.2">
      <c r="A70" s="43"/>
      <c r="B70" s="380"/>
      <c r="C70" s="380"/>
      <c r="D70" s="380"/>
      <c r="E70" s="380"/>
      <c r="F70" s="381"/>
      <c r="G70" s="252"/>
      <c r="H70" s="254"/>
      <c r="I70" s="161"/>
      <c r="J70" s="210"/>
      <c r="K70" s="235"/>
      <c r="L70" s="91"/>
      <c r="M70" s="92"/>
    </row>
    <row r="71" spans="1:13" s="45" customFormat="1" ht="8.5500000000000007" customHeight="1" x14ac:dyDescent="0.2">
      <c r="A71" s="43"/>
      <c r="B71" s="378" t="s">
        <v>1094</v>
      </c>
      <c r="C71" s="378"/>
      <c r="D71" s="378"/>
      <c r="E71" s="378"/>
      <c r="F71" s="379"/>
      <c r="G71" s="251">
        <v>1996</v>
      </c>
      <c r="H71" s="253">
        <v>97</v>
      </c>
      <c r="I71" s="160">
        <v>93</v>
      </c>
      <c r="J71" s="209" t="s">
        <v>257</v>
      </c>
      <c r="K71" s="234">
        <v>4</v>
      </c>
      <c r="L71" s="91"/>
      <c r="M71" s="92"/>
    </row>
    <row r="72" spans="1:13" s="45" customFormat="1" ht="8.5500000000000007" customHeight="1" x14ac:dyDescent="0.2">
      <c r="A72" s="43"/>
      <c r="B72" s="380"/>
      <c r="C72" s="380"/>
      <c r="D72" s="380"/>
      <c r="E72" s="380"/>
      <c r="F72" s="381"/>
      <c r="G72" s="252"/>
      <c r="H72" s="254"/>
      <c r="I72" s="161"/>
      <c r="J72" s="210"/>
      <c r="K72" s="235"/>
      <c r="L72" s="91"/>
      <c r="M72" s="92"/>
    </row>
    <row r="73" spans="1:13" s="45" customFormat="1" ht="8.5500000000000007" customHeight="1" x14ac:dyDescent="0.2">
      <c r="A73" s="43"/>
      <c r="B73" s="378" t="s">
        <v>1094</v>
      </c>
      <c r="C73" s="378"/>
      <c r="D73" s="378"/>
      <c r="E73" s="378"/>
      <c r="F73" s="379"/>
      <c r="G73" s="251">
        <v>1998</v>
      </c>
      <c r="H73" s="253">
        <v>98</v>
      </c>
      <c r="I73" s="160">
        <v>91</v>
      </c>
      <c r="J73" s="209" t="s">
        <v>248</v>
      </c>
      <c r="K73" s="234">
        <v>5</v>
      </c>
      <c r="L73" s="91"/>
      <c r="M73" s="92"/>
    </row>
    <row r="74" spans="1:13" s="45" customFormat="1" ht="8.5500000000000007" customHeight="1" x14ac:dyDescent="0.2">
      <c r="A74" s="43"/>
      <c r="B74" s="380"/>
      <c r="C74" s="380"/>
      <c r="D74" s="380"/>
      <c r="E74" s="380"/>
      <c r="F74" s="381"/>
      <c r="G74" s="252"/>
      <c r="H74" s="254"/>
      <c r="I74" s="161"/>
      <c r="J74" s="210"/>
      <c r="K74" s="235"/>
      <c r="L74" s="91"/>
      <c r="M74" s="92"/>
    </row>
    <row r="75" spans="1:13" s="45" customFormat="1" ht="8.5500000000000007" customHeight="1" x14ac:dyDescent="0.2">
      <c r="A75" s="43"/>
      <c r="B75" s="378" t="s">
        <v>1095</v>
      </c>
      <c r="C75" s="378"/>
      <c r="D75" s="378"/>
      <c r="E75" s="378"/>
      <c r="F75" s="379"/>
      <c r="G75" s="251">
        <v>1999</v>
      </c>
      <c r="H75" s="253">
        <v>92</v>
      </c>
      <c r="I75" s="160">
        <v>94</v>
      </c>
      <c r="J75" s="209" t="s">
        <v>267</v>
      </c>
      <c r="K75" s="234">
        <v>5</v>
      </c>
      <c r="L75" s="91"/>
      <c r="M75" s="92"/>
    </row>
    <row r="76" spans="1:13" s="45" customFormat="1" ht="8.5500000000000007" customHeight="1" x14ac:dyDescent="0.2">
      <c r="A76" s="43"/>
      <c r="B76" s="380"/>
      <c r="C76" s="380"/>
      <c r="D76" s="380"/>
      <c r="E76" s="380"/>
      <c r="F76" s="381"/>
      <c r="G76" s="252"/>
      <c r="H76" s="254"/>
      <c r="I76" s="161"/>
      <c r="J76" s="210"/>
      <c r="K76" s="235"/>
      <c r="L76" s="91"/>
      <c r="M76" s="92"/>
    </row>
    <row r="77" spans="1:13" s="45" customFormat="1" ht="8.5500000000000007" customHeight="1" x14ac:dyDescent="0.2">
      <c r="A77" s="43"/>
      <c r="B77" s="378" t="s">
        <v>1094</v>
      </c>
      <c r="C77" s="378"/>
      <c r="D77" s="378"/>
      <c r="E77" s="378"/>
      <c r="F77" s="379"/>
      <c r="G77" s="251">
        <v>2000</v>
      </c>
      <c r="H77" s="253">
        <v>93</v>
      </c>
      <c r="I77" s="160">
        <v>92</v>
      </c>
      <c r="J77" s="209" t="s">
        <v>582</v>
      </c>
      <c r="K77" s="234">
        <v>3</v>
      </c>
      <c r="L77" s="91"/>
      <c r="M77" s="92"/>
    </row>
    <row r="78" spans="1:13" s="45" customFormat="1" ht="8.5500000000000007" customHeight="1" x14ac:dyDescent="0.2">
      <c r="A78" s="43"/>
      <c r="B78" s="380"/>
      <c r="C78" s="380"/>
      <c r="D78" s="380"/>
      <c r="E78" s="380"/>
      <c r="F78" s="381"/>
      <c r="G78" s="252"/>
      <c r="H78" s="254"/>
      <c r="I78" s="161"/>
      <c r="J78" s="210"/>
      <c r="K78" s="235"/>
      <c r="L78" s="91"/>
      <c r="M78" s="92"/>
    </row>
    <row r="79" spans="1:13" s="45" customFormat="1" ht="8.5500000000000007" customHeight="1" x14ac:dyDescent="0.2">
      <c r="A79" s="43"/>
      <c r="B79" s="378" t="s">
        <v>1096</v>
      </c>
      <c r="C79" s="378"/>
      <c r="D79" s="378"/>
      <c r="E79" s="378"/>
      <c r="F79" s="392"/>
      <c r="G79" s="388" t="s">
        <v>246</v>
      </c>
      <c r="H79" s="390" t="s">
        <v>246</v>
      </c>
      <c r="I79" s="390" t="s">
        <v>246</v>
      </c>
      <c r="J79" s="390" t="s">
        <v>246</v>
      </c>
      <c r="K79" s="234">
        <v>1</v>
      </c>
      <c r="L79" s="91"/>
      <c r="M79" s="92"/>
    </row>
    <row r="80" spans="1:13" s="45" customFormat="1" ht="8.5500000000000007" customHeight="1" x14ac:dyDescent="0.2">
      <c r="A80" s="43"/>
      <c r="B80" s="380"/>
      <c r="C80" s="380"/>
      <c r="D80" s="380"/>
      <c r="E80" s="380"/>
      <c r="F80" s="393"/>
      <c r="G80" s="389"/>
      <c r="H80" s="391"/>
      <c r="I80" s="391"/>
      <c r="J80" s="391"/>
      <c r="K80" s="235"/>
      <c r="L80" s="91"/>
      <c r="M80" s="92"/>
    </row>
    <row r="81" spans="1:13" s="45" customFormat="1" ht="8.5500000000000007" customHeight="1" x14ac:dyDescent="0.2">
      <c r="A81" s="43"/>
      <c r="B81" s="378" t="s">
        <v>1097</v>
      </c>
      <c r="C81" s="378"/>
      <c r="D81" s="378"/>
      <c r="E81" s="378"/>
      <c r="F81" s="392"/>
      <c r="G81" s="388" t="s">
        <v>246</v>
      </c>
      <c r="H81" s="253"/>
      <c r="I81" s="388"/>
      <c r="J81" s="332"/>
      <c r="K81" s="234">
        <v>2</v>
      </c>
      <c r="L81" s="91"/>
      <c r="M81" s="92"/>
    </row>
    <row r="82" spans="1:13" s="45" customFormat="1" ht="8.5500000000000007" customHeight="1" x14ac:dyDescent="0.2">
      <c r="A82" s="43"/>
      <c r="B82" s="380"/>
      <c r="C82" s="380"/>
      <c r="D82" s="380"/>
      <c r="E82" s="380"/>
      <c r="F82" s="393"/>
      <c r="G82" s="389"/>
      <c r="H82" s="254"/>
      <c r="I82" s="389"/>
      <c r="J82" s="349"/>
      <c r="K82" s="235"/>
      <c r="L82" s="91"/>
      <c r="M82" s="92"/>
    </row>
    <row r="83" spans="1:13" s="45" customFormat="1" ht="8.5500000000000007" customHeight="1" x14ac:dyDescent="0.2">
      <c r="A83" s="43"/>
      <c r="B83" s="378" t="s">
        <v>1098</v>
      </c>
      <c r="C83" s="378"/>
      <c r="D83" s="378"/>
      <c r="E83" s="378"/>
      <c r="F83" s="392"/>
      <c r="G83" s="388" t="s">
        <v>246</v>
      </c>
      <c r="H83" s="253">
        <v>99</v>
      </c>
      <c r="I83" s="388"/>
      <c r="J83" s="332" t="s">
        <v>345</v>
      </c>
      <c r="K83" s="234">
        <v>3</v>
      </c>
      <c r="L83" s="91"/>
      <c r="M83" s="92"/>
    </row>
    <row r="84" spans="1:13" s="45" customFormat="1" ht="8.5500000000000007" customHeight="1" x14ac:dyDescent="0.2">
      <c r="A84" s="43"/>
      <c r="B84" s="380"/>
      <c r="C84" s="380"/>
      <c r="D84" s="380"/>
      <c r="E84" s="380"/>
      <c r="F84" s="393"/>
      <c r="G84" s="389"/>
      <c r="H84" s="254"/>
      <c r="I84" s="389"/>
      <c r="J84" s="349"/>
      <c r="K84" s="235"/>
      <c r="L84" s="91"/>
      <c r="M84" s="92"/>
    </row>
    <row r="85" spans="1:13" s="45" customFormat="1" ht="8.5500000000000007" customHeight="1" x14ac:dyDescent="0.2">
      <c r="A85" s="43"/>
      <c r="B85" s="378" t="s">
        <v>1099</v>
      </c>
      <c r="C85" s="378"/>
      <c r="D85" s="378"/>
      <c r="E85" s="378"/>
      <c r="F85" s="392"/>
      <c r="G85" s="388" t="s">
        <v>246</v>
      </c>
      <c r="H85" s="253">
        <v>98</v>
      </c>
      <c r="I85" s="388"/>
      <c r="J85" s="332" t="s">
        <v>371</v>
      </c>
      <c r="K85" s="234">
        <v>3</v>
      </c>
      <c r="L85" s="91"/>
      <c r="M85" s="92"/>
    </row>
    <row r="86" spans="1:13" s="45" customFormat="1" ht="8.5500000000000007" customHeight="1" x14ac:dyDescent="0.2">
      <c r="A86" s="43"/>
      <c r="B86" s="380"/>
      <c r="C86" s="380"/>
      <c r="D86" s="380"/>
      <c r="E86" s="380"/>
      <c r="F86" s="393"/>
      <c r="G86" s="389"/>
      <c r="H86" s="254"/>
      <c r="I86" s="389"/>
      <c r="J86" s="349"/>
      <c r="K86" s="235"/>
      <c r="L86" s="91"/>
      <c r="M86" s="92"/>
    </row>
    <row r="87" spans="1:13" s="45" customFormat="1" ht="8.5500000000000007" customHeight="1" x14ac:dyDescent="0.2">
      <c r="A87" s="43"/>
      <c r="B87" s="378" t="s">
        <v>1100</v>
      </c>
      <c r="C87" s="378"/>
      <c r="D87" s="378"/>
      <c r="E87" s="378"/>
      <c r="F87" s="392"/>
      <c r="G87" s="388" t="s">
        <v>246</v>
      </c>
      <c r="H87" s="253">
        <v>97</v>
      </c>
      <c r="I87" s="388"/>
      <c r="J87" s="332" t="s">
        <v>250</v>
      </c>
      <c r="K87" s="234">
        <v>1</v>
      </c>
      <c r="L87" s="91"/>
      <c r="M87" s="92"/>
    </row>
    <row r="88" spans="1:13" s="45" customFormat="1" ht="8.5500000000000007" customHeight="1" x14ac:dyDescent="0.2">
      <c r="A88" s="43"/>
      <c r="B88" s="380"/>
      <c r="C88" s="380"/>
      <c r="D88" s="380"/>
      <c r="E88" s="380"/>
      <c r="F88" s="393"/>
      <c r="G88" s="389"/>
      <c r="H88" s="254"/>
      <c r="I88" s="389"/>
      <c r="J88" s="349"/>
      <c r="K88" s="235"/>
      <c r="L88" s="91"/>
      <c r="M88" s="92"/>
    </row>
    <row r="89" spans="1:13" s="45" customFormat="1" ht="8.5500000000000007" customHeight="1" x14ac:dyDescent="0.2">
      <c r="A89" s="43"/>
      <c r="B89" s="378" t="s">
        <v>1101</v>
      </c>
      <c r="C89" s="378"/>
      <c r="D89" s="378"/>
      <c r="E89" s="378"/>
      <c r="F89" s="392"/>
      <c r="G89" s="388" t="s">
        <v>246</v>
      </c>
      <c r="H89" s="298">
        <v>100</v>
      </c>
      <c r="I89" s="160"/>
      <c r="J89" s="209" t="s">
        <v>123</v>
      </c>
      <c r="K89" s="234">
        <v>3</v>
      </c>
      <c r="L89" s="91"/>
      <c r="M89" s="92"/>
    </row>
    <row r="90" spans="1:13" s="45" customFormat="1" ht="8.5500000000000007" customHeight="1" x14ac:dyDescent="0.2">
      <c r="A90" s="43"/>
      <c r="B90" s="380"/>
      <c r="C90" s="380"/>
      <c r="D90" s="380"/>
      <c r="E90" s="380"/>
      <c r="F90" s="393"/>
      <c r="G90" s="389"/>
      <c r="H90" s="299"/>
      <c r="I90" s="161"/>
      <c r="J90" s="210"/>
      <c r="K90" s="235"/>
      <c r="L90" s="91"/>
      <c r="M90" s="92"/>
    </row>
    <row r="91" spans="1:13" s="45" customFormat="1" ht="8.5500000000000007" customHeight="1" x14ac:dyDescent="0.2">
      <c r="A91" s="43"/>
      <c r="B91" s="378" t="s">
        <v>1102</v>
      </c>
      <c r="C91" s="378"/>
      <c r="D91" s="378"/>
      <c r="E91" s="378"/>
      <c r="F91" s="392"/>
      <c r="G91" s="388" t="s">
        <v>246</v>
      </c>
      <c r="H91" s="253">
        <v>99</v>
      </c>
      <c r="I91" s="160"/>
      <c r="J91" s="209" t="s">
        <v>258</v>
      </c>
      <c r="K91" s="234">
        <v>1</v>
      </c>
      <c r="L91" s="91"/>
      <c r="M91" s="92"/>
    </row>
    <row r="92" spans="1:13" s="45" customFormat="1" ht="8.5500000000000007" customHeight="1" x14ac:dyDescent="0.2">
      <c r="A92" s="43"/>
      <c r="B92" s="380"/>
      <c r="C92" s="380"/>
      <c r="D92" s="380"/>
      <c r="E92" s="380"/>
      <c r="F92" s="393"/>
      <c r="G92" s="389"/>
      <c r="H92" s="254"/>
      <c r="I92" s="161"/>
      <c r="J92" s="210"/>
      <c r="K92" s="235"/>
      <c r="L92" s="91"/>
      <c r="M92" s="92"/>
    </row>
    <row r="93" spans="1:13" s="45" customFormat="1" ht="8.5500000000000007" customHeight="1" x14ac:dyDescent="0.2">
      <c r="A93" s="43"/>
      <c r="B93" s="378" t="s">
        <v>1487</v>
      </c>
      <c r="C93" s="378"/>
      <c r="D93" s="378"/>
      <c r="E93" s="378"/>
      <c r="F93" s="392"/>
      <c r="G93" s="388" t="s">
        <v>246</v>
      </c>
      <c r="H93" s="253"/>
      <c r="I93" s="160"/>
      <c r="J93" s="209"/>
      <c r="K93" s="234">
        <v>2</v>
      </c>
      <c r="L93" s="91"/>
      <c r="M93" s="92"/>
    </row>
    <row r="94" spans="1:13" s="45" customFormat="1" ht="8.5500000000000007" customHeight="1" x14ac:dyDescent="0.2">
      <c r="A94" s="43"/>
      <c r="B94" s="380"/>
      <c r="C94" s="380"/>
      <c r="D94" s="380"/>
      <c r="E94" s="380"/>
      <c r="F94" s="393"/>
      <c r="G94" s="389"/>
      <c r="H94" s="254"/>
      <c r="I94" s="161"/>
      <c r="J94" s="210"/>
      <c r="K94" s="235"/>
      <c r="L94" s="91"/>
      <c r="M94" s="92"/>
    </row>
    <row r="95" spans="1:13" s="45" customFormat="1" ht="8.5500000000000007" customHeight="1" x14ac:dyDescent="0.2">
      <c r="A95" s="43"/>
      <c r="B95" s="378" t="s">
        <v>1103</v>
      </c>
      <c r="C95" s="378"/>
      <c r="D95" s="378"/>
      <c r="E95" s="378"/>
      <c r="F95" s="392"/>
      <c r="G95" s="388" t="s">
        <v>246</v>
      </c>
      <c r="H95" s="253">
        <v>99</v>
      </c>
      <c r="I95" s="160"/>
      <c r="J95" s="209" t="s">
        <v>998</v>
      </c>
      <c r="K95" s="234">
        <v>1</v>
      </c>
      <c r="L95" s="91"/>
      <c r="M95" s="92"/>
    </row>
    <row r="96" spans="1:13" s="45" customFormat="1" ht="8.5500000000000007" customHeight="1" x14ac:dyDescent="0.2">
      <c r="A96" s="43"/>
      <c r="B96" s="380"/>
      <c r="C96" s="380"/>
      <c r="D96" s="380"/>
      <c r="E96" s="380"/>
      <c r="F96" s="393"/>
      <c r="G96" s="389"/>
      <c r="H96" s="254"/>
      <c r="I96" s="161"/>
      <c r="J96" s="210"/>
      <c r="K96" s="235"/>
      <c r="L96" s="91"/>
      <c r="M96" s="92"/>
    </row>
    <row r="97" spans="1:13" s="45" customFormat="1" ht="8.5500000000000007" customHeight="1" x14ac:dyDescent="0.2">
      <c r="A97" s="43"/>
      <c r="B97" s="378" t="s">
        <v>1488</v>
      </c>
      <c r="C97" s="378"/>
      <c r="D97" s="378"/>
      <c r="E97" s="378"/>
      <c r="F97" s="392"/>
      <c r="G97" s="388" t="s">
        <v>246</v>
      </c>
      <c r="H97" s="253">
        <v>99</v>
      </c>
      <c r="I97" s="160"/>
      <c r="J97" s="209"/>
      <c r="K97" s="234">
        <v>3</v>
      </c>
      <c r="L97" s="91"/>
      <c r="M97" s="92"/>
    </row>
    <row r="98" spans="1:13" s="45" customFormat="1" ht="8.5500000000000007" customHeight="1" x14ac:dyDescent="0.2">
      <c r="A98" s="43"/>
      <c r="B98" s="380"/>
      <c r="C98" s="380"/>
      <c r="D98" s="380"/>
      <c r="E98" s="380"/>
      <c r="F98" s="393"/>
      <c r="G98" s="389"/>
      <c r="H98" s="254"/>
      <c r="I98" s="161"/>
      <c r="J98" s="210"/>
      <c r="K98" s="235"/>
      <c r="L98" s="91"/>
      <c r="M98" s="92"/>
    </row>
    <row r="99" spans="1:13" s="45" customFormat="1" ht="8.5500000000000007" customHeight="1" x14ac:dyDescent="0.2">
      <c r="A99" s="43"/>
      <c r="B99" s="378" t="s">
        <v>1104</v>
      </c>
      <c r="C99" s="378"/>
      <c r="D99" s="378"/>
      <c r="E99" s="378"/>
      <c r="F99" s="392"/>
      <c r="G99" s="388" t="s">
        <v>246</v>
      </c>
      <c r="H99" s="253">
        <v>93</v>
      </c>
      <c r="I99" s="160"/>
      <c r="J99" s="209" t="s">
        <v>127</v>
      </c>
      <c r="K99" s="234">
        <v>6</v>
      </c>
      <c r="L99" s="91"/>
      <c r="M99" s="92"/>
    </row>
    <row r="100" spans="1:13" s="45" customFormat="1" ht="8.5500000000000007" customHeight="1" x14ac:dyDescent="0.2">
      <c r="A100" s="43"/>
      <c r="B100" s="380"/>
      <c r="C100" s="380"/>
      <c r="D100" s="380"/>
      <c r="E100" s="380"/>
      <c r="F100" s="393"/>
      <c r="G100" s="389"/>
      <c r="H100" s="254"/>
      <c r="I100" s="161"/>
      <c r="J100" s="210"/>
      <c r="K100" s="235"/>
      <c r="L100" s="91"/>
      <c r="M100" s="92"/>
    </row>
    <row r="101" spans="1:13" s="45" customFormat="1" ht="8.5500000000000007" customHeight="1" x14ac:dyDescent="0.2">
      <c r="A101" s="43"/>
      <c r="B101" s="378" t="s">
        <v>1518</v>
      </c>
      <c r="C101" s="378"/>
      <c r="D101" s="378"/>
      <c r="E101" s="378"/>
      <c r="F101" s="379"/>
      <c r="G101" s="251">
        <v>2003</v>
      </c>
      <c r="H101" s="253">
        <v>94</v>
      </c>
      <c r="I101" s="160">
        <v>87</v>
      </c>
      <c r="J101" s="209" t="s">
        <v>236</v>
      </c>
      <c r="K101" s="234">
        <v>1</v>
      </c>
      <c r="L101" s="91"/>
      <c r="M101" s="92"/>
    </row>
    <row r="102" spans="1:13" s="45" customFormat="1" ht="8.5500000000000007" customHeight="1" x14ac:dyDescent="0.2">
      <c r="A102" s="43"/>
      <c r="B102" s="380"/>
      <c r="C102" s="380"/>
      <c r="D102" s="380"/>
      <c r="E102" s="380"/>
      <c r="F102" s="381"/>
      <c r="G102" s="252"/>
      <c r="H102" s="254"/>
      <c r="I102" s="161"/>
      <c r="J102" s="210"/>
      <c r="K102" s="235"/>
      <c r="L102" s="91"/>
      <c r="M102" s="92"/>
    </row>
    <row r="103" spans="1:13" s="45" customFormat="1" ht="8.5500000000000007" customHeight="1" x14ac:dyDescent="0.2">
      <c r="A103" s="43"/>
      <c r="B103" s="378" t="s">
        <v>1110</v>
      </c>
      <c r="C103" s="378"/>
      <c r="D103" s="378"/>
      <c r="E103" s="378"/>
      <c r="F103" s="379"/>
      <c r="G103" s="251">
        <v>2013</v>
      </c>
      <c r="H103" s="253">
        <v>97</v>
      </c>
      <c r="I103" s="160"/>
      <c r="J103" s="332" t="s">
        <v>1763</v>
      </c>
      <c r="K103" s="234">
        <v>1</v>
      </c>
      <c r="L103" s="91"/>
      <c r="M103" s="92"/>
    </row>
    <row r="104" spans="1:13" s="45" customFormat="1" ht="8.5500000000000007" customHeight="1" x14ac:dyDescent="0.2">
      <c r="A104" s="43"/>
      <c r="B104" s="380"/>
      <c r="C104" s="380"/>
      <c r="D104" s="380"/>
      <c r="E104" s="380"/>
      <c r="F104" s="381"/>
      <c r="G104" s="252"/>
      <c r="H104" s="254"/>
      <c r="I104" s="161"/>
      <c r="J104" s="349"/>
      <c r="K104" s="235"/>
      <c r="L104" s="91"/>
      <c r="M104" s="92"/>
    </row>
    <row r="105" spans="1:13" s="45" customFormat="1" ht="8.5500000000000007" customHeight="1" x14ac:dyDescent="0.2">
      <c r="A105" s="43"/>
      <c r="B105" s="378" t="s">
        <v>583</v>
      </c>
      <c r="C105" s="378"/>
      <c r="D105" s="378"/>
      <c r="E105" s="378"/>
      <c r="F105" s="379"/>
      <c r="G105" s="251">
        <v>1990</v>
      </c>
      <c r="H105" s="253">
        <v>98</v>
      </c>
      <c r="I105" s="160"/>
      <c r="J105" s="209"/>
      <c r="K105" s="234">
        <v>2</v>
      </c>
      <c r="L105" s="91"/>
      <c r="M105" s="92"/>
    </row>
    <row r="106" spans="1:13" s="45" customFormat="1" ht="8.5500000000000007" customHeight="1" x14ac:dyDescent="0.2">
      <c r="A106" s="43"/>
      <c r="B106" s="380"/>
      <c r="C106" s="380"/>
      <c r="D106" s="380"/>
      <c r="E106" s="380"/>
      <c r="F106" s="381"/>
      <c r="G106" s="252"/>
      <c r="H106" s="254"/>
      <c r="I106" s="161"/>
      <c r="J106" s="210"/>
      <c r="K106" s="235"/>
      <c r="L106" s="91"/>
      <c r="M106" s="92"/>
    </row>
    <row r="107" spans="1:13" s="45" customFormat="1" ht="8.5500000000000007" customHeight="1" x14ac:dyDescent="0.2">
      <c r="A107" s="43"/>
      <c r="B107" s="378" t="s">
        <v>583</v>
      </c>
      <c r="C107" s="378"/>
      <c r="D107" s="378"/>
      <c r="E107" s="378"/>
      <c r="F107" s="379"/>
      <c r="G107" s="251">
        <v>1991</v>
      </c>
      <c r="H107" s="253"/>
      <c r="I107" s="160"/>
      <c r="J107" s="209"/>
      <c r="K107" s="234">
        <v>2</v>
      </c>
      <c r="L107" s="91"/>
      <c r="M107" s="92"/>
    </row>
    <row r="108" spans="1:13" s="45" customFormat="1" ht="8.5500000000000007" customHeight="1" x14ac:dyDescent="0.2">
      <c r="A108" s="43"/>
      <c r="B108" s="380"/>
      <c r="C108" s="380"/>
      <c r="D108" s="380"/>
      <c r="E108" s="380"/>
      <c r="F108" s="381"/>
      <c r="G108" s="252"/>
      <c r="H108" s="254"/>
      <c r="I108" s="161"/>
      <c r="J108" s="210"/>
      <c r="K108" s="235"/>
      <c r="L108" s="91"/>
      <c r="M108" s="92"/>
    </row>
    <row r="109" spans="1:13" s="45" customFormat="1" ht="8.5500000000000007" customHeight="1" x14ac:dyDescent="0.2">
      <c r="A109" s="43"/>
      <c r="B109" s="378" t="s">
        <v>583</v>
      </c>
      <c r="C109" s="378"/>
      <c r="D109" s="378"/>
      <c r="E109" s="378"/>
      <c r="F109" s="379"/>
      <c r="G109" s="251">
        <v>1994</v>
      </c>
      <c r="H109" s="253">
        <v>92</v>
      </c>
      <c r="I109" s="160"/>
      <c r="J109" s="209" t="s">
        <v>1585</v>
      </c>
      <c r="K109" s="234">
        <v>2</v>
      </c>
      <c r="L109" s="91"/>
      <c r="M109" s="92"/>
    </row>
    <row r="110" spans="1:13" s="45" customFormat="1" ht="8.5500000000000007" customHeight="1" x14ac:dyDescent="0.2">
      <c r="A110" s="43"/>
      <c r="B110" s="380"/>
      <c r="C110" s="380"/>
      <c r="D110" s="380"/>
      <c r="E110" s="380"/>
      <c r="F110" s="381"/>
      <c r="G110" s="252"/>
      <c r="H110" s="254"/>
      <c r="I110" s="161"/>
      <c r="J110" s="210"/>
      <c r="K110" s="235"/>
      <c r="L110" s="91"/>
      <c r="M110" s="92"/>
    </row>
    <row r="111" spans="1:13" s="45" customFormat="1" ht="8.5500000000000007" customHeight="1" x14ac:dyDescent="0.2">
      <c r="A111" s="43"/>
      <c r="B111" s="378" t="s">
        <v>583</v>
      </c>
      <c r="C111" s="378"/>
      <c r="D111" s="378"/>
      <c r="E111" s="378"/>
      <c r="F111" s="379"/>
      <c r="G111" s="251">
        <v>1995</v>
      </c>
      <c r="H111" s="253">
        <v>91</v>
      </c>
      <c r="I111" s="160"/>
      <c r="J111" s="209" t="s">
        <v>1585</v>
      </c>
      <c r="K111" s="234">
        <v>1</v>
      </c>
      <c r="L111" s="91"/>
      <c r="M111" s="92"/>
    </row>
    <row r="112" spans="1:13" s="45" customFormat="1" ht="8.5500000000000007" customHeight="1" x14ac:dyDescent="0.2">
      <c r="A112" s="43"/>
      <c r="B112" s="380"/>
      <c r="C112" s="380"/>
      <c r="D112" s="380"/>
      <c r="E112" s="380"/>
      <c r="F112" s="381"/>
      <c r="G112" s="252"/>
      <c r="H112" s="254"/>
      <c r="I112" s="161"/>
      <c r="J112" s="210"/>
      <c r="K112" s="235"/>
      <c r="L112" s="91"/>
      <c r="M112" s="92"/>
    </row>
    <row r="113" spans="1:13" s="45" customFormat="1" ht="8.5500000000000007" customHeight="1" x14ac:dyDescent="0.2">
      <c r="A113" s="43"/>
      <c r="B113" s="201" t="s">
        <v>298</v>
      </c>
      <c r="C113" s="201"/>
      <c r="D113" s="201"/>
      <c r="E113" s="201"/>
      <c r="F113" s="157"/>
      <c r="G113" s="251">
        <v>1996</v>
      </c>
      <c r="H113" s="253">
        <v>96</v>
      </c>
      <c r="I113" s="160">
        <v>95</v>
      </c>
      <c r="J113" s="209" t="s">
        <v>702</v>
      </c>
      <c r="K113" s="234">
        <v>2</v>
      </c>
      <c r="L113" s="91"/>
      <c r="M113" s="92"/>
    </row>
    <row r="114" spans="1:13" s="45" customFormat="1" ht="8.5500000000000007" customHeight="1" x14ac:dyDescent="0.2">
      <c r="A114" s="43"/>
      <c r="B114" s="158"/>
      <c r="C114" s="158"/>
      <c r="D114" s="158"/>
      <c r="E114" s="158"/>
      <c r="F114" s="159"/>
      <c r="G114" s="252"/>
      <c r="H114" s="254"/>
      <c r="I114" s="161"/>
      <c r="J114" s="210"/>
      <c r="K114" s="235"/>
      <c r="L114" s="91"/>
      <c r="M114" s="92"/>
    </row>
    <row r="115" spans="1:13" s="45" customFormat="1" ht="8.5500000000000007" customHeight="1" x14ac:dyDescent="0.2">
      <c r="A115" s="43"/>
      <c r="B115" s="201" t="s">
        <v>298</v>
      </c>
      <c r="C115" s="201"/>
      <c r="D115" s="201"/>
      <c r="E115" s="201"/>
      <c r="F115" s="157"/>
      <c r="G115" s="251">
        <v>1999</v>
      </c>
      <c r="H115" s="253">
        <v>98</v>
      </c>
      <c r="I115" s="160"/>
      <c r="J115" s="209" t="s">
        <v>310</v>
      </c>
      <c r="K115" s="234">
        <v>2</v>
      </c>
      <c r="L115" s="91"/>
      <c r="M115" s="92"/>
    </row>
    <row r="116" spans="1:13" s="45" customFormat="1" ht="8.5500000000000007" customHeight="1" x14ac:dyDescent="0.2">
      <c r="A116" s="43"/>
      <c r="B116" s="158"/>
      <c r="C116" s="158"/>
      <c r="D116" s="158"/>
      <c r="E116" s="158"/>
      <c r="F116" s="159"/>
      <c r="G116" s="252"/>
      <c r="H116" s="254"/>
      <c r="I116" s="161"/>
      <c r="J116" s="210"/>
      <c r="K116" s="235"/>
      <c r="L116" s="91"/>
      <c r="M116" s="92"/>
    </row>
    <row r="117" spans="1:13" s="45" customFormat="1" ht="8.5500000000000007" customHeight="1" x14ac:dyDescent="0.2">
      <c r="A117" s="43"/>
      <c r="B117" s="201" t="s">
        <v>298</v>
      </c>
      <c r="C117" s="201"/>
      <c r="D117" s="201"/>
      <c r="E117" s="201"/>
      <c r="F117" s="157"/>
      <c r="G117" s="251">
        <v>2001</v>
      </c>
      <c r="H117" s="253">
        <v>95</v>
      </c>
      <c r="I117" s="160">
        <v>93</v>
      </c>
      <c r="J117" s="209" t="s">
        <v>311</v>
      </c>
      <c r="K117" s="234">
        <v>1</v>
      </c>
      <c r="L117" s="91"/>
      <c r="M117" s="92"/>
    </row>
    <row r="118" spans="1:13" s="45" customFormat="1" ht="8.5500000000000007" customHeight="1" x14ac:dyDescent="0.2">
      <c r="A118" s="43"/>
      <c r="B118" s="158"/>
      <c r="C118" s="158"/>
      <c r="D118" s="158"/>
      <c r="E118" s="158"/>
      <c r="F118" s="159"/>
      <c r="G118" s="252"/>
      <c r="H118" s="254"/>
      <c r="I118" s="161"/>
      <c r="J118" s="210"/>
      <c r="K118" s="235"/>
      <c r="L118" s="91"/>
      <c r="M118" s="92"/>
    </row>
    <row r="119" spans="1:13" s="45" customFormat="1" ht="8.5500000000000007" customHeight="1" x14ac:dyDescent="0.2">
      <c r="A119" s="43"/>
      <c r="B119" s="201" t="s">
        <v>298</v>
      </c>
      <c r="C119" s="201"/>
      <c r="D119" s="201"/>
      <c r="E119" s="201"/>
      <c r="F119" s="157"/>
      <c r="G119" s="251">
        <v>2003</v>
      </c>
      <c r="H119" s="253">
        <v>94</v>
      </c>
      <c r="I119" s="160"/>
      <c r="J119" s="209"/>
      <c r="K119" s="234">
        <v>1</v>
      </c>
      <c r="L119" s="91"/>
      <c r="M119" s="92"/>
    </row>
    <row r="120" spans="1:13" s="45" customFormat="1" ht="8.5500000000000007" customHeight="1" x14ac:dyDescent="0.2">
      <c r="A120" s="43"/>
      <c r="B120" s="158"/>
      <c r="C120" s="158"/>
      <c r="D120" s="158"/>
      <c r="E120" s="158"/>
      <c r="F120" s="159"/>
      <c r="G120" s="252"/>
      <c r="H120" s="254"/>
      <c r="I120" s="161"/>
      <c r="J120" s="210"/>
      <c r="K120" s="235"/>
      <c r="L120" s="91"/>
      <c r="M120" s="92"/>
    </row>
    <row r="121" spans="1:13" s="45" customFormat="1" ht="8.5500000000000007" customHeight="1" x14ac:dyDescent="0.2">
      <c r="A121" s="43"/>
      <c r="B121" s="201" t="s">
        <v>298</v>
      </c>
      <c r="C121" s="201"/>
      <c r="D121" s="201"/>
      <c r="E121" s="201"/>
      <c r="F121" s="157"/>
      <c r="G121" s="251">
        <v>2004</v>
      </c>
      <c r="H121" s="253">
        <v>100</v>
      </c>
      <c r="I121" s="160"/>
      <c r="J121" s="209" t="s">
        <v>67</v>
      </c>
      <c r="K121" s="234">
        <v>3</v>
      </c>
      <c r="L121" s="91"/>
      <c r="M121" s="92"/>
    </row>
    <row r="122" spans="1:13" s="45" customFormat="1" ht="8.5500000000000007" customHeight="1" x14ac:dyDescent="0.2">
      <c r="A122" s="43"/>
      <c r="B122" s="158"/>
      <c r="C122" s="158"/>
      <c r="D122" s="158"/>
      <c r="E122" s="158"/>
      <c r="F122" s="159"/>
      <c r="G122" s="252"/>
      <c r="H122" s="254"/>
      <c r="I122" s="161"/>
      <c r="J122" s="210"/>
      <c r="K122" s="235"/>
      <c r="L122" s="91"/>
      <c r="M122" s="92"/>
    </row>
    <row r="123" spans="1:13" s="45" customFormat="1" ht="8.5500000000000007" customHeight="1" x14ac:dyDescent="0.2">
      <c r="A123" s="43"/>
      <c r="B123" s="339" t="s">
        <v>381</v>
      </c>
      <c r="C123" s="339"/>
      <c r="D123" s="339"/>
      <c r="E123" s="339"/>
      <c r="F123" s="339"/>
      <c r="G123" s="47"/>
      <c r="H123" s="47"/>
      <c r="I123" s="48"/>
      <c r="J123" s="48"/>
      <c r="K123" s="234"/>
      <c r="L123" s="91"/>
      <c r="M123" s="92"/>
    </row>
    <row r="124" spans="1:13" s="45" customFormat="1" ht="8.5500000000000007" customHeight="1" x14ac:dyDescent="0.2">
      <c r="A124" s="43"/>
      <c r="B124" s="340"/>
      <c r="C124" s="340"/>
      <c r="D124" s="340"/>
      <c r="E124" s="340"/>
      <c r="F124" s="340"/>
      <c r="G124" s="54"/>
      <c r="H124" s="54"/>
      <c r="I124" s="49"/>
      <c r="J124" s="49"/>
      <c r="K124" s="235"/>
      <c r="L124" s="91"/>
      <c r="M124" s="92"/>
    </row>
    <row r="125" spans="1:13" s="45" customFormat="1" ht="8.5500000000000007" customHeight="1" x14ac:dyDescent="0.2">
      <c r="A125" s="43"/>
      <c r="B125" s="201" t="s">
        <v>298</v>
      </c>
      <c r="C125" s="201"/>
      <c r="D125" s="201"/>
      <c r="E125" s="201"/>
      <c r="F125" s="157"/>
      <c r="G125" s="251">
        <v>2005</v>
      </c>
      <c r="H125" s="253">
        <v>99</v>
      </c>
      <c r="I125" s="160"/>
      <c r="J125" s="209" t="s">
        <v>7</v>
      </c>
      <c r="K125" s="234">
        <v>3</v>
      </c>
      <c r="L125" s="91"/>
      <c r="M125" s="92"/>
    </row>
    <row r="126" spans="1:13" s="45" customFormat="1" ht="8.5500000000000007" customHeight="1" x14ac:dyDescent="0.2">
      <c r="A126" s="43"/>
      <c r="B126" s="158"/>
      <c r="C126" s="158"/>
      <c r="D126" s="158"/>
      <c r="E126" s="158"/>
      <c r="F126" s="159"/>
      <c r="G126" s="252"/>
      <c r="H126" s="254"/>
      <c r="I126" s="161"/>
      <c r="J126" s="210"/>
      <c r="K126" s="235"/>
      <c r="L126" s="91"/>
      <c r="M126" s="92"/>
    </row>
    <row r="127" spans="1:13" s="45" customFormat="1" ht="8.5500000000000007" customHeight="1" x14ac:dyDescent="0.2">
      <c r="A127" s="43"/>
      <c r="B127" s="201" t="s">
        <v>298</v>
      </c>
      <c r="C127" s="201"/>
      <c r="D127" s="201"/>
      <c r="E127" s="201"/>
      <c r="F127" s="157"/>
      <c r="G127" s="251">
        <v>2006</v>
      </c>
      <c r="H127" s="253">
        <v>98</v>
      </c>
      <c r="I127" s="160">
        <v>96</v>
      </c>
      <c r="J127" s="209" t="s">
        <v>305</v>
      </c>
      <c r="K127" s="234">
        <v>3</v>
      </c>
      <c r="L127" s="91"/>
      <c r="M127" s="92"/>
    </row>
    <row r="128" spans="1:13" s="45" customFormat="1" ht="8.5500000000000007" customHeight="1" x14ac:dyDescent="0.2">
      <c r="A128" s="43"/>
      <c r="B128" s="158"/>
      <c r="C128" s="158"/>
      <c r="D128" s="158"/>
      <c r="E128" s="158"/>
      <c r="F128" s="159"/>
      <c r="G128" s="252"/>
      <c r="H128" s="254"/>
      <c r="I128" s="161"/>
      <c r="J128" s="210"/>
      <c r="K128" s="235"/>
      <c r="L128" s="91"/>
      <c r="M128" s="92"/>
    </row>
    <row r="129" spans="1:13" s="45" customFormat="1" ht="8.5500000000000007" customHeight="1" x14ac:dyDescent="0.2">
      <c r="A129" s="43"/>
      <c r="B129" s="201" t="s">
        <v>298</v>
      </c>
      <c r="C129" s="201"/>
      <c r="D129" s="201"/>
      <c r="E129" s="201"/>
      <c r="F129" s="157"/>
      <c r="G129" s="251">
        <v>2007</v>
      </c>
      <c r="H129" s="253">
        <v>98</v>
      </c>
      <c r="I129" s="160"/>
      <c r="J129" s="209" t="s">
        <v>312</v>
      </c>
      <c r="K129" s="234">
        <v>4</v>
      </c>
      <c r="L129" s="91"/>
      <c r="M129" s="92"/>
    </row>
    <row r="130" spans="1:13" s="45" customFormat="1" ht="8.5500000000000007" customHeight="1" x14ac:dyDescent="0.2">
      <c r="A130" s="43"/>
      <c r="B130" s="158"/>
      <c r="C130" s="158"/>
      <c r="D130" s="158"/>
      <c r="E130" s="158"/>
      <c r="F130" s="159"/>
      <c r="G130" s="252"/>
      <c r="H130" s="254"/>
      <c r="I130" s="161"/>
      <c r="J130" s="210"/>
      <c r="K130" s="235"/>
      <c r="L130" s="91"/>
      <c r="M130" s="92"/>
    </row>
    <row r="131" spans="1:13" s="45" customFormat="1" ht="8.5500000000000007" customHeight="1" x14ac:dyDescent="0.2">
      <c r="A131" s="43"/>
      <c r="B131" s="201" t="s">
        <v>298</v>
      </c>
      <c r="C131" s="201"/>
      <c r="D131" s="201"/>
      <c r="E131" s="201"/>
      <c r="F131" s="157"/>
      <c r="G131" s="251">
        <v>2008</v>
      </c>
      <c r="H131" s="253">
        <v>99</v>
      </c>
      <c r="I131" s="160"/>
      <c r="J131" s="209" t="s">
        <v>313</v>
      </c>
      <c r="K131" s="234">
        <v>4</v>
      </c>
      <c r="L131" s="91"/>
      <c r="M131" s="92"/>
    </row>
    <row r="132" spans="1:13" s="45" customFormat="1" ht="8.5500000000000007" customHeight="1" x14ac:dyDescent="0.2">
      <c r="A132" s="43"/>
      <c r="B132" s="158"/>
      <c r="C132" s="158"/>
      <c r="D132" s="158"/>
      <c r="E132" s="158"/>
      <c r="F132" s="159"/>
      <c r="G132" s="252"/>
      <c r="H132" s="254"/>
      <c r="I132" s="161"/>
      <c r="J132" s="210"/>
      <c r="K132" s="235"/>
      <c r="L132" s="91"/>
      <c r="M132" s="92"/>
    </row>
    <row r="133" spans="1:13" s="45" customFormat="1" ht="8.5500000000000007" customHeight="1" x14ac:dyDescent="0.2">
      <c r="A133" s="43"/>
      <c r="B133" s="201" t="s">
        <v>1141</v>
      </c>
      <c r="C133" s="201"/>
      <c r="D133" s="201"/>
      <c r="E133" s="201"/>
      <c r="F133" s="157"/>
      <c r="G133" s="251">
        <v>2012</v>
      </c>
      <c r="H133" s="253">
        <v>93</v>
      </c>
      <c r="I133" s="160"/>
      <c r="J133" s="209" t="s">
        <v>1770</v>
      </c>
      <c r="K133" s="234">
        <v>1</v>
      </c>
      <c r="L133" s="91"/>
      <c r="M133" s="92"/>
    </row>
    <row r="134" spans="1:13" s="45" customFormat="1" ht="8.5500000000000007" customHeight="1" x14ac:dyDescent="0.2">
      <c r="A134" s="43"/>
      <c r="B134" s="158"/>
      <c r="C134" s="158"/>
      <c r="D134" s="158"/>
      <c r="E134" s="158"/>
      <c r="F134" s="159"/>
      <c r="G134" s="252"/>
      <c r="H134" s="254"/>
      <c r="I134" s="161"/>
      <c r="J134" s="210"/>
      <c r="K134" s="235"/>
      <c r="L134" s="91"/>
      <c r="M134" s="92"/>
    </row>
    <row r="135" spans="1:13" s="45" customFormat="1" ht="8.5500000000000007" customHeight="1" x14ac:dyDescent="0.2">
      <c r="A135" s="43"/>
      <c r="B135" s="201" t="s">
        <v>243</v>
      </c>
      <c r="C135" s="201"/>
      <c r="D135" s="201"/>
      <c r="E135" s="201"/>
      <c r="F135" s="157"/>
      <c r="G135" s="251">
        <v>2002</v>
      </c>
      <c r="H135" s="253">
        <v>93</v>
      </c>
      <c r="I135" s="160">
        <v>89</v>
      </c>
      <c r="J135" s="209" t="s">
        <v>259</v>
      </c>
      <c r="K135" s="234">
        <v>2</v>
      </c>
      <c r="L135" s="91"/>
      <c r="M135" s="92"/>
    </row>
    <row r="136" spans="1:13" s="45" customFormat="1" ht="8.5500000000000007" customHeight="1" x14ac:dyDescent="0.2">
      <c r="A136" s="43"/>
      <c r="B136" s="158"/>
      <c r="C136" s="158"/>
      <c r="D136" s="158"/>
      <c r="E136" s="158"/>
      <c r="F136" s="159"/>
      <c r="G136" s="252"/>
      <c r="H136" s="254"/>
      <c r="I136" s="161"/>
      <c r="J136" s="210"/>
      <c r="K136" s="235"/>
      <c r="L136" s="91"/>
      <c r="M136" s="92"/>
    </row>
    <row r="137" spans="1:13" s="45" customFormat="1" ht="8.5500000000000007" customHeight="1" x14ac:dyDescent="0.2">
      <c r="A137" s="43"/>
      <c r="B137" s="378" t="s">
        <v>119</v>
      </c>
      <c r="C137" s="378"/>
      <c r="D137" s="378"/>
      <c r="E137" s="378"/>
      <c r="F137" s="379"/>
      <c r="G137" s="251">
        <v>2003</v>
      </c>
      <c r="H137" s="253" t="s">
        <v>626</v>
      </c>
      <c r="I137" s="160">
        <v>87</v>
      </c>
      <c r="J137" s="209" t="s">
        <v>259</v>
      </c>
      <c r="K137" s="234">
        <v>2</v>
      </c>
      <c r="L137" s="91"/>
      <c r="M137" s="92"/>
    </row>
    <row r="138" spans="1:13" s="45" customFormat="1" ht="8.5500000000000007" customHeight="1" x14ac:dyDescent="0.2">
      <c r="A138" s="43"/>
      <c r="B138" s="380"/>
      <c r="C138" s="380"/>
      <c r="D138" s="380"/>
      <c r="E138" s="380"/>
      <c r="F138" s="381"/>
      <c r="G138" s="252"/>
      <c r="H138" s="254"/>
      <c r="I138" s="161"/>
      <c r="J138" s="210"/>
      <c r="K138" s="235"/>
      <c r="L138" s="91"/>
      <c r="M138" s="92"/>
    </row>
    <row r="139" spans="1:13" s="45" customFormat="1" ht="8.5500000000000007" customHeight="1" x14ac:dyDescent="0.2">
      <c r="A139" s="43"/>
      <c r="B139" s="378" t="s">
        <v>119</v>
      </c>
      <c r="C139" s="378"/>
      <c r="D139" s="378"/>
      <c r="E139" s="378"/>
      <c r="F139" s="379"/>
      <c r="G139" s="251">
        <v>2004</v>
      </c>
      <c r="H139" s="253">
        <v>96</v>
      </c>
      <c r="I139" s="160">
        <v>89</v>
      </c>
      <c r="J139" s="209" t="s">
        <v>314</v>
      </c>
      <c r="K139" s="234">
        <v>1</v>
      </c>
      <c r="L139" s="91"/>
      <c r="M139" s="92"/>
    </row>
    <row r="140" spans="1:13" s="45" customFormat="1" ht="8.5500000000000007" customHeight="1" x14ac:dyDescent="0.2">
      <c r="A140" s="43"/>
      <c r="B140" s="380"/>
      <c r="C140" s="380"/>
      <c r="D140" s="380"/>
      <c r="E140" s="380"/>
      <c r="F140" s="381"/>
      <c r="G140" s="252"/>
      <c r="H140" s="254"/>
      <c r="I140" s="161"/>
      <c r="J140" s="210"/>
      <c r="K140" s="235"/>
      <c r="L140" s="91"/>
      <c r="M140" s="92"/>
    </row>
    <row r="141" spans="1:13" s="45" customFormat="1" ht="8.5500000000000007" customHeight="1" x14ac:dyDescent="0.2">
      <c r="A141" s="43"/>
      <c r="B141" s="378" t="s">
        <v>119</v>
      </c>
      <c r="C141" s="378"/>
      <c r="D141" s="378"/>
      <c r="E141" s="378"/>
      <c r="F141" s="379"/>
      <c r="G141" s="251">
        <v>2005</v>
      </c>
      <c r="H141" s="253" t="s">
        <v>633</v>
      </c>
      <c r="I141" s="160">
        <v>89</v>
      </c>
      <c r="J141" s="209" t="s">
        <v>127</v>
      </c>
      <c r="K141" s="234">
        <v>1</v>
      </c>
      <c r="L141" s="91"/>
      <c r="M141" s="92"/>
    </row>
    <row r="142" spans="1:13" s="45" customFormat="1" ht="8.5500000000000007" customHeight="1" x14ac:dyDescent="0.2">
      <c r="A142" s="43"/>
      <c r="B142" s="380"/>
      <c r="C142" s="380"/>
      <c r="D142" s="380"/>
      <c r="E142" s="380"/>
      <c r="F142" s="381"/>
      <c r="G142" s="252"/>
      <c r="H142" s="254"/>
      <c r="I142" s="161"/>
      <c r="J142" s="210"/>
      <c r="K142" s="235"/>
      <c r="L142" s="91"/>
      <c r="M142" s="92"/>
    </row>
    <row r="143" spans="1:13" s="45" customFormat="1" ht="8.5500000000000007" customHeight="1" x14ac:dyDescent="0.2">
      <c r="A143" s="43"/>
      <c r="B143" s="201" t="s">
        <v>584</v>
      </c>
      <c r="C143" s="201"/>
      <c r="D143" s="201"/>
      <c r="E143" s="201"/>
      <c r="F143" s="157"/>
      <c r="G143" s="251">
        <v>2003</v>
      </c>
      <c r="H143" s="253">
        <v>94</v>
      </c>
      <c r="I143" s="160"/>
      <c r="J143" s="209" t="s">
        <v>259</v>
      </c>
      <c r="K143" s="234">
        <v>1</v>
      </c>
      <c r="L143" s="91"/>
      <c r="M143" s="92"/>
    </row>
    <row r="144" spans="1:13" s="45" customFormat="1" ht="8.5500000000000007" customHeight="1" x14ac:dyDescent="0.2">
      <c r="A144" s="43"/>
      <c r="B144" s="158"/>
      <c r="C144" s="158"/>
      <c r="D144" s="158"/>
      <c r="E144" s="158"/>
      <c r="F144" s="159"/>
      <c r="G144" s="252"/>
      <c r="H144" s="254"/>
      <c r="I144" s="161"/>
      <c r="J144" s="210"/>
      <c r="K144" s="235"/>
      <c r="L144" s="91"/>
      <c r="M144" s="92"/>
    </row>
    <row r="145" spans="1:13" s="45" customFormat="1" ht="8.5500000000000007" customHeight="1" x14ac:dyDescent="0.2">
      <c r="A145" s="43"/>
      <c r="B145" s="378" t="s">
        <v>274</v>
      </c>
      <c r="C145" s="378"/>
      <c r="D145" s="378"/>
      <c r="E145" s="378"/>
      <c r="F145" s="379"/>
      <c r="G145" s="251">
        <v>2003</v>
      </c>
      <c r="H145" s="253">
        <v>93</v>
      </c>
      <c r="I145" s="160">
        <v>94</v>
      </c>
      <c r="J145" s="209" t="s">
        <v>124</v>
      </c>
      <c r="K145" s="234">
        <v>1</v>
      </c>
      <c r="L145" s="91"/>
      <c r="M145" s="92"/>
    </row>
    <row r="146" spans="1:13" s="45" customFormat="1" ht="8.5500000000000007" customHeight="1" x14ac:dyDescent="0.2">
      <c r="A146" s="43"/>
      <c r="B146" s="380"/>
      <c r="C146" s="380"/>
      <c r="D146" s="380"/>
      <c r="E146" s="380"/>
      <c r="F146" s="381"/>
      <c r="G146" s="252"/>
      <c r="H146" s="254"/>
      <c r="I146" s="161"/>
      <c r="J146" s="210"/>
      <c r="K146" s="235"/>
      <c r="L146" s="91"/>
      <c r="M146" s="92"/>
    </row>
    <row r="147" spans="1:13" s="45" customFormat="1" ht="8.5500000000000007" customHeight="1" x14ac:dyDescent="0.2">
      <c r="A147" s="43"/>
      <c r="B147" s="378" t="s">
        <v>274</v>
      </c>
      <c r="C147" s="378"/>
      <c r="D147" s="378"/>
      <c r="E147" s="378"/>
      <c r="F147" s="379"/>
      <c r="G147" s="251">
        <v>2005</v>
      </c>
      <c r="H147" s="253">
        <v>98</v>
      </c>
      <c r="I147" s="160"/>
      <c r="J147" s="209" t="s">
        <v>261</v>
      </c>
      <c r="K147" s="234">
        <v>2</v>
      </c>
      <c r="L147" s="91"/>
      <c r="M147" s="92"/>
    </row>
    <row r="148" spans="1:13" s="45" customFormat="1" ht="8.5500000000000007" customHeight="1" x14ac:dyDescent="0.2">
      <c r="A148" s="43"/>
      <c r="B148" s="380"/>
      <c r="C148" s="380"/>
      <c r="D148" s="380"/>
      <c r="E148" s="380"/>
      <c r="F148" s="381"/>
      <c r="G148" s="252"/>
      <c r="H148" s="254"/>
      <c r="I148" s="161"/>
      <c r="J148" s="210"/>
      <c r="K148" s="235"/>
      <c r="L148" s="91"/>
      <c r="M148" s="92"/>
    </row>
    <row r="149" spans="1:13" s="45" customFormat="1" ht="8.5500000000000007" customHeight="1" x14ac:dyDescent="0.2">
      <c r="A149" s="43"/>
      <c r="B149" s="378" t="s">
        <v>274</v>
      </c>
      <c r="C149" s="378"/>
      <c r="D149" s="378"/>
      <c r="E149" s="378"/>
      <c r="F149" s="379"/>
      <c r="G149" s="251">
        <v>2006</v>
      </c>
      <c r="H149" s="253">
        <v>96</v>
      </c>
      <c r="I149" s="160">
        <v>92</v>
      </c>
      <c r="J149" s="209" t="s">
        <v>305</v>
      </c>
      <c r="K149" s="234">
        <v>3</v>
      </c>
      <c r="L149" s="91"/>
      <c r="M149" s="92"/>
    </row>
    <row r="150" spans="1:13" s="45" customFormat="1" ht="8.5500000000000007" customHeight="1" x14ac:dyDescent="0.2">
      <c r="A150" s="43"/>
      <c r="B150" s="380"/>
      <c r="C150" s="380"/>
      <c r="D150" s="380"/>
      <c r="E150" s="380"/>
      <c r="F150" s="381"/>
      <c r="G150" s="252"/>
      <c r="H150" s="254"/>
      <c r="I150" s="161"/>
      <c r="J150" s="210"/>
      <c r="K150" s="235"/>
      <c r="L150" s="91"/>
      <c r="M150" s="92"/>
    </row>
    <row r="151" spans="1:13" s="45" customFormat="1" ht="8.5500000000000007" customHeight="1" x14ac:dyDescent="0.2">
      <c r="A151" s="43"/>
      <c r="B151" s="378" t="s">
        <v>242</v>
      </c>
      <c r="C151" s="378"/>
      <c r="D151" s="378"/>
      <c r="E151" s="378"/>
      <c r="F151" s="379"/>
      <c r="G151" s="251">
        <v>2005</v>
      </c>
      <c r="H151" s="253">
        <v>95</v>
      </c>
      <c r="I151" s="160"/>
      <c r="J151" s="209" t="s">
        <v>124</v>
      </c>
      <c r="K151" s="234">
        <v>1</v>
      </c>
      <c r="L151" s="91"/>
      <c r="M151" s="92"/>
    </row>
    <row r="152" spans="1:13" s="45" customFormat="1" ht="8.5500000000000007" customHeight="1" x14ac:dyDescent="0.2">
      <c r="A152" s="43"/>
      <c r="B152" s="380"/>
      <c r="C152" s="380"/>
      <c r="D152" s="380"/>
      <c r="E152" s="380"/>
      <c r="F152" s="381"/>
      <c r="G152" s="252"/>
      <c r="H152" s="254"/>
      <c r="I152" s="161"/>
      <c r="J152" s="210"/>
      <c r="K152" s="235"/>
      <c r="L152" s="91"/>
      <c r="M152" s="92"/>
    </row>
    <row r="153" spans="1:13" s="45" customFormat="1" ht="8.5500000000000007" customHeight="1" x14ac:dyDescent="0.2">
      <c r="A153" s="43"/>
      <c r="B153" s="378" t="s">
        <v>585</v>
      </c>
      <c r="C153" s="378"/>
      <c r="D153" s="378"/>
      <c r="E153" s="378"/>
      <c r="F153" s="379"/>
      <c r="G153" s="251">
        <v>2004</v>
      </c>
      <c r="H153" s="253">
        <v>96</v>
      </c>
      <c r="I153" s="160">
        <v>90</v>
      </c>
      <c r="J153" s="209" t="s">
        <v>124</v>
      </c>
      <c r="K153" s="234">
        <v>1</v>
      </c>
      <c r="L153" s="91"/>
      <c r="M153" s="92"/>
    </row>
    <row r="154" spans="1:13" s="45" customFormat="1" ht="8.5500000000000007" customHeight="1" x14ac:dyDescent="0.2">
      <c r="A154" s="43"/>
      <c r="B154" s="380"/>
      <c r="C154" s="380"/>
      <c r="D154" s="380"/>
      <c r="E154" s="380"/>
      <c r="F154" s="381"/>
      <c r="G154" s="252"/>
      <c r="H154" s="254"/>
      <c r="I154" s="161"/>
      <c r="J154" s="210"/>
      <c r="K154" s="235"/>
      <c r="L154" s="91"/>
      <c r="M154" s="92"/>
    </row>
    <row r="155" spans="1:13" s="45" customFormat="1" ht="8.5500000000000007" customHeight="1" x14ac:dyDescent="0.2">
      <c r="A155" s="43"/>
      <c r="B155" s="378" t="s">
        <v>585</v>
      </c>
      <c r="C155" s="378"/>
      <c r="D155" s="378"/>
      <c r="E155" s="378"/>
      <c r="F155" s="379"/>
      <c r="G155" s="251">
        <v>2005</v>
      </c>
      <c r="H155" s="253">
        <v>95</v>
      </c>
      <c r="I155" s="160">
        <v>78</v>
      </c>
      <c r="J155" s="209" t="s">
        <v>236</v>
      </c>
      <c r="K155" s="234">
        <v>1</v>
      </c>
      <c r="L155" s="91"/>
      <c r="M155" s="92"/>
    </row>
    <row r="156" spans="1:13" s="45" customFormat="1" ht="8.5500000000000007" customHeight="1" x14ac:dyDescent="0.2">
      <c r="A156" s="43"/>
      <c r="B156" s="380"/>
      <c r="C156" s="380"/>
      <c r="D156" s="380"/>
      <c r="E156" s="380"/>
      <c r="F156" s="381"/>
      <c r="G156" s="252"/>
      <c r="H156" s="254"/>
      <c r="I156" s="161"/>
      <c r="J156" s="210"/>
      <c r="K156" s="235"/>
      <c r="L156" s="91"/>
      <c r="M156" s="92"/>
    </row>
    <row r="157" spans="1:13" s="45" customFormat="1" ht="8.5500000000000007" customHeight="1" x14ac:dyDescent="0.2">
      <c r="A157" s="43"/>
      <c r="B157" s="378" t="s">
        <v>585</v>
      </c>
      <c r="C157" s="378"/>
      <c r="D157" s="378"/>
      <c r="E157" s="378"/>
      <c r="F157" s="379"/>
      <c r="G157" s="251">
        <v>2006</v>
      </c>
      <c r="H157" s="253">
        <v>93</v>
      </c>
      <c r="I157" s="160">
        <v>88</v>
      </c>
      <c r="J157" s="209" t="s">
        <v>15</v>
      </c>
      <c r="K157" s="234">
        <v>2</v>
      </c>
      <c r="L157" s="91"/>
      <c r="M157" s="92"/>
    </row>
    <row r="158" spans="1:13" s="45" customFormat="1" ht="8.5500000000000007" customHeight="1" x14ac:dyDescent="0.2">
      <c r="A158" s="43"/>
      <c r="B158" s="380"/>
      <c r="C158" s="380"/>
      <c r="D158" s="380"/>
      <c r="E158" s="380"/>
      <c r="F158" s="381"/>
      <c r="G158" s="252"/>
      <c r="H158" s="254"/>
      <c r="I158" s="161"/>
      <c r="J158" s="210"/>
      <c r="K158" s="235"/>
      <c r="L158" s="91"/>
      <c r="M158" s="92"/>
    </row>
    <row r="159" spans="1:13" s="45" customFormat="1" ht="8.5500000000000007" customHeight="1" x14ac:dyDescent="0.2">
      <c r="A159" s="43"/>
      <c r="B159" s="201" t="s">
        <v>245</v>
      </c>
      <c r="C159" s="201"/>
      <c r="D159" s="201"/>
      <c r="E159" s="201"/>
      <c r="F159" s="157"/>
      <c r="G159" s="251">
        <v>2005</v>
      </c>
      <c r="H159" s="253">
        <v>94</v>
      </c>
      <c r="I159" s="160">
        <v>87</v>
      </c>
      <c r="J159" s="209" t="s">
        <v>236</v>
      </c>
      <c r="K159" s="234">
        <v>1</v>
      </c>
      <c r="L159" s="91"/>
      <c r="M159" s="92"/>
    </row>
    <row r="160" spans="1:13" s="45" customFormat="1" ht="8.5500000000000007" customHeight="1" x14ac:dyDescent="0.2">
      <c r="A160" s="43"/>
      <c r="B160" s="158"/>
      <c r="C160" s="158"/>
      <c r="D160" s="158"/>
      <c r="E160" s="158"/>
      <c r="F160" s="159"/>
      <c r="G160" s="252"/>
      <c r="H160" s="254"/>
      <c r="I160" s="161"/>
      <c r="J160" s="210"/>
      <c r="K160" s="235"/>
      <c r="L160" s="91"/>
      <c r="M160" s="92"/>
    </row>
    <row r="161" spans="1:13" s="45" customFormat="1" ht="8.5500000000000007" customHeight="1" x14ac:dyDescent="0.2">
      <c r="A161" s="43"/>
      <c r="B161" s="201" t="s">
        <v>966</v>
      </c>
      <c r="C161" s="201"/>
      <c r="D161" s="201"/>
      <c r="E161" s="201"/>
      <c r="F161" s="157"/>
      <c r="G161" s="251">
        <v>1999</v>
      </c>
      <c r="H161" s="253">
        <v>92</v>
      </c>
      <c r="I161" s="160"/>
      <c r="J161" s="209"/>
      <c r="K161" s="234">
        <v>2</v>
      </c>
      <c r="L161" s="91"/>
      <c r="M161" s="92"/>
    </row>
    <row r="162" spans="1:13" s="45" customFormat="1" ht="8.5500000000000007" customHeight="1" x14ac:dyDescent="0.2">
      <c r="A162" s="43"/>
      <c r="B162" s="158"/>
      <c r="C162" s="158"/>
      <c r="D162" s="158"/>
      <c r="E162" s="158"/>
      <c r="F162" s="159"/>
      <c r="G162" s="252"/>
      <c r="H162" s="254"/>
      <c r="I162" s="161"/>
      <c r="J162" s="210"/>
      <c r="K162" s="235"/>
      <c r="L162" s="91"/>
      <c r="M162" s="92"/>
    </row>
    <row r="163" spans="1:13" s="45" customFormat="1" ht="8.5500000000000007" customHeight="1" x14ac:dyDescent="0.2">
      <c r="A163" s="43"/>
      <c r="B163" s="201" t="s">
        <v>966</v>
      </c>
      <c r="C163" s="201"/>
      <c r="D163" s="201"/>
      <c r="E163" s="201"/>
      <c r="F163" s="157"/>
      <c r="G163" s="251">
        <v>2001</v>
      </c>
      <c r="H163" s="253">
        <v>94</v>
      </c>
      <c r="I163" s="160"/>
      <c r="J163" s="209"/>
      <c r="K163" s="234">
        <v>1</v>
      </c>
      <c r="L163" s="91"/>
      <c r="M163" s="92"/>
    </row>
    <row r="164" spans="1:13" s="45" customFormat="1" ht="8.5500000000000007" customHeight="1" x14ac:dyDescent="0.2">
      <c r="A164" s="43"/>
      <c r="B164" s="158"/>
      <c r="C164" s="158"/>
      <c r="D164" s="158"/>
      <c r="E164" s="158"/>
      <c r="F164" s="159"/>
      <c r="G164" s="252"/>
      <c r="H164" s="254"/>
      <c r="I164" s="161"/>
      <c r="J164" s="210"/>
      <c r="K164" s="235"/>
      <c r="L164" s="91"/>
      <c r="M164" s="92"/>
    </row>
    <row r="165" spans="1:13" s="45" customFormat="1" ht="8.5500000000000007" customHeight="1" x14ac:dyDescent="0.2">
      <c r="A165" s="43"/>
      <c r="B165" s="201" t="s">
        <v>882</v>
      </c>
      <c r="C165" s="201"/>
      <c r="D165" s="201"/>
      <c r="E165" s="201"/>
      <c r="F165" s="157"/>
      <c r="G165" s="251">
        <v>2006</v>
      </c>
      <c r="H165" s="253">
        <v>98</v>
      </c>
      <c r="I165" s="160"/>
      <c r="J165" s="209" t="s">
        <v>258</v>
      </c>
      <c r="K165" s="234">
        <v>2</v>
      </c>
      <c r="L165" s="91"/>
      <c r="M165" s="92"/>
    </row>
    <row r="166" spans="1:13" s="45" customFormat="1" ht="8.5500000000000007" customHeight="1" x14ac:dyDescent="0.2">
      <c r="A166" s="43"/>
      <c r="B166" s="158"/>
      <c r="C166" s="158"/>
      <c r="D166" s="158"/>
      <c r="E166" s="158"/>
      <c r="F166" s="159"/>
      <c r="G166" s="252"/>
      <c r="H166" s="254"/>
      <c r="I166" s="161"/>
      <c r="J166" s="210"/>
      <c r="K166" s="235"/>
      <c r="L166" s="91"/>
      <c r="M166" s="92"/>
    </row>
    <row r="167" spans="1:13" s="45" customFormat="1" ht="8.5500000000000007" customHeight="1" x14ac:dyDescent="0.2">
      <c r="A167" s="43"/>
      <c r="B167" s="201" t="s">
        <v>1755</v>
      </c>
      <c r="C167" s="201"/>
      <c r="D167" s="201"/>
      <c r="E167" s="201"/>
      <c r="F167" s="157"/>
      <c r="G167" s="251">
        <v>1999</v>
      </c>
      <c r="H167" s="253"/>
      <c r="I167" s="284"/>
      <c r="J167" s="332"/>
      <c r="K167" s="234">
        <v>1</v>
      </c>
      <c r="L167" s="91"/>
      <c r="M167" s="92"/>
    </row>
    <row r="168" spans="1:13" s="45" customFormat="1" ht="8.5500000000000007" customHeight="1" x14ac:dyDescent="0.2">
      <c r="A168" s="43"/>
      <c r="B168" s="158"/>
      <c r="C168" s="158"/>
      <c r="D168" s="158"/>
      <c r="E168" s="158"/>
      <c r="F168" s="159"/>
      <c r="G168" s="252"/>
      <c r="H168" s="254"/>
      <c r="I168" s="285"/>
      <c r="J168" s="349"/>
      <c r="K168" s="235"/>
      <c r="L168" s="91"/>
      <c r="M168" s="92"/>
    </row>
    <row r="169" spans="1:13" s="45" customFormat="1" ht="8.5500000000000007" customHeight="1" x14ac:dyDescent="0.2">
      <c r="A169" s="43"/>
      <c r="B169" s="201" t="s">
        <v>971</v>
      </c>
      <c r="C169" s="201"/>
      <c r="D169" s="201"/>
      <c r="E169" s="201"/>
      <c r="F169" s="157"/>
      <c r="G169" s="251">
        <v>2006</v>
      </c>
      <c r="H169" s="253">
        <v>87</v>
      </c>
      <c r="I169" s="160"/>
      <c r="J169" s="209" t="s">
        <v>1586</v>
      </c>
      <c r="K169" s="234">
        <v>1</v>
      </c>
      <c r="L169" s="91"/>
      <c r="M169" s="92"/>
    </row>
    <row r="170" spans="1:13" s="45" customFormat="1" ht="8.5500000000000007" customHeight="1" x14ac:dyDescent="0.2">
      <c r="A170" s="43"/>
      <c r="B170" s="158"/>
      <c r="C170" s="158"/>
      <c r="D170" s="158"/>
      <c r="E170" s="158"/>
      <c r="F170" s="159"/>
      <c r="G170" s="252"/>
      <c r="H170" s="254"/>
      <c r="I170" s="161"/>
      <c r="J170" s="210"/>
      <c r="K170" s="235"/>
      <c r="L170" s="91"/>
      <c r="M170" s="92"/>
    </row>
    <row r="171" spans="1:13" s="45" customFormat="1" ht="8.5500000000000007" customHeight="1" x14ac:dyDescent="0.2">
      <c r="A171" s="43"/>
      <c r="B171" s="201" t="s">
        <v>290</v>
      </c>
      <c r="C171" s="201"/>
      <c r="D171" s="201"/>
      <c r="E171" s="201"/>
      <c r="F171" s="157"/>
      <c r="G171" s="251">
        <v>2006</v>
      </c>
      <c r="H171" s="253">
        <v>95</v>
      </c>
      <c r="I171" s="160"/>
      <c r="J171" s="209" t="s">
        <v>261</v>
      </c>
      <c r="K171" s="234">
        <v>2</v>
      </c>
      <c r="L171" s="91"/>
      <c r="M171" s="92"/>
    </row>
    <row r="172" spans="1:13" s="45" customFormat="1" ht="8.5500000000000007" customHeight="1" x14ac:dyDescent="0.2">
      <c r="A172" s="43"/>
      <c r="B172" s="158"/>
      <c r="C172" s="158"/>
      <c r="D172" s="158"/>
      <c r="E172" s="158"/>
      <c r="F172" s="159"/>
      <c r="G172" s="252"/>
      <c r="H172" s="254"/>
      <c r="I172" s="161"/>
      <c r="J172" s="210"/>
      <c r="K172" s="235"/>
      <c r="L172" s="91"/>
      <c r="M172" s="92"/>
    </row>
    <row r="173" spans="1:13" s="45" customFormat="1" ht="8.5500000000000007" customHeight="1" x14ac:dyDescent="0.2">
      <c r="A173" s="43"/>
      <c r="B173" s="213" t="s">
        <v>799</v>
      </c>
      <c r="C173" s="213"/>
      <c r="D173" s="213"/>
      <c r="E173" s="213"/>
      <c r="F173" s="213"/>
      <c r="G173" s="47"/>
      <c r="H173" s="47"/>
      <c r="I173" s="48"/>
      <c r="J173" s="48"/>
      <c r="K173" s="236">
        <v>162</v>
      </c>
      <c r="L173" s="290">
        <f>SUM(K13:K172)</f>
        <v>162</v>
      </c>
      <c r="M173" s="92"/>
    </row>
    <row r="174" spans="1:13" s="45" customFormat="1" ht="8.5500000000000007" customHeight="1" x14ac:dyDescent="0.2">
      <c r="A174" s="43"/>
      <c r="B174" s="171"/>
      <c r="C174" s="171"/>
      <c r="D174" s="171"/>
      <c r="E174" s="171"/>
      <c r="F174" s="171"/>
      <c r="G174" s="54"/>
      <c r="H174" s="54"/>
      <c r="I174" s="49"/>
      <c r="J174" s="49"/>
      <c r="K174" s="225"/>
      <c r="L174" s="231"/>
      <c r="M174" s="92"/>
    </row>
    <row r="175" spans="1:13" s="45" customFormat="1" ht="8.5500000000000007" customHeight="1" x14ac:dyDescent="0.2">
      <c r="A175" s="43"/>
      <c r="B175" s="347" t="s">
        <v>379</v>
      </c>
      <c r="C175" s="347"/>
      <c r="D175" s="347"/>
      <c r="E175" s="347"/>
      <c r="F175" s="347"/>
      <c r="G175" s="47"/>
      <c r="H175" s="47"/>
      <c r="I175" s="48"/>
      <c r="J175" s="48"/>
      <c r="K175" s="83"/>
      <c r="L175" s="91"/>
      <c r="M175" s="92"/>
    </row>
    <row r="176" spans="1:13" s="45" customFormat="1" ht="8.5500000000000007" customHeight="1" x14ac:dyDescent="0.2">
      <c r="A176" s="43"/>
      <c r="B176" s="348"/>
      <c r="C176" s="348"/>
      <c r="D176" s="348"/>
      <c r="E176" s="348"/>
      <c r="F176" s="348"/>
      <c r="G176" s="54"/>
      <c r="H176" s="54"/>
      <c r="I176" s="49"/>
      <c r="J176" s="49"/>
      <c r="K176" s="84"/>
      <c r="L176" s="91"/>
      <c r="M176" s="92"/>
    </row>
    <row r="177" spans="1:13" s="45" customFormat="1" ht="8.5500000000000007" customHeight="1" x14ac:dyDescent="0.2">
      <c r="A177" s="43"/>
      <c r="B177" s="378" t="s">
        <v>118</v>
      </c>
      <c r="C177" s="378"/>
      <c r="D177" s="378"/>
      <c r="E177" s="378"/>
      <c r="F177" s="379"/>
      <c r="G177" s="251">
        <v>2004</v>
      </c>
      <c r="H177" s="253" t="s">
        <v>627</v>
      </c>
      <c r="I177" s="160">
        <v>87</v>
      </c>
      <c r="J177" s="209" t="s">
        <v>236</v>
      </c>
      <c r="K177" s="234">
        <v>1</v>
      </c>
      <c r="L177" s="91"/>
      <c r="M177" s="92"/>
    </row>
    <row r="178" spans="1:13" s="45" customFormat="1" ht="8.5500000000000007" customHeight="1" x14ac:dyDescent="0.2">
      <c r="A178" s="43"/>
      <c r="B178" s="380"/>
      <c r="C178" s="380"/>
      <c r="D178" s="380"/>
      <c r="E178" s="380"/>
      <c r="F178" s="381"/>
      <c r="G178" s="252"/>
      <c r="H178" s="254"/>
      <c r="I178" s="161"/>
      <c r="J178" s="210"/>
      <c r="K178" s="235"/>
      <c r="L178" s="91"/>
      <c r="M178" s="92"/>
    </row>
    <row r="179" spans="1:13" s="45" customFormat="1" ht="8.5500000000000007" customHeight="1" x14ac:dyDescent="0.2">
      <c r="A179" s="43"/>
      <c r="B179" s="339" t="s">
        <v>1987</v>
      </c>
      <c r="C179" s="339"/>
      <c r="D179" s="339"/>
      <c r="E179" s="339"/>
      <c r="F179" s="339"/>
      <c r="G179" s="47"/>
      <c r="H179" s="47"/>
      <c r="I179" s="48"/>
      <c r="J179" s="48"/>
      <c r="K179" s="234"/>
      <c r="L179" s="91"/>
      <c r="M179" s="92"/>
    </row>
    <row r="180" spans="1:13" s="45" customFormat="1" ht="8.5500000000000007" customHeight="1" x14ac:dyDescent="0.2">
      <c r="A180" s="43"/>
      <c r="B180" s="340"/>
      <c r="C180" s="340"/>
      <c r="D180" s="340"/>
      <c r="E180" s="340"/>
      <c r="F180" s="340"/>
      <c r="G180" s="54"/>
      <c r="H180" s="54"/>
      <c r="I180" s="49"/>
      <c r="J180" s="49"/>
      <c r="K180" s="235"/>
      <c r="L180" s="91"/>
      <c r="M180" s="92"/>
    </row>
    <row r="181" spans="1:13" s="45" customFormat="1" ht="8.5500000000000007" customHeight="1" x14ac:dyDescent="0.2">
      <c r="A181" s="43"/>
      <c r="B181" s="378" t="s">
        <v>118</v>
      </c>
      <c r="C181" s="378"/>
      <c r="D181" s="378"/>
      <c r="E181" s="378"/>
      <c r="F181" s="379"/>
      <c r="G181" s="251">
        <v>2005</v>
      </c>
      <c r="H181" s="253">
        <v>95</v>
      </c>
      <c r="I181" s="160">
        <v>89</v>
      </c>
      <c r="J181" s="209" t="s">
        <v>236</v>
      </c>
      <c r="K181" s="234">
        <v>1</v>
      </c>
      <c r="L181" s="91"/>
      <c r="M181" s="92"/>
    </row>
    <row r="182" spans="1:13" s="45" customFormat="1" ht="8.5500000000000007" customHeight="1" x14ac:dyDescent="0.2">
      <c r="A182" s="43"/>
      <c r="B182" s="380"/>
      <c r="C182" s="380"/>
      <c r="D182" s="380"/>
      <c r="E182" s="380"/>
      <c r="F182" s="381"/>
      <c r="G182" s="252"/>
      <c r="H182" s="254"/>
      <c r="I182" s="161"/>
      <c r="J182" s="210"/>
      <c r="K182" s="235"/>
      <c r="L182" s="91"/>
      <c r="M182" s="92"/>
    </row>
    <row r="183" spans="1:13" s="45" customFormat="1" ht="8.5500000000000007" customHeight="1" x14ac:dyDescent="0.2">
      <c r="A183" s="43"/>
      <c r="B183" s="201" t="s">
        <v>586</v>
      </c>
      <c r="C183" s="201"/>
      <c r="D183" s="201"/>
      <c r="E183" s="201"/>
      <c r="F183" s="157"/>
      <c r="G183" s="251">
        <v>2000</v>
      </c>
      <c r="H183" s="253">
        <v>98</v>
      </c>
      <c r="I183" s="160">
        <v>94</v>
      </c>
      <c r="J183" s="209" t="s">
        <v>426</v>
      </c>
      <c r="K183" s="234">
        <v>3</v>
      </c>
      <c r="L183" s="91"/>
      <c r="M183" s="92"/>
    </row>
    <row r="184" spans="1:13" s="45" customFormat="1" ht="8.5500000000000007" customHeight="1" x14ac:dyDescent="0.2">
      <c r="A184" s="43"/>
      <c r="B184" s="158"/>
      <c r="C184" s="158"/>
      <c r="D184" s="158"/>
      <c r="E184" s="158"/>
      <c r="F184" s="159"/>
      <c r="G184" s="252"/>
      <c r="H184" s="254"/>
      <c r="I184" s="161"/>
      <c r="J184" s="210"/>
      <c r="K184" s="235"/>
      <c r="L184" s="91"/>
      <c r="M184" s="92"/>
    </row>
    <row r="185" spans="1:13" s="45" customFormat="1" ht="8.5500000000000007" customHeight="1" x14ac:dyDescent="0.2">
      <c r="A185" s="43"/>
      <c r="B185" s="201" t="s">
        <v>586</v>
      </c>
      <c r="C185" s="201"/>
      <c r="D185" s="201"/>
      <c r="E185" s="201"/>
      <c r="F185" s="157"/>
      <c r="G185" s="251">
        <v>2004</v>
      </c>
      <c r="H185" s="253">
        <v>100</v>
      </c>
      <c r="I185" s="160">
        <v>96</v>
      </c>
      <c r="J185" s="209" t="s">
        <v>704</v>
      </c>
      <c r="K185" s="234">
        <v>2</v>
      </c>
      <c r="L185" s="91"/>
      <c r="M185" s="92"/>
    </row>
    <row r="186" spans="1:13" s="45" customFormat="1" ht="8.5500000000000007" customHeight="1" x14ac:dyDescent="0.2">
      <c r="A186" s="43"/>
      <c r="B186" s="158"/>
      <c r="C186" s="158"/>
      <c r="D186" s="158"/>
      <c r="E186" s="158"/>
      <c r="F186" s="159"/>
      <c r="G186" s="252"/>
      <c r="H186" s="254"/>
      <c r="I186" s="161"/>
      <c r="J186" s="210"/>
      <c r="K186" s="235"/>
      <c r="L186" s="91"/>
      <c r="M186" s="92"/>
    </row>
    <row r="187" spans="1:13" s="45" customFormat="1" ht="8.5500000000000007" customHeight="1" x14ac:dyDescent="0.2">
      <c r="A187" s="43"/>
      <c r="B187" s="201" t="s">
        <v>586</v>
      </c>
      <c r="C187" s="201"/>
      <c r="D187" s="201"/>
      <c r="E187" s="201"/>
      <c r="F187" s="157"/>
      <c r="G187" s="251">
        <v>2005</v>
      </c>
      <c r="H187" s="253">
        <v>95</v>
      </c>
      <c r="I187" s="160">
        <v>95</v>
      </c>
      <c r="J187" s="209" t="s">
        <v>127</v>
      </c>
      <c r="K187" s="234">
        <v>1</v>
      </c>
      <c r="L187" s="91"/>
      <c r="M187" s="92"/>
    </row>
    <row r="188" spans="1:13" s="45" customFormat="1" ht="8.5500000000000007" customHeight="1" x14ac:dyDescent="0.2">
      <c r="A188" s="43"/>
      <c r="B188" s="158"/>
      <c r="C188" s="158"/>
      <c r="D188" s="158"/>
      <c r="E188" s="158"/>
      <c r="F188" s="159"/>
      <c r="G188" s="252"/>
      <c r="H188" s="254"/>
      <c r="I188" s="161"/>
      <c r="J188" s="210"/>
      <c r="K188" s="235"/>
      <c r="L188" s="91"/>
      <c r="M188" s="92"/>
    </row>
    <row r="189" spans="1:13" s="45" customFormat="1" ht="8.5500000000000007" customHeight="1" x14ac:dyDescent="0.2">
      <c r="A189" s="43"/>
      <c r="B189" s="201" t="s">
        <v>586</v>
      </c>
      <c r="C189" s="201"/>
      <c r="D189" s="201"/>
      <c r="E189" s="201"/>
      <c r="F189" s="157"/>
      <c r="G189" s="251">
        <v>2006</v>
      </c>
      <c r="H189" s="253" t="s">
        <v>626</v>
      </c>
      <c r="I189" s="160">
        <v>95</v>
      </c>
      <c r="J189" s="209" t="s">
        <v>378</v>
      </c>
      <c r="K189" s="234">
        <v>3</v>
      </c>
      <c r="L189" s="91"/>
      <c r="M189" s="92"/>
    </row>
    <row r="190" spans="1:13" s="45" customFormat="1" ht="8.5500000000000007" customHeight="1" x14ac:dyDescent="0.2">
      <c r="A190" s="43"/>
      <c r="B190" s="158"/>
      <c r="C190" s="158"/>
      <c r="D190" s="158"/>
      <c r="E190" s="158"/>
      <c r="F190" s="159"/>
      <c r="G190" s="252"/>
      <c r="H190" s="254"/>
      <c r="I190" s="161"/>
      <c r="J190" s="210"/>
      <c r="K190" s="235"/>
      <c r="L190" s="91"/>
      <c r="M190" s="92"/>
    </row>
    <row r="191" spans="1:13" s="45" customFormat="1" ht="8.5500000000000007" customHeight="1" x14ac:dyDescent="0.2">
      <c r="A191" s="43"/>
      <c r="B191" s="201" t="s">
        <v>586</v>
      </c>
      <c r="C191" s="201"/>
      <c r="D191" s="201"/>
      <c r="E191" s="201"/>
      <c r="F191" s="157"/>
      <c r="G191" s="251">
        <v>2009</v>
      </c>
      <c r="H191" s="253">
        <v>95</v>
      </c>
      <c r="I191" s="160"/>
      <c r="J191" s="209" t="s">
        <v>321</v>
      </c>
      <c r="K191" s="234">
        <v>3</v>
      </c>
      <c r="L191" s="91"/>
      <c r="M191" s="92"/>
    </row>
    <row r="192" spans="1:13" s="45" customFormat="1" ht="8.5500000000000007" customHeight="1" x14ac:dyDescent="0.2">
      <c r="A192" s="43"/>
      <c r="B192" s="158"/>
      <c r="C192" s="158"/>
      <c r="D192" s="158"/>
      <c r="E192" s="158"/>
      <c r="F192" s="159"/>
      <c r="G192" s="252"/>
      <c r="H192" s="254"/>
      <c r="I192" s="161"/>
      <c r="J192" s="210"/>
      <c r="K192" s="235"/>
      <c r="L192" s="91"/>
      <c r="M192" s="92"/>
    </row>
    <row r="193" spans="1:13" s="45" customFormat="1" ht="8.5500000000000007" customHeight="1" x14ac:dyDescent="0.2">
      <c r="A193" s="43"/>
      <c r="B193" s="201" t="s">
        <v>587</v>
      </c>
      <c r="C193" s="201"/>
      <c r="D193" s="201"/>
      <c r="E193" s="201"/>
      <c r="F193" s="157"/>
      <c r="G193" s="251">
        <v>2005</v>
      </c>
      <c r="H193" s="253">
        <v>92</v>
      </c>
      <c r="I193" s="160">
        <v>94</v>
      </c>
      <c r="J193" s="209" t="s">
        <v>236</v>
      </c>
      <c r="K193" s="234">
        <v>2</v>
      </c>
      <c r="L193" s="91"/>
      <c r="M193" s="92"/>
    </row>
    <row r="194" spans="1:13" s="45" customFormat="1" ht="8.5500000000000007" customHeight="1" x14ac:dyDescent="0.2">
      <c r="A194" s="43"/>
      <c r="B194" s="158"/>
      <c r="C194" s="158"/>
      <c r="D194" s="158"/>
      <c r="E194" s="158"/>
      <c r="F194" s="159"/>
      <c r="G194" s="252"/>
      <c r="H194" s="254"/>
      <c r="I194" s="161"/>
      <c r="J194" s="210"/>
      <c r="K194" s="235"/>
      <c r="L194" s="91"/>
      <c r="M194" s="92"/>
    </row>
    <row r="195" spans="1:13" s="45" customFormat="1" ht="8.5500000000000007" customHeight="1" x14ac:dyDescent="0.2">
      <c r="A195" s="43"/>
      <c r="B195" s="201" t="s">
        <v>587</v>
      </c>
      <c r="C195" s="201"/>
      <c r="D195" s="201"/>
      <c r="E195" s="201"/>
      <c r="F195" s="157"/>
      <c r="G195" s="251">
        <v>2007</v>
      </c>
      <c r="H195" s="253">
        <v>92</v>
      </c>
      <c r="I195" s="160">
        <v>92</v>
      </c>
      <c r="J195" s="209" t="s">
        <v>413</v>
      </c>
      <c r="K195" s="234">
        <v>1</v>
      </c>
      <c r="L195" s="91"/>
      <c r="M195" s="92"/>
    </row>
    <row r="196" spans="1:13" s="45" customFormat="1" ht="8.5500000000000007" customHeight="1" x14ac:dyDescent="0.2">
      <c r="A196" s="43"/>
      <c r="B196" s="158"/>
      <c r="C196" s="158"/>
      <c r="D196" s="158"/>
      <c r="E196" s="158"/>
      <c r="F196" s="159"/>
      <c r="G196" s="252"/>
      <c r="H196" s="254"/>
      <c r="I196" s="161"/>
      <c r="J196" s="210"/>
      <c r="K196" s="235"/>
      <c r="L196" s="91"/>
      <c r="M196" s="92"/>
    </row>
    <row r="197" spans="1:13" s="45" customFormat="1" ht="8.5500000000000007" customHeight="1" x14ac:dyDescent="0.2">
      <c r="A197" s="43"/>
      <c r="B197" s="213" t="s">
        <v>800</v>
      </c>
      <c r="C197" s="213"/>
      <c r="D197" s="213"/>
      <c r="E197" s="213"/>
      <c r="F197" s="213"/>
      <c r="G197" s="47"/>
      <c r="H197" s="47"/>
      <c r="I197" s="48"/>
      <c r="J197" s="48"/>
      <c r="K197" s="236">
        <v>17</v>
      </c>
      <c r="L197" s="290">
        <f>SUM(K177:K196)</f>
        <v>17</v>
      </c>
      <c r="M197" s="92"/>
    </row>
    <row r="198" spans="1:13" s="45" customFormat="1" ht="8.5500000000000007" customHeight="1" x14ac:dyDescent="0.2">
      <c r="A198" s="43"/>
      <c r="B198" s="171"/>
      <c r="C198" s="171"/>
      <c r="D198" s="171"/>
      <c r="E198" s="171"/>
      <c r="F198" s="171"/>
      <c r="G198" s="54"/>
      <c r="H198" s="54"/>
      <c r="I198" s="49"/>
      <c r="J198" s="49"/>
      <c r="K198" s="225"/>
      <c r="L198" s="231"/>
      <c r="M198" s="92"/>
    </row>
    <row r="199" spans="1:13" s="45" customFormat="1" ht="8.5500000000000007" customHeight="1" x14ac:dyDescent="0.2">
      <c r="A199" s="43"/>
      <c r="B199" s="347" t="s">
        <v>94</v>
      </c>
      <c r="C199" s="347"/>
      <c r="D199" s="347"/>
      <c r="E199" s="347"/>
      <c r="F199" s="347"/>
      <c r="G199" s="47"/>
      <c r="H199" s="47"/>
      <c r="I199" s="48"/>
      <c r="J199" s="48"/>
      <c r="K199" s="164"/>
      <c r="L199" s="91"/>
      <c r="M199" s="92"/>
    </row>
    <row r="200" spans="1:13" s="45" customFormat="1" ht="8.5500000000000007" customHeight="1" x14ac:dyDescent="0.2">
      <c r="A200" s="43"/>
      <c r="B200" s="348"/>
      <c r="C200" s="348"/>
      <c r="D200" s="348"/>
      <c r="E200" s="348"/>
      <c r="F200" s="348"/>
      <c r="G200" s="54"/>
      <c r="H200" s="54"/>
      <c r="I200" s="49"/>
      <c r="J200" s="49"/>
      <c r="K200" s="165"/>
      <c r="L200" s="91"/>
      <c r="M200" s="92"/>
    </row>
    <row r="201" spans="1:13" s="45" customFormat="1" ht="8.5500000000000007" customHeight="1" x14ac:dyDescent="0.2">
      <c r="A201" s="43"/>
      <c r="B201" s="378" t="s">
        <v>1831</v>
      </c>
      <c r="C201" s="378"/>
      <c r="D201" s="378"/>
      <c r="E201" s="378"/>
      <c r="F201" s="379"/>
      <c r="G201" s="251">
        <v>1942</v>
      </c>
      <c r="H201" s="253">
        <v>93</v>
      </c>
      <c r="I201" s="160"/>
      <c r="J201" s="388"/>
      <c r="K201" s="234">
        <v>1</v>
      </c>
      <c r="L201" s="91"/>
      <c r="M201" s="92"/>
    </row>
    <row r="202" spans="1:13" s="45" customFormat="1" ht="8.5500000000000007" customHeight="1" x14ac:dyDescent="0.2">
      <c r="A202" s="43"/>
      <c r="B202" s="380"/>
      <c r="C202" s="380"/>
      <c r="D202" s="380"/>
      <c r="E202" s="380"/>
      <c r="F202" s="381"/>
      <c r="G202" s="252"/>
      <c r="H202" s="254"/>
      <c r="I202" s="161"/>
      <c r="J202" s="389"/>
      <c r="K202" s="235"/>
      <c r="L202" s="91"/>
      <c r="M202" s="92"/>
    </row>
    <row r="203" spans="1:13" s="45" customFormat="1" ht="8.5500000000000007" customHeight="1" x14ac:dyDescent="0.2">
      <c r="A203" s="43"/>
      <c r="B203" s="378" t="s">
        <v>588</v>
      </c>
      <c r="C203" s="378"/>
      <c r="D203" s="378"/>
      <c r="E203" s="378"/>
      <c r="F203" s="379"/>
      <c r="G203" s="251">
        <v>1961</v>
      </c>
      <c r="H203" s="253"/>
      <c r="I203" s="160"/>
      <c r="J203" s="388"/>
      <c r="K203" s="234">
        <v>1</v>
      </c>
      <c r="L203" s="91"/>
      <c r="M203" s="92"/>
    </row>
    <row r="204" spans="1:13" s="45" customFormat="1" ht="8.5500000000000007" customHeight="1" x14ac:dyDescent="0.2">
      <c r="A204" s="43"/>
      <c r="B204" s="380"/>
      <c r="C204" s="380"/>
      <c r="D204" s="380"/>
      <c r="E204" s="380"/>
      <c r="F204" s="381"/>
      <c r="G204" s="252"/>
      <c r="H204" s="254"/>
      <c r="I204" s="161"/>
      <c r="J204" s="389"/>
      <c r="K204" s="235"/>
      <c r="L204" s="91"/>
      <c r="M204" s="92"/>
    </row>
    <row r="205" spans="1:13" s="45" customFormat="1" ht="8.5500000000000007" customHeight="1" x14ac:dyDescent="0.2">
      <c r="A205" s="43"/>
      <c r="B205" s="378" t="s">
        <v>588</v>
      </c>
      <c r="C205" s="378"/>
      <c r="D205" s="378"/>
      <c r="E205" s="378"/>
      <c r="F205" s="379"/>
      <c r="G205" s="251">
        <v>1964</v>
      </c>
      <c r="H205" s="253">
        <v>94</v>
      </c>
      <c r="I205" s="160">
        <v>95</v>
      </c>
      <c r="J205" s="388" t="s">
        <v>246</v>
      </c>
      <c r="K205" s="234">
        <v>2</v>
      </c>
      <c r="L205" s="91"/>
      <c r="M205" s="92"/>
    </row>
    <row r="206" spans="1:13" s="45" customFormat="1" ht="8.5500000000000007" customHeight="1" x14ac:dyDescent="0.2">
      <c r="A206" s="43"/>
      <c r="B206" s="380"/>
      <c r="C206" s="380"/>
      <c r="D206" s="380"/>
      <c r="E206" s="380"/>
      <c r="F206" s="381"/>
      <c r="G206" s="252"/>
      <c r="H206" s="254"/>
      <c r="I206" s="161"/>
      <c r="J206" s="389"/>
      <c r="K206" s="235"/>
      <c r="L206" s="91"/>
      <c r="M206" s="92"/>
    </row>
    <row r="207" spans="1:13" s="45" customFormat="1" ht="8.5500000000000007" customHeight="1" x14ac:dyDescent="0.2">
      <c r="A207" s="43"/>
      <c r="B207" s="378" t="s">
        <v>588</v>
      </c>
      <c r="C207" s="378"/>
      <c r="D207" s="378"/>
      <c r="E207" s="378"/>
      <c r="F207" s="379"/>
      <c r="G207" s="251">
        <v>1968</v>
      </c>
      <c r="H207" s="253">
        <v>95</v>
      </c>
      <c r="I207" s="160">
        <v>94</v>
      </c>
      <c r="J207" s="209" t="s">
        <v>413</v>
      </c>
      <c r="K207" s="234">
        <v>3</v>
      </c>
      <c r="L207" s="91"/>
      <c r="M207" s="92"/>
    </row>
    <row r="208" spans="1:13" s="45" customFormat="1" ht="8.5500000000000007" customHeight="1" x14ac:dyDescent="0.2">
      <c r="A208" s="43"/>
      <c r="B208" s="380"/>
      <c r="C208" s="380"/>
      <c r="D208" s="380"/>
      <c r="E208" s="380"/>
      <c r="F208" s="381"/>
      <c r="G208" s="252"/>
      <c r="H208" s="254"/>
      <c r="I208" s="161"/>
      <c r="J208" s="210"/>
      <c r="K208" s="235"/>
      <c r="L208" s="91"/>
      <c r="M208" s="92"/>
    </row>
    <row r="209" spans="1:13" s="45" customFormat="1" ht="8.5500000000000007" customHeight="1" x14ac:dyDescent="0.2">
      <c r="A209" s="43"/>
      <c r="B209" s="378" t="s">
        <v>588</v>
      </c>
      <c r="C209" s="378"/>
      <c r="D209" s="378"/>
      <c r="E209" s="378"/>
      <c r="F209" s="379"/>
      <c r="G209" s="251">
        <v>1970</v>
      </c>
      <c r="H209" s="253">
        <v>97</v>
      </c>
      <c r="I209" s="160"/>
      <c r="J209" s="209" t="s">
        <v>413</v>
      </c>
      <c r="K209" s="234">
        <v>5</v>
      </c>
      <c r="L209" s="91"/>
      <c r="M209" s="92"/>
    </row>
    <row r="210" spans="1:13" s="45" customFormat="1" ht="8.5500000000000007" customHeight="1" x14ac:dyDescent="0.2">
      <c r="A210" s="43"/>
      <c r="B210" s="380"/>
      <c r="C210" s="380"/>
      <c r="D210" s="380"/>
      <c r="E210" s="380"/>
      <c r="F210" s="381"/>
      <c r="G210" s="252"/>
      <c r="H210" s="254"/>
      <c r="I210" s="161"/>
      <c r="J210" s="210"/>
      <c r="K210" s="235"/>
      <c r="L210" s="91"/>
      <c r="M210" s="92"/>
    </row>
    <row r="211" spans="1:13" s="45" customFormat="1" ht="8.5500000000000007" customHeight="1" x14ac:dyDescent="0.2">
      <c r="A211" s="43"/>
      <c r="B211" s="378" t="s">
        <v>588</v>
      </c>
      <c r="C211" s="378"/>
      <c r="D211" s="378"/>
      <c r="E211" s="378"/>
      <c r="F211" s="379"/>
      <c r="G211" s="251">
        <v>1976</v>
      </c>
      <c r="H211" s="253">
        <v>92</v>
      </c>
      <c r="I211" s="160">
        <v>93</v>
      </c>
      <c r="J211" s="209" t="s">
        <v>541</v>
      </c>
      <c r="K211" s="234">
        <v>3</v>
      </c>
      <c r="L211" s="91"/>
      <c r="M211" s="92"/>
    </row>
    <row r="212" spans="1:13" s="45" customFormat="1" ht="8.5500000000000007" customHeight="1" x14ac:dyDescent="0.2">
      <c r="A212" s="43"/>
      <c r="B212" s="380"/>
      <c r="C212" s="380"/>
      <c r="D212" s="380"/>
      <c r="E212" s="380"/>
      <c r="F212" s="381"/>
      <c r="G212" s="252"/>
      <c r="H212" s="254"/>
      <c r="I212" s="161"/>
      <c r="J212" s="210"/>
      <c r="K212" s="235"/>
      <c r="L212" s="91"/>
      <c r="M212" s="92"/>
    </row>
    <row r="213" spans="1:13" s="45" customFormat="1" ht="8.5500000000000007" customHeight="1" x14ac:dyDescent="0.2">
      <c r="A213" s="43"/>
      <c r="B213" s="378" t="s">
        <v>588</v>
      </c>
      <c r="C213" s="378"/>
      <c r="D213" s="378"/>
      <c r="E213" s="378"/>
      <c r="F213" s="379"/>
      <c r="G213" s="251">
        <v>1980</v>
      </c>
      <c r="H213" s="253"/>
      <c r="I213" s="160"/>
      <c r="J213" s="209"/>
      <c r="K213" s="234">
        <v>1</v>
      </c>
      <c r="L213" s="91"/>
      <c r="M213" s="92"/>
    </row>
    <row r="214" spans="1:13" s="45" customFormat="1" ht="8.5500000000000007" customHeight="1" x14ac:dyDescent="0.2">
      <c r="A214" s="43"/>
      <c r="B214" s="380"/>
      <c r="C214" s="380"/>
      <c r="D214" s="380"/>
      <c r="E214" s="380"/>
      <c r="F214" s="381"/>
      <c r="G214" s="252"/>
      <c r="H214" s="254"/>
      <c r="I214" s="161"/>
      <c r="J214" s="210"/>
      <c r="K214" s="235"/>
      <c r="L214" s="91"/>
      <c r="M214" s="92"/>
    </row>
    <row r="215" spans="1:13" s="45" customFormat="1" ht="8.5500000000000007" customHeight="1" x14ac:dyDescent="0.2">
      <c r="A215" s="43"/>
      <c r="B215" s="378" t="s">
        <v>588</v>
      </c>
      <c r="C215" s="378"/>
      <c r="D215" s="378"/>
      <c r="E215" s="378"/>
      <c r="F215" s="379"/>
      <c r="G215" s="251">
        <v>1981</v>
      </c>
      <c r="H215" s="253">
        <v>95</v>
      </c>
      <c r="I215" s="160">
        <v>90</v>
      </c>
      <c r="J215" s="209" t="s">
        <v>413</v>
      </c>
      <c r="K215" s="234">
        <v>4</v>
      </c>
      <c r="L215" s="91"/>
      <c r="M215" s="92"/>
    </row>
    <row r="216" spans="1:13" s="45" customFormat="1" ht="8.5500000000000007" customHeight="1" x14ac:dyDescent="0.2">
      <c r="A216" s="43"/>
      <c r="B216" s="380"/>
      <c r="C216" s="380"/>
      <c r="D216" s="380"/>
      <c r="E216" s="380"/>
      <c r="F216" s="381"/>
      <c r="G216" s="252"/>
      <c r="H216" s="254"/>
      <c r="I216" s="161"/>
      <c r="J216" s="210"/>
      <c r="K216" s="235"/>
      <c r="L216" s="91"/>
      <c r="M216" s="92"/>
    </row>
    <row r="217" spans="1:13" s="45" customFormat="1" ht="8.5500000000000007" customHeight="1" x14ac:dyDescent="0.2">
      <c r="A217" s="43"/>
      <c r="B217" s="378" t="s">
        <v>588</v>
      </c>
      <c r="C217" s="378"/>
      <c r="D217" s="378"/>
      <c r="E217" s="378"/>
      <c r="F217" s="379"/>
      <c r="G217" s="251">
        <v>2004</v>
      </c>
      <c r="H217" s="253">
        <v>100</v>
      </c>
      <c r="I217" s="160"/>
      <c r="J217" s="209" t="s">
        <v>1871</v>
      </c>
      <c r="K217" s="234">
        <v>1</v>
      </c>
      <c r="L217" s="91"/>
      <c r="M217" s="92"/>
    </row>
    <row r="218" spans="1:13" s="45" customFormat="1" ht="8.5500000000000007" customHeight="1" x14ac:dyDescent="0.2">
      <c r="A218" s="43"/>
      <c r="B218" s="380"/>
      <c r="C218" s="380"/>
      <c r="D218" s="380"/>
      <c r="E218" s="380"/>
      <c r="F218" s="381"/>
      <c r="G218" s="252"/>
      <c r="H218" s="254"/>
      <c r="I218" s="161"/>
      <c r="J218" s="210"/>
      <c r="K218" s="235"/>
      <c r="L218" s="91"/>
      <c r="M218" s="92"/>
    </row>
    <row r="219" spans="1:13" s="45" customFormat="1" ht="8.5500000000000007" customHeight="1" x14ac:dyDescent="0.2">
      <c r="A219" s="43"/>
      <c r="B219" s="378" t="s">
        <v>1316</v>
      </c>
      <c r="C219" s="378"/>
      <c r="D219" s="378"/>
      <c r="E219" s="378"/>
      <c r="F219" s="379"/>
      <c r="G219" s="251">
        <v>2001</v>
      </c>
      <c r="H219" s="253" t="s">
        <v>1754</v>
      </c>
      <c r="I219" s="160"/>
      <c r="J219" s="209"/>
      <c r="K219" s="234">
        <v>4</v>
      </c>
      <c r="L219" s="91"/>
      <c r="M219" s="92"/>
    </row>
    <row r="220" spans="1:13" s="45" customFormat="1" ht="8.5500000000000007" customHeight="1" x14ac:dyDescent="0.2">
      <c r="A220" s="43"/>
      <c r="B220" s="380"/>
      <c r="C220" s="380"/>
      <c r="D220" s="380"/>
      <c r="E220" s="380"/>
      <c r="F220" s="381"/>
      <c r="G220" s="252"/>
      <c r="H220" s="254"/>
      <c r="I220" s="161"/>
      <c r="J220" s="210"/>
      <c r="K220" s="235"/>
      <c r="L220" s="91"/>
      <c r="M220" s="92"/>
    </row>
    <row r="221" spans="1:13" s="45" customFormat="1" ht="8.5500000000000007" customHeight="1" x14ac:dyDescent="0.2">
      <c r="A221" s="43"/>
      <c r="B221" s="378" t="s">
        <v>1316</v>
      </c>
      <c r="C221" s="378"/>
      <c r="D221" s="378"/>
      <c r="E221" s="378"/>
      <c r="F221" s="379"/>
      <c r="G221" s="251">
        <v>2008</v>
      </c>
      <c r="H221" s="253">
        <v>95</v>
      </c>
      <c r="I221" s="160"/>
      <c r="J221" s="209" t="s">
        <v>1609</v>
      </c>
      <c r="K221" s="234">
        <v>3</v>
      </c>
      <c r="L221" s="91"/>
      <c r="M221" s="92"/>
    </row>
    <row r="222" spans="1:13" s="45" customFormat="1" ht="8.5500000000000007" customHeight="1" x14ac:dyDescent="0.2">
      <c r="A222" s="43"/>
      <c r="B222" s="380"/>
      <c r="C222" s="380"/>
      <c r="D222" s="380"/>
      <c r="E222" s="380"/>
      <c r="F222" s="381"/>
      <c r="G222" s="252"/>
      <c r="H222" s="254"/>
      <c r="I222" s="161"/>
      <c r="J222" s="210"/>
      <c r="K222" s="235"/>
      <c r="L222" s="91"/>
      <c r="M222" s="92"/>
    </row>
    <row r="223" spans="1:13" s="45" customFormat="1" ht="8.5500000000000007" customHeight="1" x14ac:dyDescent="0.2">
      <c r="A223" s="43"/>
      <c r="B223" s="378" t="s">
        <v>1863</v>
      </c>
      <c r="C223" s="378"/>
      <c r="D223" s="378"/>
      <c r="E223" s="378"/>
      <c r="F223" s="379"/>
      <c r="G223" s="251">
        <v>2012</v>
      </c>
      <c r="H223" s="253">
        <v>95</v>
      </c>
      <c r="I223" s="160"/>
      <c r="J223" s="209" t="s">
        <v>1873</v>
      </c>
      <c r="K223" s="234">
        <v>6</v>
      </c>
      <c r="L223" s="91"/>
      <c r="M223" s="92"/>
    </row>
    <row r="224" spans="1:13" s="45" customFormat="1" ht="8.5500000000000007" customHeight="1" x14ac:dyDescent="0.2">
      <c r="A224" s="43"/>
      <c r="B224" s="380"/>
      <c r="C224" s="380"/>
      <c r="D224" s="380"/>
      <c r="E224" s="380"/>
      <c r="F224" s="381"/>
      <c r="G224" s="252"/>
      <c r="H224" s="254"/>
      <c r="I224" s="161"/>
      <c r="J224" s="210"/>
      <c r="K224" s="235"/>
      <c r="L224" s="91"/>
      <c r="M224" s="92"/>
    </row>
    <row r="225" spans="1:13" s="45" customFormat="1" ht="8.5500000000000007" customHeight="1" x14ac:dyDescent="0.2">
      <c r="A225" s="43"/>
      <c r="B225" s="378" t="s">
        <v>1832</v>
      </c>
      <c r="C225" s="378"/>
      <c r="D225" s="378"/>
      <c r="E225" s="378"/>
      <c r="F225" s="379"/>
      <c r="G225" s="251">
        <v>2012</v>
      </c>
      <c r="H225" s="253">
        <v>95</v>
      </c>
      <c r="I225" s="160"/>
      <c r="J225" s="209" t="s">
        <v>1873</v>
      </c>
      <c r="K225" s="234">
        <v>4</v>
      </c>
      <c r="L225" s="91"/>
      <c r="M225" s="92"/>
    </row>
    <row r="226" spans="1:13" s="45" customFormat="1" ht="8.5500000000000007" customHeight="1" x14ac:dyDescent="0.2">
      <c r="A226" s="43"/>
      <c r="B226" s="380"/>
      <c r="C226" s="380"/>
      <c r="D226" s="380"/>
      <c r="E226" s="380"/>
      <c r="F226" s="381"/>
      <c r="G226" s="252"/>
      <c r="H226" s="254"/>
      <c r="I226" s="161"/>
      <c r="J226" s="210"/>
      <c r="K226" s="235"/>
      <c r="L226" s="91"/>
      <c r="M226" s="92"/>
    </row>
    <row r="227" spans="1:13" s="45" customFormat="1" ht="8.5500000000000007" customHeight="1" x14ac:dyDescent="0.2">
      <c r="A227" s="43"/>
      <c r="B227" s="378" t="s">
        <v>615</v>
      </c>
      <c r="C227" s="378"/>
      <c r="D227" s="378"/>
      <c r="E227" s="378"/>
      <c r="F227" s="379"/>
      <c r="G227" s="251">
        <v>1964</v>
      </c>
      <c r="H227" s="253">
        <v>95</v>
      </c>
      <c r="I227" s="160"/>
      <c r="J227" s="209"/>
      <c r="K227" s="234">
        <v>2</v>
      </c>
      <c r="L227" s="91"/>
      <c r="M227" s="92"/>
    </row>
    <row r="228" spans="1:13" s="45" customFormat="1" ht="8.5500000000000007" customHeight="1" x14ac:dyDescent="0.2">
      <c r="A228" s="43"/>
      <c r="B228" s="380"/>
      <c r="C228" s="380"/>
      <c r="D228" s="380"/>
      <c r="E228" s="380"/>
      <c r="F228" s="381"/>
      <c r="G228" s="252"/>
      <c r="H228" s="254"/>
      <c r="I228" s="161"/>
      <c r="J228" s="210"/>
      <c r="K228" s="235"/>
      <c r="L228" s="91"/>
      <c r="M228" s="92"/>
    </row>
    <row r="229" spans="1:13" s="45" customFormat="1" ht="8.5500000000000007" customHeight="1" x14ac:dyDescent="0.2">
      <c r="A229" s="43"/>
      <c r="B229" s="378" t="s">
        <v>615</v>
      </c>
      <c r="C229" s="378"/>
      <c r="D229" s="378"/>
      <c r="E229" s="378"/>
      <c r="F229" s="379"/>
      <c r="G229" s="251">
        <v>1973</v>
      </c>
      <c r="H229" s="253">
        <v>95</v>
      </c>
      <c r="I229" s="160">
        <v>90</v>
      </c>
      <c r="J229" s="209" t="s">
        <v>413</v>
      </c>
      <c r="K229" s="234">
        <v>1</v>
      </c>
      <c r="L229" s="91"/>
      <c r="M229" s="92"/>
    </row>
    <row r="230" spans="1:13" s="45" customFormat="1" ht="8.5500000000000007" customHeight="1" x14ac:dyDescent="0.2">
      <c r="A230" s="43"/>
      <c r="B230" s="380"/>
      <c r="C230" s="380"/>
      <c r="D230" s="380"/>
      <c r="E230" s="380"/>
      <c r="F230" s="381"/>
      <c r="G230" s="252"/>
      <c r="H230" s="254"/>
      <c r="I230" s="161"/>
      <c r="J230" s="210"/>
      <c r="K230" s="235"/>
      <c r="L230" s="91"/>
      <c r="M230" s="92"/>
    </row>
    <row r="231" spans="1:13" s="45" customFormat="1" ht="8.5500000000000007" customHeight="1" x14ac:dyDescent="0.2">
      <c r="A231" s="43"/>
      <c r="B231" s="378" t="s">
        <v>617</v>
      </c>
      <c r="C231" s="378"/>
      <c r="D231" s="378"/>
      <c r="E231" s="378"/>
      <c r="F231" s="379"/>
      <c r="G231" s="251">
        <v>1968</v>
      </c>
      <c r="H231" s="253"/>
      <c r="I231" s="160"/>
      <c r="J231" s="209"/>
      <c r="K231" s="234">
        <v>2</v>
      </c>
      <c r="L231" s="91"/>
      <c r="M231" s="92"/>
    </row>
    <row r="232" spans="1:13" s="45" customFormat="1" ht="8.5500000000000007" customHeight="1" x14ac:dyDescent="0.2">
      <c r="A232" s="43"/>
      <c r="B232" s="380"/>
      <c r="C232" s="380"/>
      <c r="D232" s="380"/>
      <c r="E232" s="380"/>
      <c r="F232" s="381"/>
      <c r="G232" s="252"/>
      <c r="H232" s="254"/>
      <c r="I232" s="161"/>
      <c r="J232" s="210"/>
      <c r="K232" s="235"/>
      <c r="L232" s="91"/>
      <c r="M232" s="92"/>
    </row>
    <row r="233" spans="1:13" s="45" customFormat="1" ht="8.5500000000000007" customHeight="1" x14ac:dyDescent="0.2">
      <c r="A233" s="43"/>
      <c r="B233" s="378" t="s">
        <v>773</v>
      </c>
      <c r="C233" s="378"/>
      <c r="D233" s="378"/>
      <c r="E233" s="378"/>
      <c r="F233" s="379"/>
      <c r="G233" s="251">
        <v>1970</v>
      </c>
      <c r="H233" s="253"/>
      <c r="I233" s="160"/>
      <c r="J233" s="209"/>
      <c r="K233" s="234">
        <v>1</v>
      </c>
      <c r="L233" s="91"/>
      <c r="M233" s="92"/>
    </row>
    <row r="234" spans="1:13" s="45" customFormat="1" ht="8.5500000000000007" customHeight="1" x14ac:dyDescent="0.2">
      <c r="A234" s="43"/>
      <c r="B234" s="380"/>
      <c r="C234" s="380"/>
      <c r="D234" s="380"/>
      <c r="E234" s="380"/>
      <c r="F234" s="381"/>
      <c r="G234" s="252"/>
      <c r="H234" s="254"/>
      <c r="I234" s="161"/>
      <c r="J234" s="210"/>
      <c r="K234" s="235"/>
      <c r="L234" s="91"/>
      <c r="M234" s="92"/>
    </row>
    <row r="235" spans="1:13" s="45" customFormat="1" ht="8.5500000000000007" customHeight="1" x14ac:dyDescent="0.2">
      <c r="A235" s="43"/>
      <c r="B235" s="339" t="s">
        <v>214</v>
      </c>
      <c r="C235" s="339"/>
      <c r="D235" s="339"/>
      <c r="E235" s="339"/>
      <c r="F235" s="339"/>
      <c r="G235" s="47"/>
      <c r="H235" s="47"/>
      <c r="I235" s="48"/>
      <c r="J235" s="48"/>
      <c r="K235" s="234"/>
      <c r="L235" s="91"/>
      <c r="M235" s="92"/>
    </row>
    <row r="236" spans="1:13" s="45" customFormat="1" ht="8.5500000000000007" customHeight="1" x14ac:dyDescent="0.2">
      <c r="A236" s="43"/>
      <c r="B236" s="340"/>
      <c r="C236" s="340"/>
      <c r="D236" s="340"/>
      <c r="E236" s="340"/>
      <c r="F236" s="340"/>
      <c r="G236" s="54"/>
      <c r="H236" s="54"/>
      <c r="I236" s="49"/>
      <c r="J236" s="49"/>
      <c r="K236" s="235"/>
      <c r="L236" s="91"/>
      <c r="M236" s="92"/>
    </row>
    <row r="237" spans="1:13" s="45" customFormat="1" ht="8.5500000000000007" customHeight="1" x14ac:dyDescent="0.2">
      <c r="A237" s="43"/>
      <c r="B237" s="378" t="s">
        <v>696</v>
      </c>
      <c r="C237" s="378"/>
      <c r="D237" s="378"/>
      <c r="E237" s="378"/>
      <c r="F237" s="379"/>
      <c r="G237" s="251">
        <v>1989</v>
      </c>
      <c r="H237" s="253">
        <v>91</v>
      </c>
      <c r="I237" s="160"/>
      <c r="J237" s="209" t="s">
        <v>114</v>
      </c>
      <c r="K237" s="234">
        <v>1</v>
      </c>
      <c r="L237" s="91"/>
      <c r="M237" s="92"/>
    </row>
    <row r="238" spans="1:13" s="45" customFormat="1" ht="8.5500000000000007" customHeight="1" x14ac:dyDescent="0.2">
      <c r="A238" s="43"/>
      <c r="B238" s="380"/>
      <c r="C238" s="380"/>
      <c r="D238" s="380"/>
      <c r="E238" s="380"/>
      <c r="F238" s="381"/>
      <c r="G238" s="252"/>
      <c r="H238" s="254"/>
      <c r="I238" s="161"/>
      <c r="J238" s="210"/>
      <c r="K238" s="235"/>
      <c r="L238" s="91"/>
      <c r="M238" s="92"/>
    </row>
    <row r="239" spans="1:13" s="45" customFormat="1" ht="8.5500000000000007" customHeight="1" x14ac:dyDescent="0.2">
      <c r="A239" s="43"/>
      <c r="B239" s="378" t="s">
        <v>437</v>
      </c>
      <c r="C239" s="378"/>
      <c r="D239" s="378"/>
      <c r="E239" s="378"/>
      <c r="F239" s="379"/>
      <c r="G239" s="251">
        <v>1978</v>
      </c>
      <c r="H239" s="253">
        <v>92</v>
      </c>
      <c r="I239" s="160"/>
      <c r="J239" s="209" t="s">
        <v>247</v>
      </c>
      <c r="K239" s="234">
        <v>1</v>
      </c>
      <c r="L239" s="91"/>
      <c r="M239" s="92"/>
    </row>
    <row r="240" spans="1:13" s="45" customFormat="1" ht="8.5500000000000007" customHeight="1" x14ac:dyDescent="0.2">
      <c r="A240" s="43"/>
      <c r="B240" s="380"/>
      <c r="C240" s="380"/>
      <c r="D240" s="380"/>
      <c r="E240" s="380"/>
      <c r="F240" s="381"/>
      <c r="G240" s="252"/>
      <c r="H240" s="254"/>
      <c r="I240" s="161"/>
      <c r="J240" s="210"/>
      <c r="K240" s="235"/>
      <c r="L240" s="91"/>
      <c r="M240" s="92"/>
    </row>
    <row r="241" spans="1:13" s="45" customFormat="1" ht="8.5500000000000007" customHeight="1" x14ac:dyDescent="0.2">
      <c r="A241" s="43"/>
      <c r="B241" s="378" t="s">
        <v>437</v>
      </c>
      <c r="C241" s="378"/>
      <c r="D241" s="378"/>
      <c r="E241" s="378"/>
      <c r="F241" s="379"/>
      <c r="G241" s="251">
        <v>1981</v>
      </c>
      <c r="H241" s="253">
        <v>94</v>
      </c>
      <c r="I241" s="160"/>
      <c r="J241" s="209" t="s">
        <v>413</v>
      </c>
      <c r="K241" s="234">
        <v>2</v>
      </c>
      <c r="L241" s="91"/>
      <c r="M241" s="92"/>
    </row>
    <row r="242" spans="1:13" s="45" customFormat="1" ht="8.5500000000000007" customHeight="1" x14ac:dyDescent="0.2">
      <c r="A242" s="43"/>
      <c r="B242" s="380"/>
      <c r="C242" s="380"/>
      <c r="D242" s="380"/>
      <c r="E242" s="380"/>
      <c r="F242" s="381"/>
      <c r="G242" s="252"/>
      <c r="H242" s="254"/>
      <c r="I242" s="161"/>
      <c r="J242" s="210"/>
      <c r="K242" s="235"/>
      <c r="L242" s="91"/>
      <c r="M242" s="92"/>
    </row>
    <row r="243" spans="1:13" s="45" customFormat="1" ht="8.5500000000000007" customHeight="1" x14ac:dyDescent="0.2">
      <c r="A243" s="43"/>
      <c r="B243" s="378" t="s">
        <v>1862</v>
      </c>
      <c r="C243" s="378"/>
      <c r="D243" s="378"/>
      <c r="E243" s="378"/>
      <c r="F243" s="379"/>
      <c r="G243" s="251">
        <v>2015</v>
      </c>
      <c r="H243" s="253">
        <v>97</v>
      </c>
      <c r="I243" s="160"/>
      <c r="J243" s="209" t="s">
        <v>1595</v>
      </c>
      <c r="K243" s="234">
        <v>6</v>
      </c>
      <c r="L243" s="91"/>
      <c r="M243" s="92"/>
    </row>
    <row r="244" spans="1:13" s="45" customFormat="1" ht="8.5500000000000007" customHeight="1" x14ac:dyDescent="0.2">
      <c r="A244" s="43"/>
      <c r="B244" s="380"/>
      <c r="C244" s="380"/>
      <c r="D244" s="380"/>
      <c r="E244" s="380"/>
      <c r="F244" s="381"/>
      <c r="G244" s="252"/>
      <c r="H244" s="254"/>
      <c r="I244" s="161"/>
      <c r="J244" s="210"/>
      <c r="K244" s="235"/>
      <c r="L244" s="91"/>
      <c r="M244" s="92"/>
    </row>
    <row r="245" spans="1:13" s="45" customFormat="1" ht="8.5500000000000007" customHeight="1" x14ac:dyDescent="0.2">
      <c r="A245" s="43"/>
      <c r="B245" s="378" t="s">
        <v>917</v>
      </c>
      <c r="C245" s="378"/>
      <c r="D245" s="378"/>
      <c r="E245" s="378"/>
      <c r="F245" s="379"/>
      <c r="G245" s="251">
        <v>2001</v>
      </c>
      <c r="H245" s="253">
        <v>95</v>
      </c>
      <c r="I245" s="160"/>
      <c r="J245" s="209" t="s">
        <v>1587</v>
      </c>
      <c r="K245" s="234">
        <v>1</v>
      </c>
      <c r="L245" s="91"/>
      <c r="M245" s="92"/>
    </row>
    <row r="246" spans="1:13" s="45" customFormat="1" ht="8.5500000000000007" customHeight="1" x14ac:dyDescent="0.2">
      <c r="A246" s="43"/>
      <c r="B246" s="380"/>
      <c r="C246" s="380"/>
      <c r="D246" s="380"/>
      <c r="E246" s="380"/>
      <c r="F246" s="381"/>
      <c r="G246" s="252"/>
      <c r="H246" s="254"/>
      <c r="I246" s="161"/>
      <c r="J246" s="210"/>
      <c r="K246" s="235"/>
      <c r="L246" s="91"/>
      <c r="M246" s="92"/>
    </row>
    <row r="247" spans="1:13" s="45" customFormat="1" ht="8.5500000000000007" customHeight="1" x14ac:dyDescent="0.2">
      <c r="A247" s="43"/>
      <c r="B247" s="378" t="s">
        <v>1033</v>
      </c>
      <c r="C247" s="378"/>
      <c r="D247" s="378"/>
      <c r="E247" s="378"/>
      <c r="F247" s="379"/>
      <c r="G247" s="251">
        <v>2009</v>
      </c>
      <c r="H247" s="253">
        <v>92</v>
      </c>
      <c r="I247" s="160"/>
      <c r="J247" s="209" t="s">
        <v>1874</v>
      </c>
      <c r="K247" s="234">
        <v>2</v>
      </c>
      <c r="L247" s="91"/>
      <c r="M247" s="92"/>
    </row>
    <row r="248" spans="1:13" s="45" customFormat="1" ht="8.5500000000000007" customHeight="1" x14ac:dyDescent="0.2">
      <c r="A248" s="43"/>
      <c r="B248" s="380"/>
      <c r="C248" s="380"/>
      <c r="D248" s="380"/>
      <c r="E248" s="380"/>
      <c r="F248" s="381"/>
      <c r="G248" s="252"/>
      <c r="H248" s="254"/>
      <c r="I248" s="161"/>
      <c r="J248" s="210"/>
      <c r="K248" s="235"/>
      <c r="L248" s="91"/>
      <c r="M248" s="92"/>
    </row>
    <row r="249" spans="1:13" s="45" customFormat="1" ht="8.5500000000000007" customHeight="1" x14ac:dyDescent="0.2">
      <c r="A249" s="43"/>
      <c r="B249" s="378" t="s">
        <v>1318</v>
      </c>
      <c r="C249" s="378"/>
      <c r="D249" s="378"/>
      <c r="E249" s="378"/>
      <c r="F249" s="379"/>
      <c r="G249" s="251">
        <v>1970</v>
      </c>
      <c r="H249" s="253">
        <v>94</v>
      </c>
      <c r="I249" s="160"/>
      <c r="J249" s="209"/>
      <c r="K249" s="234">
        <v>2</v>
      </c>
      <c r="L249" s="91"/>
      <c r="M249" s="92"/>
    </row>
    <row r="250" spans="1:13" s="45" customFormat="1" ht="8.5500000000000007" customHeight="1" x14ac:dyDescent="0.2">
      <c r="A250" s="43"/>
      <c r="B250" s="380"/>
      <c r="C250" s="380"/>
      <c r="D250" s="380"/>
      <c r="E250" s="380"/>
      <c r="F250" s="381"/>
      <c r="G250" s="252"/>
      <c r="H250" s="254"/>
      <c r="I250" s="161"/>
      <c r="J250" s="210"/>
      <c r="K250" s="235"/>
      <c r="L250" s="91"/>
      <c r="M250" s="92"/>
    </row>
    <row r="251" spans="1:13" s="45" customFormat="1" ht="8.5500000000000007" customHeight="1" x14ac:dyDescent="0.2">
      <c r="A251" s="243"/>
      <c r="B251" s="394" t="s">
        <v>1318</v>
      </c>
      <c r="C251" s="394"/>
      <c r="D251" s="394"/>
      <c r="E251" s="394"/>
      <c r="F251" s="395"/>
      <c r="G251" s="341">
        <v>2010</v>
      </c>
      <c r="H251" s="384">
        <v>94</v>
      </c>
      <c r="I251" s="203"/>
      <c r="J251" s="382" t="s">
        <v>999</v>
      </c>
      <c r="K251" s="386">
        <v>2</v>
      </c>
      <c r="L251" s="91"/>
      <c r="M251" s="92"/>
    </row>
    <row r="252" spans="1:13" s="45" customFormat="1" ht="8.5500000000000007" customHeight="1" x14ac:dyDescent="0.2">
      <c r="A252" s="243"/>
      <c r="B252" s="396"/>
      <c r="C252" s="396"/>
      <c r="D252" s="396"/>
      <c r="E252" s="396"/>
      <c r="F252" s="397"/>
      <c r="G252" s="342"/>
      <c r="H252" s="385"/>
      <c r="I252" s="204"/>
      <c r="J252" s="383"/>
      <c r="K252" s="387"/>
      <c r="L252" s="91"/>
      <c r="M252" s="92"/>
    </row>
    <row r="253" spans="1:13" s="45" customFormat="1" ht="8.5500000000000007" customHeight="1" x14ac:dyDescent="0.2">
      <c r="A253" s="43"/>
      <c r="B253" s="378" t="s">
        <v>1318</v>
      </c>
      <c r="C253" s="378"/>
      <c r="D253" s="378"/>
      <c r="E253" s="378"/>
      <c r="F253" s="379"/>
      <c r="G253" s="251">
        <v>2011</v>
      </c>
      <c r="H253" s="253" t="s">
        <v>1579</v>
      </c>
      <c r="I253" s="160"/>
      <c r="J253" s="209" t="s">
        <v>1573</v>
      </c>
      <c r="K253" s="234">
        <v>2</v>
      </c>
      <c r="L253" s="91"/>
      <c r="M253" s="92"/>
    </row>
    <row r="254" spans="1:13" s="45" customFormat="1" ht="8.5500000000000007" customHeight="1" x14ac:dyDescent="0.2">
      <c r="A254" s="43"/>
      <c r="B254" s="380"/>
      <c r="C254" s="380"/>
      <c r="D254" s="380"/>
      <c r="E254" s="380"/>
      <c r="F254" s="381"/>
      <c r="G254" s="252"/>
      <c r="H254" s="254"/>
      <c r="I254" s="161"/>
      <c r="J254" s="210"/>
      <c r="K254" s="235"/>
      <c r="L254" s="91"/>
      <c r="M254" s="92"/>
    </row>
    <row r="255" spans="1:13" s="45" customFormat="1" ht="8.5500000000000007" customHeight="1" x14ac:dyDescent="0.2">
      <c r="A255" s="43"/>
      <c r="B255" s="378" t="s">
        <v>589</v>
      </c>
      <c r="C255" s="378"/>
      <c r="D255" s="378"/>
      <c r="E255" s="378"/>
      <c r="F255" s="379"/>
      <c r="G255" s="251">
        <v>1952</v>
      </c>
      <c r="H255" s="253">
        <v>93</v>
      </c>
      <c r="I255" s="160"/>
      <c r="J255" s="209"/>
      <c r="K255" s="234">
        <v>2</v>
      </c>
      <c r="L255" s="91"/>
      <c r="M255" s="92"/>
    </row>
    <row r="256" spans="1:13" s="45" customFormat="1" ht="8.5500000000000007" customHeight="1" x14ac:dyDescent="0.2">
      <c r="A256" s="43"/>
      <c r="B256" s="380"/>
      <c r="C256" s="380"/>
      <c r="D256" s="380"/>
      <c r="E256" s="380"/>
      <c r="F256" s="381"/>
      <c r="G256" s="252"/>
      <c r="H256" s="254"/>
      <c r="I256" s="161"/>
      <c r="J256" s="210"/>
      <c r="K256" s="235"/>
      <c r="L256" s="91"/>
      <c r="M256" s="92"/>
    </row>
    <row r="257" spans="1:13" s="45" customFormat="1" ht="8.5500000000000007" customHeight="1" x14ac:dyDescent="0.2">
      <c r="A257" s="43"/>
      <c r="B257" s="378" t="s">
        <v>589</v>
      </c>
      <c r="C257" s="378"/>
      <c r="D257" s="378"/>
      <c r="E257" s="378"/>
      <c r="F257" s="379"/>
      <c r="G257" s="251">
        <v>1976</v>
      </c>
      <c r="H257" s="253" t="s">
        <v>841</v>
      </c>
      <c r="I257" s="160"/>
      <c r="J257" s="209"/>
      <c r="K257" s="234">
        <v>2</v>
      </c>
      <c r="L257" s="91"/>
      <c r="M257" s="92"/>
    </row>
    <row r="258" spans="1:13" s="45" customFormat="1" ht="8.5500000000000007" customHeight="1" x14ac:dyDescent="0.2">
      <c r="A258" s="43"/>
      <c r="B258" s="380"/>
      <c r="C258" s="380"/>
      <c r="D258" s="380"/>
      <c r="E258" s="380"/>
      <c r="F258" s="381"/>
      <c r="G258" s="252"/>
      <c r="H258" s="254"/>
      <c r="I258" s="161"/>
      <c r="J258" s="210"/>
      <c r="K258" s="235"/>
      <c r="L258" s="91"/>
      <c r="M258" s="92"/>
    </row>
    <row r="259" spans="1:13" s="45" customFormat="1" ht="8.5500000000000007" customHeight="1" x14ac:dyDescent="0.2">
      <c r="A259" s="43"/>
      <c r="B259" s="378" t="s">
        <v>589</v>
      </c>
      <c r="C259" s="378"/>
      <c r="D259" s="378"/>
      <c r="E259" s="378"/>
      <c r="F259" s="379"/>
      <c r="G259" s="251">
        <v>1978</v>
      </c>
      <c r="H259" s="253">
        <v>88</v>
      </c>
      <c r="I259" s="160"/>
      <c r="J259" s="209"/>
      <c r="K259" s="234">
        <v>1</v>
      </c>
      <c r="L259" s="91"/>
      <c r="M259" s="92"/>
    </row>
    <row r="260" spans="1:13" s="45" customFormat="1" ht="8.5500000000000007" customHeight="1" x14ac:dyDescent="0.2">
      <c r="A260" s="43"/>
      <c r="B260" s="380"/>
      <c r="C260" s="380"/>
      <c r="D260" s="380"/>
      <c r="E260" s="380"/>
      <c r="F260" s="381"/>
      <c r="G260" s="252"/>
      <c r="H260" s="254"/>
      <c r="I260" s="161"/>
      <c r="J260" s="210"/>
      <c r="K260" s="235"/>
      <c r="L260" s="91"/>
      <c r="M260" s="92"/>
    </row>
    <row r="261" spans="1:13" s="45" customFormat="1" ht="8.5500000000000007" customHeight="1" x14ac:dyDescent="0.2">
      <c r="A261" s="43"/>
      <c r="B261" s="378" t="s">
        <v>589</v>
      </c>
      <c r="C261" s="378"/>
      <c r="D261" s="378"/>
      <c r="E261" s="378"/>
      <c r="F261" s="379"/>
      <c r="G261" s="251">
        <v>1981</v>
      </c>
      <c r="H261" s="253">
        <v>93</v>
      </c>
      <c r="I261" s="160">
        <v>88</v>
      </c>
      <c r="J261" s="209"/>
      <c r="K261" s="234">
        <v>2</v>
      </c>
      <c r="L261" s="91"/>
      <c r="M261" s="92"/>
    </row>
    <row r="262" spans="1:13" s="45" customFormat="1" ht="8.5500000000000007" customHeight="1" x14ac:dyDescent="0.2">
      <c r="A262" s="43"/>
      <c r="B262" s="380"/>
      <c r="C262" s="380"/>
      <c r="D262" s="380"/>
      <c r="E262" s="380"/>
      <c r="F262" s="381"/>
      <c r="G262" s="252"/>
      <c r="H262" s="254"/>
      <c r="I262" s="161"/>
      <c r="J262" s="210"/>
      <c r="K262" s="235"/>
      <c r="L262" s="91"/>
      <c r="M262" s="92"/>
    </row>
    <row r="263" spans="1:13" s="45" customFormat="1" ht="8.5500000000000007" customHeight="1" x14ac:dyDescent="0.2">
      <c r="A263" s="43"/>
      <c r="B263" s="378" t="s">
        <v>589</v>
      </c>
      <c r="C263" s="378"/>
      <c r="D263" s="378"/>
      <c r="E263" s="378"/>
      <c r="F263" s="379"/>
      <c r="G263" s="251">
        <v>1985</v>
      </c>
      <c r="H263" s="253">
        <v>90</v>
      </c>
      <c r="I263" s="160">
        <v>91</v>
      </c>
      <c r="J263" s="209"/>
      <c r="K263" s="234">
        <v>1</v>
      </c>
      <c r="L263" s="91"/>
      <c r="M263" s="92"/>
    </row>
    <row r="264" spans="1:13" s="45" customFormat="1" ht="8.5500000000000007" customHeight="1" x14ac:dyDescent="0.2">
      <c r="A264" s="43"/>
      <c r="B264" s="380"/>
      <c r="C264" s="380"/>
      <c r="D264" s="380"/>
      <c r="E264" s="380"/>
      <c r="F264" s="381"/>
      <c r="G264" s="252"/>
      <c r="H264" s="254"/>
      <c r="I264" s="161"/>
      <c r="J264" s="210"/>
      <c r="K264" s="235"/>
      <c r="L264" s="91"/>
      <c r="M264" s="92"/>
    </row>
    <row r="265" spans="1:13" s="45" customFormat="1" ht="8.5500000000000007" customHeight="1" x14ac:dyDescent="0.2">
      <c r="A265" s="43"/>
      <c r="B265" s="378" t="s">
        <v>589</v>
      </c>
      <c r="C265" s="378"/>
      <c r="D265" s="378"/>
      <c r="E265" s="378"/>
      <c r="F265" s="379"/>
      <c r="G265" s="251">
        <v>1986</v>
      </c>
      <c r="H265" s="253"/>
      <c r="I265" s="160">
        <v>91</v>
      </c>
      <c r="J265" s="209"/>
      <c r="K265" s="234">
        <v>1</v>
      </c>
      <c r="L265" s="91"/>
      <c r="M265" s="92"/>
    </row>
    <row r="266" spans="1:13" s="45" customFormat="1" ht="8.5500000000000007" customHeight="1" x14ac:dyDescent="0.2">
      <c r="A266" s="43"/>
      <c r="B266" s="380"/>
      <c r="C266" s="380"/>
      <c r="D266" s="380"/>
      <c r="E266" s="380"/>
      <c r="F266" s="381"/>
      <c r="G266" s="252"/>
      <c r="H266" s="254"/>
      <c r="I266" s="161"/>
      <c r="J266" s="210"/>
      <c r="K266" s="235"/>
      <c r="L266" s="91"/>
      <c r="M266" s="92"/>
    </row>
    <row r="267" spans="1:13" s="45" customFormat="1" ht="8.5500000000000007" customHeight="1" x14ac:dyDescent="0.2">
      <c r="A267" s="43"/>
      <c r="B267" s="378" t="s">
        <v>392</v>
      </c>
      <c r="C267" s="378"/>
      <c r="D267" s="378"/>
      <c r="E267" s="378"/>
      <c r="F267" s="379"/>
      <c r="G267" s="251">
        <v>1934</v>
      </c>
      <c r="H267" s="253">
        <v>100</v>
      </c>
      <c r="I267" s="160"/>
      <c r="J267" s="398" t="s">
        <v>1588</v>
      </c>
      <c r="K267" s="234">
        <v>2</v>
      </c>
      <c r="L267" s="91"/>
      <c r="M267" s="92"/>
    </row>
    <row r="268" spans="1:13" s="45" customFormat="1" ht="8.5500000000000007" customHeight="1" x14ac:dyDescent="0.2">
      <c r="A268" s="43"/>
      <c r="B268" s="380"/>
      <c r="C268" s="380"/>
      <c r="D268" s="380"/>
      <c r="E268" s="380"/>
      <c r="F268" s="381"/>
      <c r="G268" s="252"/>
      <c r="H268" s="254"/>
      <c r="I268" s="161"/>
      <c r="J268" s="399"/>
      <c r="K268" s="235"/>
      <c r="L268" s="91"/>
      <c r="M268" s="92"/>
    </row>
    <row r="269" spans="1:13" s="45" customFormat="1" ht="8.5500000000000007" customHeight="1" x14ac:dyDescent="0.2">
      <c r="A269" s="43"/>
      <c r="B269" s="378" t="s">
        <v>392</v>
      </c>
      <c r="C269" s="378"/>
      <c r="D269" s="378"/>
      <c r="E269" s="378"/>
      <c r="F269" s="379"/>
      <c r="G269" s="251">
        <v>1938</v>
      </c>
      <c r="H269" s="390" t="s">
        <v>246</v>
      </c>
      <c r="I269" s="326"/>
      <c r="J269" s="388"/>
      <c r="K269" s="234">
        <v>1</v>
      </c>
      <c r="L269" s="91"/>
      <c r="M269" s="92"/>
    </row>
    <row r="270" spans="1:13" s="45" customFormat="1" ht="8.5500000000000007" customHeight="1" x14ac:dyDescent="0.2">
      <c r="A270" s="43"/>
      <c r="B270" s="380"/>
      <c r="C270" s="380"/>
      <c r="D270" s="380"/>
      <c r="E270" s="380"/>
      <c r="F270" s="381"/>
      <c r="G270" s="252"/>
      <c r="H270" s="391"/>
      <c r="I270" s="327"/>
      <c r="J270" s="389"/>
      <c r="K270" s="235"/>
      <c r="L270" s="91"/>
      <c r="M270" s="92"/>
    </row>
    <row r="271" spans="1:13" s="45" customFormat="1" ht="8.5500000000000007" customHeight="1" x14ac:dyDescent="0.2">
      <c r="A271" s="43"/>
      <c r="B271" s="378" t="s">
        <v>392</v>
      </c>
      <c r="C271" s="378"/>
      <c r="D271" s="378"/>
      <c r="E271" s="378"/>
      <c r="F271" s="379"/>
      <c r="G271" s="251">
        <v>1942</v>
      </c>
      <c r="H271" s="253">
        <v>97</v>
      </c>
      <c r="I271" s="160">
        <v>92</v>
      </c>
      <c r="J271" s="388" t="s">
        <v>246</v>
      </c>
      <c r="K271" s="234">
        <v>2</v>
      </c>
      <c r="L271" s="91"/>
      <c r="M271" s="92"/>
    </row>
    <row r="272" spans="1:13" s="45" customFormat="1" ht="8.5500000000000007" customHeight="1" x14ac:dyDescent="0.2">
      <c r="A272" s="43"/>
      <c r="B272" s="380"/>
      <c r="C272" s="380"/>
      <c r="D272" s="380"/>
      <c r="E272" s="380"/>
      <c r="F272" s="381"/>
      <c r="G272" s="252"/>
      <c r="H272" s="254"/>
      <c r="I272" s="161"/>
      <c r="J272" s="389"/>
      <c r="K272" s="235"/>
      <c r="L272" s="91"/>
      <c r="M272" s="92"/>
    </row>
    <row r="273" spans="1:13" s="45" customFormat="1" ht="8.5500000000000007" customHeight="1" x14ac:dyDescent="0.2">
      <c r="A273" s="43"/>
      <c r="B273" s="378" t="s">
        <v>392</v>
      </c>
      <c r="C273" s="378"/>
      <c r="D273" s="378"/>
      <c r="E273" s="378"/>
      <c r="F273" s="379"/>
      <c r="G273" s="251">
        <v>1959</v>
      </c>
      <c r="H273" s="253">
        <v>92</v>
      </c>
      <c r="I273" s="160"/>
      <c r="J273" s="209" t="s">
        <v>674</v>
      </c>
      <c r="K273" s="234">
        <v>2</v>
      </c>
      <c r="L273" s="91"/>
      <c r="M273" s="92"/>
    </row>
    <row r="274" spans="1:13" s="45" customFormat="1" ht="8.5500000000000007" customHeight="1" x14ac:dyDescent="0.2">
      <c r="A274" s="43"/>
      <c r="B274" s="380"/>
      <c r="C274" s="380"/>
      <c r="D274" s="380"/>
      <c r="E274" s="380"/>
      <c r="F274" s="381"/>
      <c r="G274" s="252"/>
      <c r="H274" s="254"/>
      <c r="I274" s="161"/>
      <c r="J274" s="210"/>
      <c r="K274" s="235"/>
      <c r="L274" s="91"/>
      <c r="M274" s="92"/>
    </row>
    <row r="275" spans="1:13" s="45" customFormat="1" ht="8.5500000000000007" customHeight="1" x14ac:dyDescent="0.2">
      <c r="A275" s="43"/>
      <c r="B275" s="378" t="s">
        <v>392</v>
      </c>
      <c r="C275" s="378"/>
      <c r="D275" s="378"/>
      <c r="E275" s="378"/>
      <c r="F275" s="379"/>
      <c r="G275" s="251">
        <v>1968</v>
      </c>
      <c r="H275" s="253">
        <v>93</v>
      </c>
      <c r="I275" s="160"/>
      <c r="J275" s="388" t="s">
        <v>246</v>
      </c>
      <c r="K275" s="234">
        <v>2</v>
      </c>
      <c r="L275" s="91"/>
      <c r="M275" s="92"/>
    </row>
    <row r="276" spans="1:13" s="45" customFormat="1" ht="8.5500000000000007" customHeight="1" x14ac:dyDescent="0.2">
      <c r="A276" s="43"/>
      <c r="B276" s="380"/>
      <c r="C276" s="380"/>
      <c r="D276" s="380"/>
      <c r="E276" s="380"/>
      <c r="F276" s="381"/>
      <c r="G276" s="252"/>
      <c r="H276" s="254"/>
      <c r="I276" s="161"/>
      <c r="J276" s="389"/>
      <c r="K276" s="235"/>
      <c r="L276" s="91"/>
      <c r="M276" s="92"/>
    </row>
    <row r="277" spans="1:13" s="45" customFormat="1" ht="8.5500000000000007" customHeight="1" x14ac:dyDescent="0.2">
      <c r="A277" s="43"/>
      <c r="B277" s="378" t="s">
        <v>392</v>
      </c>
      <c r="C277" s="378"/>
      <c r="D277" s="378"/>
      <c r="E277" s="378"/>
      <c r="F277" s="400"/>
      <c r="G277" s="251">
        <v>1970</v>
      </c>
      <c r="H277" s="253">
        <v>89</v>
      </c>
      <c r="I277" s="160"/>
      <c r="J277" s="388" t="s">
        <v>246</v>
      </c>
      <c r="K277" s="234">
        <v>1</v>
      </c>
      <c r="L277" s="91"/>
      <c r="M277" s="92"/>
    </row>
    <row r="278" spans="1:13" s="45" customFormat="1" ht="8.5500000000000007" customHeight="1" x14ac:dyDescent="0.2">
      <c r="A278" s="43"/>
      <c r="B278" s="380"/>
      <c r="C278" s="380"/>
      <c r="D278" s="380"/>
      <c r="E278" s="380"/>
      <c r="F278" s="381"/>
      <c r="G278" s="252"/>
      <c r="H278" s="254"/>
      <c r="I278" s="161"/>
      <c r="J278" s="389"/>
      <c r="K278" s="235"/>
      <c r="L278" s="91"/>
      <c r="M278" s="92"/>
    </row>
    <row r="279" spans="1:13" s="45" customFormat="1" ht="8.5500000000000007" customHeight="1" x14ac:dyDescent="0.2">
      <c r="A279" s="43"/>
      <c r="B279" s="378" t="s">
        <v>392</v>
      </c>
      <c r="C279" s="378"/>
      <c r="D279" s="378"/>
      <c r="E279" s="378"/>
      <c r="F279" s="379"/>
      <c r="G279" s="251">
        <v>1978</v>
      </c>
      <c r="H279" s="253">
        <v>93</v>
      </c>
      <c r="I279" s="160">
        <v>91</v>
      </c>
      <c r="J279" s="209" t="s">
        <v>233</v>
      </c>
      <c r="K279" s="234">
        <v>2</v>
      </c>
      <c r="L279" s="91"/>
      <c r="M279" s="92"/>
    </row>
    <row r="280" spans="1:13" s="45" customFormat="1" ht="8.5500000000000007" customHeight="1" x14ac:dyDescent="0.2">
      <c r="A280" s="43"/>
      <c r="B280" s="380"/>
      <c r="C280" s="380"/>
      <c r="D280" s="380"/>
      <c r="E280" s="380"/>
      <c r="F280" s="381"/>
      <c r="G280" s="252"/>
      <c r="H280" s="254"/>
      <c r="I280" s="161"/>
      <c r="J280" s="210"/>
      <c r="K280" s="235"/>
      <c r="L280" s="91"/>
      <c r="M280" s="92"/>
    </row>
    <row r="281" spans="1:13" s="45" customFormat="1" ht="8.5500000000000007" customHeight="1" x14ac:dyDescent="0.2">
      <c r="A281" s="43"/>
      <c r="B281" s="378" t="s">
        <v>392</v>
      </c>
      <c r="C281" s="378"/>
      <c r="D281" s="378"/>
      <c r="E281" s="378"/>
      <c r="F281" s="379"/>
      <c r="G281" s="251">
        <v>1989</v>
      </c>
      <c r="H281" s="253">
        <v>92</v>
      </c>
      <c r="I281" s="160"/>
      <c r="J281" s="209" t="s">
        <v>703</v>
      </c>
      <c r="K281" s="234">
        <v>2</v>
      </c>
      <c r="L281" s="91"/>
      <c r="M281" s="92"/>
    </row>
    <row r="282" spans="1:13" s="45" customFormat="1" ht="8.5500000000000007" customHeight="1" x14ac:dyDescent="0.2">
      <c r="A282" s="43"/>
      <c r="B282" s="380"/>
      <c r="C282" s="380"/>
      <c r="D282" s="380"/>
      <c r="E282" s="380"/>
      <c r="F282" s="381"/>
      <c r="G282" s="252"/>
      <c r="H282" s="254"/>
      <c r="I282" s="161"/>
      <c r="J282" s="210"/>
      <c r="K282" s="235"/>
      <c r="L282" s="91"/>
      <c r="M282" s="92"/>
    </row>
    <row r="283" spans="1:13" s="45" customFormat="1" ht="8.5500000000000007" customHeight="1" x14ac:dyDescent="0.2">
      <c r="A283" s="43"/>
      <c r="B283" s="378" t="s">
        <v>392</v>
      </c>
      <c r="C283" s="378"/>
      <c r="D283" s="378"/>
      <c r="E283" s="378"/>
      <c r="F283" s="379"/>
      <c r="G283" s="251">
        <v>1991</v>
      </c>
      <c r="H283" s="253">
        <v>93</v>
      </c>
      <c r="I283" s="160"/>
      <c r="J283" s="209"/>
      <c r="K283" s="234">
        <v>3</v>
      </c>
      <c r="L283" s="91"/>
      <c r="M283" s="92"/>
    </row>
    <row r="284" spans="1:13" s="45" customFormat="1" ht="8.5500000000000007" customHeight="1" x14ac:dyDescent="0.2">
      <c r="A284" s="43"/>
      <c r="B284" s="380"/>
      <c r="C284" s="380"/>
      <c r="D284" s="380"/>
      <c r="E284" s="380"/>
      <c r="F284" s="381"/>
      <c r="G284" s="252"/>
      <c r="H284" s="254"/>
      <c r="I284" s="161"/>
      <c r="J284" s="210"/>
      <c r="K284" s="235"/>
      <c r="L284" s="91"/>
      <c r="M284" s="92"/>
    </row>
    <row r="285" spans="1:13" s="45" customFormat="1" ht="8.5500000000000007" customHeight="1" x14ac:dyDescent="0.2">
      <c r="A285" s="43"/>
      <c r="B285" s="378" t="s">
        <v>392</v>
      </c>
      <c r="C285" s="378"/>
      <c r="D285" s="378"/>
      <c r="E285" s="378"/>
      <c r="F285" s="379"/>
      <c r="G285" s="251">
        <v>2004</v>
      </c>
      <c r="H285" s="253">
        <v>95</v>
      </c>
      <c r="I285" s="160"/>
      <c r="J285" s="209"/>
      <c r="K285" s="234">
        <v>1</v>
      </c>
      <c r="L285" s="91"/>
      <c r="M285" s="92"/>
    </row>
    <row r="286" spans="1:13" s="45" customFormat="1" ht="8.5500000000000007" customHeight="1" x14ac:dyDescent="0.2">
      <c r="A286" s="43"/>
      <c r="B286" s="380"/>
      <c r="C286" s="380"/>
      <c r="D286" s="380"/>
      <c r="E286" s="380"/>
      <c r="F286" s="381"/>
      <c r="G286" s="252"/>
      <c r="H286" s="254"/>
      <c r="I286" s="161"/>
      <c r="J286" s="210"/>
      <c r="K286" s="235"/>
      <c r="L286" s="91"/>
      <c r="M286" s="92"/>
    </row>
    <row r="287" spans="1:13" s="45" customFormat="1" ht="8.5500000000000007" customHeight="1" x14ac:dyDescent="0.2">
      <c r="A287" s="43"/>
      <c r="B287" s="378" t="s">
        <v>392</v>
      </c>
      <c r="C287" s="378"/>
      <c r="D287" s="378"/>
      <c r="E287" s="378"/>
      <c r="F287" s="379"/>
      <c r="G287" s="251">
        <v>2005</v>
      </c>
      <c r="H287" s="253">
        <v>96</v>
      </c>
      <c r="I287" s="160"/>
      <c r="J287" s="209"/>
      <c r="K287" s="234">
        <v>2</v>
      </c>
      <c r="L287" s="91"/>
      <c r="M287" s="92"/>
    </row>
    <row r="288" spans="1:13" s="45" customFormat="1" ht="8.5500000000000007" customHeight="1" x14ac:dyDescent="0.2">
      <c r="A288" s="43"/>
      <c r="B288" s="380"/>
      <c r="C288" s="380"/>
      <c r="D288" s="380"/>
      <c r="E288" s="380"/>
      <c r="F288" s="381"/>
      <c r="G288" s="252"/>
      <c r="H288" s="254"/>
      <c r="I288" s="161"/>
      <c r="J288" s="210"/>
      <c r="K288" s="235"/>
      <c r="L288" s="91"/>
      <c r="M288" s="92"/>
    </row>
    <row r="289" spans="1:13" s="45" customFormat="1" ht="8.5500000000000007" customHeight="1" x14ac:dyDescent="0.2">
      <c r="A289" s="43"/>
      <c r="B289" s="378" t="s">
        <v>392</v>
      </c>
      <c r="C289" s="378"/>
      <c r="D289" s="378"/>
      <c r="E289" s="378"/>
      <c r="F289" s="379"/>
      <c r="G289" s="251">
        <v>2009</v>
      </c>
      <c r="H289" s="253">
        <v>96</v>
      </c>
      <c r="I289" s="160"/>
      <c r="J289" s="209"/>
      <c r="K289" s="234">
        <v>2</v>
      </c>
      <c r="L289" s="91"/>
      <c r="M289" s="92"/>
    </row>
    <row r="290" spans="1:13" s="45" customFormat="1" ht="8.5500000000000007" customHeight="1" x14ac:dyDescent="0.2">
      <c r="A290" s="43"/>
      <c r="B290" s="380"/>
      <c r="C290" s="380"/>
      <c r="D290" s="380"/>
      <c r="E290" s="380"/>
      <c r="F290" s="381"/>
      <c r="G290" s="252"/>
      <c r="H290" s="254"/>
      <c r="I290" s="161"/>
      <c r="J290" s="210"/>
      <c r="K290" s="235"/>
      <c r="L290" s="91"/>
      <c r="M290" s="92"/>
    </row>
    <row r="291" spans="1:13" s="45" customFormat="1" ht="8.5500000000000007" customHeight="1" x14ac:dyDescent="0.2">
      <c r="A291" s="43"/>
      <c r="B291" s="339" t="s">
        <v>214</v>
      </c>
      <c r="C291" s="339"/>
      <c r="D291" s="339"/>
      <c r="E291" s="339"/>
      <c r="F291" s="339"/>
      <c r="G291" s="47"/>
      <c r="H291" s="47"/>
      <c r="I291" s="48"/>
      <c r="J291" s="48"/>
      <c r="K291" s="234"/>
      <c r="L291" s="91"/>
      <c r="M291" s="92"/>
    </row>
    <row r="292" spans="1:13" s="45" customFormat="1" ht="8.5500000000000007" customHeight="1" x14ac:dyDescent="0.2">
      <c r="A292" s="43"/>
      <c r="B292" s="340"/>
      <c r="C292" s="340"/>
      <c r="D292" s="340"/>
      <c r="E292" s="340"/>
      <c r="F292" s="340"/>
      <c r="G292" s="54"/>
      <c r="H292" s="54"/>
      <c r="I292" s="49"/>
      <c r="J292" s="49"/>
      <c r="K292" s="235"/>
      <c r="L292" s="91"/>
      <c r="M292" s="92"/>
    </row>
    <row r="293" spans="1:13" s="45" customFormat="1" ht="8.5500000000000007" customHeight="1" x14ac:dyDescent="0.2">
      <c r="A293" s="43"/>
      <c r="B293" s="378" t="s">
        <v>392</v>
      </c>
      <c r="C293" s="378"/>
      <c r="D293" s="378"/>
      <c r="E293" s="378"/>
      <c r="F293" s="379"/>
      <c r="G293" s="251">
        <v>2012</v>
      </c>
      <c r="H293" s="253">
        <v>97</v>
      </c>
      <c r="I293" s="160"/>
      <c r="J293" s="398" t="s">
        <v>1802</v>
      </c>
      <c r="K293" s="234">
        <v>5</v>
      </c>
      <c r="L293" s="91"/>
      <c r="M293" s="92"/>
    </row>
    <row r="294" spans="1:13" s="45" customFormat="1" ht="8.5500000000000007" customHeight="1" x14ac:dyDescent="0.2">
      <c r="A294" s="43"/>
      <c r="B294" s="380"/>
      <c r="C294" s="380"/>
      <c r="D294" s="380"/>
      <c r="E294" s="380"/>
      <c r="F294" s="381"/>
      <c r="G294" s="252"/>
      <c r="H294" s="254"/>
      <c r="I294" s="161"/>
      <c r="J294" s="399"/>
      <c r="K294" s="235"/>
      <c r="L294" s="91"/>
      <c r="M294" s="92"/>
    </row>
    <row r="295" spans="1:13" s="45" customFormat="1" ht="8.5500000000000007" customHeight="1" x14ac:dyDescent="0.2">
      <c r="A295" s="43"/>
      <c r="B295" s="378" t="s">
        <v>187</v>
      </c>
      <c r="C295" s="378"/>
      <c r="D295" s="378"/>
      <c r="E295" s="378"/>
      <c r="F295" s="379"/>
      <c r="G295" s="251">
        <v>1991</v>
      </c>
      <c r="H295" s="253"/>
      <c r="I295" s="160"/>
      <c r="J295" s="209"/>
      <c r="K295" s="234">
        <v>1</v>
      </c>
      <c r="L295" s="91"/>
      <c r="M295" s="92"/>
    </row>
    <row r="296" spans="1:13" s="45" customFormat="1" ht="8.5500000000000007" customHeight="1" x14ac:dyDescent="0.2">
      <c r="A296" s="43"/>
      <c r="B296" s="380"/>
      <c r="C296" s="380"/>
      <c r="D296" s="380"/>
      <c r="E296" s="380"/>
      <c r="F296" s="381"/>
      <c r="G296" s="252"/>
      <c r="H296" s="254"/>
      <c r="I296" s="161"/>
      <c r="J296" s="210"/>
      <c r="K296" s="235"/>
      <c r="L296" s="91"/>
      <c r="M296" s="92"/>
    </row>
    <row r="297" spans="1:13" s="45" customFormat="1" ht="8.5500000000000007" customHeight="1" x14ac:dyDescent="0.2">
      <c r="A297" s="43"/>
      <c r="B297" s="378" t="s">
        <v>1153</v>
      </c>
      <c r="C297" s="378"/>
      <c r="D297" s="378"/>
      <c r="E297" s="378"/>
      <c r="F297" s="379"/>
      <c r="G297" s="251">
        <v>1938</v>
      </c>
      <c r="H297" s="390" t="s">
        <v>246</v>
      </c>
      <c r="I297" s="326"/>
      <c r="J297" s="209"/>
      <c r="K297" s="234">
        <v>1</v>
      </c>
      <c r="L297" s="91"/>
      <c r="M297" s="92"/>
    </row>
    <row r="298" spans="1:13" s="45" customFormat="1" ht="8.5500000000000007" customHeight="1" x14ac:dyDescent="0.2">
      <c r="A298" s="43"/>
      <c r="B298" s="380"/>
      <c r="C298" s="380"/>
      <c r="D298" s="380"/>
      <c r="E298" s="380"/>
      <c r="F298" s="381"/>
      <c r="G298" s="252"/>
      <c r="H298" s="391"/>
      <c r="I298" s="327"/>
      <c r="J298" s="210"/>
      <c r="K298" s="235"/>
      <c r="L298" s="91"/>
      <c r="M298" s="92"/>
    </row>
    <row r="299" spans="1:13" s="45" customFormat="1" ht="8.5500000000000007" customHeight="1" x14ac:dyDescent="0.2">
      <c r="A299" s="43"/>
      <c r="B299" s="378" t="s">
        <v>697</v>
      </c>
      <c r="C299" s="378"/>
      <c r="D299" s="378"/>
      <c r="E299" s="378"/>
      <c r="F299" s="379"/>
      <c r="G299" s="251">
        <v>1961</v>
      </c>
      <c r="H299" s="390" t="s">
        <v>246</v>
      </c>
      <c r="I299" s="326"/>
      <c r="J299" s="209"/>
      <c r="K299" s="234">
        <v>1</v>
      </c>
      <c r="L299" s="91"/>
      <c r="M299" s="92"/>
    </row>
    <row r="300" spans="1:13" s="45" customFormat="1" ht="8.5500000000000007" customHeight="1" x14ac:dyDescent="0.2">
      <c r="A300" s="43"/>
      <c r="B300" s="380"/>
      <c r="C300" s="380"/>
      <c r="D300" s="380"/>
      <c r="E300" s="380"/>
      <c r="F300" s="381"/>
      <c r="G300" s="252"/>
      <c r="H300" s="391"/>
      <c r="I300" s="327"/>
      <c r="J300" s="210"/>
      <c r="K300" s="235"/>
      <c r="L300" s="91"/>
      <c r="M300" s="92"/>
    </row>
    <row r="301" spans="1:13" s="45" customFormat="1" ht="8.5500000000000007" customHeight="1" x14ac:dyDescent="0.2">
      <c r="A301" s="43"/>
      <c r="B301" s="378" t="s">
        <v>760</v>
      </c>
      <c r="C301" s="378"/>
      <c r="D301" s="378"/>
      <c r="E301" s="378"/>
      <c r="F301" s="379"/>
      <c r="G301" s="251">
        <v>1964</v>
      </c>
      <c r="H301" s="253">
        <v>95</v>
      </c>
      <c r="I301" s="160"/>
      <c r="J301" s="209"/>
      <c r="K301" s="234">
        <v>2</v>
      </c>
      <c r="L301" s="91"/>
      <c r="M301" s="92"/>
    </row>
    <row r="302" spans="1:13" s="45" customFormat="1" ht="8.5500000000000007" customHeight="1" x14ac:dyDescent="0.2">
      <c r="A302" s="43"/>
      <c r="B302" s="380"/>
      <c r="C302" s="380"/>
      <c r="D302" s="380"/>
      <c r="E302" s="380"/>
      <c r="F302" s="381"/>
      <c r="G302" s="252"/>
      <c r="H302" s="254"/>
      <c r="I302" s="161"/>
      <c r="J302" s="210"/>
      <c r="K302" s="235"/>
      <c r="L302" s="91"/>
      <c r="M302" s="92"/>
    </row>
    <row r="303" spans="1:13" s="45" customFormat="1" ht="8.5500000000000007" customHeight="1" x14ac:dyDescent="0.2">
      <c r="A303" s="43"/>
      <c r="B303" s="378" t="s">
        <v>572</v>
      </c>
      <c r="C303" s="378"/>
      <c r="D303" s="378"/>
      <c r="E303" s="378"/>
      <c r="F303" s="379"/>
      <c r="G303" s="251">
        <v>1996</v>
      </c>
      <c r="H303" s="390" t="s">
        <v>246</v>
      </c>
      <c r="I303" s="326"/>
      <c r="J303" s="209"/>
      <c r="K303" s="234">
        <v>1</v>
      </c>
      <c r="L303" s="91"/>
      <c r="M303" s="92"/>
    </row>
    <row r="304" spans="1:13" s="45" customFormat="1" ht="8.5500000000000007" customHeight="1" x14ac:dyDescent="0.2">
      <c r="A304" s="43"/>
      <c r="B304" s="380"/>
      <c r="C304" s="380"/>
      <c r="D304" s="380"/>
      <c r="E304" s="380"/>
      <c r="F304" s="381"/>
      <c r="G304" s="252"/>
      <c r="H304" s="391"/>
      <c r="I304" s="327"/>
      <c r="J304" s="210"/>
      <c r="K304" s="235"/>
      <c r="L304" s="91"/>
      <c r="M304" s="92"/>
    </row>
    <row r="305" spans="1:13" s="45" customFormat="1" ht="8.5500000000000007" customHeight="1" x14ac:dyDescent="0.2">
      <c r="A305" s="43"/>
      <c r="B305" s="378" t="s">
        <v>573</v>
      </c>
      <c r="C305" s="378"/>
      <c r="D305" s="378"/>
      <c r="E305" s="378"/>
      <c r="F305" s="379"/>
      <c r="G305" s="251">
        <v>1994</v>
      </c>
      <c r="H305" s="253">
        <v>87</v>
      </c>
      <c r="I305" s="160"/>
      <c r="J305" s="209"/>
      <c r="K305" s="234">
        <v>1</v>
      </c>
      <c r="L305" s="91"/>
      <c r="M305" s="92"/>
    </row>
    <row r="306" spans="1:13" s="45" customFormat="1" ht="8.5500000000000007" customHeight="1" x14ac:dyDescent="0.2">
      <c r="A306" s="43"/>
      <c r="B306" s="380"/>
      <c r="C306" s="380"/>
      <c r="D306" s="380"/>
      <c r="E306" s="380"/>
      <c r="F306" s="381"/>
      <c r="G306" s="252"/>
      <c r="H306" s="254"/>
      <c r="I306" s="161"/>
      <c r="J306" s="210"/>
      <c r="K306" s="235"/>
      <c r="L306" s="91"/>
      <c r="M306" s="92"/>
    </row>
    <row r="307" spans="1:13" s="45" customFormat="1" ht="8.5500000000000007" customHeight="1" x14ac:dyDescent="0.2">
      <c r="A307" s="43"/>
      <c r="B307" s="378" t="s">
        <v>1394</v>
      </c>
      <c r="C307" s="378"/>
      <c r="D307" s="378"/>
      <c r="E307" s="378"/>
      <c r="F307" s="379"/>
      <c r="G307" s="251">
        <v>1964</v>
      </c>
      <c r="H307" s="253">
        <v>97</v>
      </c>
      <c r="I307" s="160"/>
      <c r="J307" s="209"/>
      <c r="K307" s="234">
        <v>3</v>
      </c>
      <c r="L307" s="91"/>
      <c r="M307" s="92"/>
    </row>
    <row r="308" spans="1:13" s="45" customFormat="1" ht="8.5500000000000007" customHeight="1" x14ac:dyDescent="0.2">
      <c r="A308" s="43"/>
      <c r="B308" s="380"/>
      <c r="C308" s="380"/>
      <c r="D308" s="380"/>
      <c r="E308" s="380"/>
      <c r="F308" s="381"/>
      <c r="G308" s="252"/>
      <c r="H308" s="254"/>
      <c r="I308" s="161"/>
      <c r="J308" s="210"/>
      <c r="K308" s="235"/>
      <c r="L308" s="91"/>
      <c r="M308" s="92"/>
    </row>
    <row r="309" spans="1:13" s="45" customFormat="1" ht="8.5500000000000007" customHeight="1" x14ac:dyDescent="0.2">
      <c r="A309" s="43"/>
      <c r="B309" s="378" t="s">
        <v>1394</v>
      </c>
      <c r="C309" s="378"/>
      <c r="D309" s="378"/>
      <c r="E309" s="378"/>
      <c r="F309" s="379"/>
      <c r="G309" s="251">
        <v>1976</v>
      </c>
      <c r="H309" s="253">
        <v>95</v>
      </c>
      <c r="I309" s="160">
        <v>90</v>
      </c>
      <c r="J309" s="209" t="s">
        <v>256</v>
      </c>
      <c r="K309" s="234">
        <v>3</v>
      </c>
      <c r="L309" s="91"/>
      <c r="M309" s="92"/>
    </row>
    <row r="310" spans="1:13" s="45" customFormat="1" ht="8.5500000000000007" customHeight="1" x14ac:dyDescent="0.2">
      <c r="A310" s="43"/>
      <c r="B310" s="380"/>
      <c r="C310" s="380"/>
      <c r="D310" s="380"/>
      <c r="E310" s="380"/>
      <c r="F310" s="381"/>
      <c r="G310" s="252"/>
      <c r="H310" s="254"/>
      <c r="I310" s="161"/>
      <c r="J310" s="210"/>
      <c r="K310" s="235"/>
      <c r="L310" s="91"/>
      <c r="M310" s="92"/>
    </row>
    <row r="311" spans="1:13" s="45" customFormat="1" ht="8.5500000000000007" customHeight="1" x14ac:dyDescent="0.2">
      <c r="A311" s="43"/>
      <c r="B311" s="378" t="s">
        <v>1425</v>
      </c>
      <c r="C311" s="378"/>
      <c r="D311" s="378"/>
      <c r="E311" s="378"/>
      <c r="F311" s="379"/>
      <c r="G311" s="251">
        <v>1982</v>
      </c>
      <c r="H311" s="390" t="s">
        <v>246</v>
      </c>
      <c r="I311" s="326"/>
      <c r="J311" s="209"/>
      <c r="K311" s="234">
        <v>3</v>
      </c>
      <c r="L311" s="91"/>
      <c r="M311" s="92"/>
    </row>
    <row r="312" spans="1:13" s="45" customFormat="1" ht="8.5500000000000007" customHeight="1" x14ac:dyDescent="0.2">
      <c r="A312" s="43"/>
      <c r="B312" s="380"/>
      <c r="C312" s="380"/>
      <c r="D312" s="380"/>
      <c r="E312" s="380"/>
      <c r="F312" s="381"/>
      <c r="G312" s="252"/>
      <c r="H312" s="391"/>
      <c r="I312" s="327"/>
      <c r="J312" s="210"/>
      <c r="K312" s="235"/>
      <c r="L312" s="91"/>
      <c r="M312" s="92"/>
    </row>
    <row r="313" spans="1:13" s="45" customFormat="1" ht="8.5500000000000007" customHeight="1" x14ac:dyDescent="0.2">
      <c r="A313" s="43"/>
      <c r="B313" s="378" t="s">
        <v>1425</v>
      </c>
      <c r="C313" s="378"/>
      <c r="D313" s="378"/>
      <c r="E313" s="378"/>
      <c r="F313" s="379"/>
      <c r="G313" s="251">
        <v>1985</v>
      </c>
      <c r="H313" s="253">
        <v>90</v>
      </c>
      <c r="I313" s="160"/>
      <c r="J313" s="209"/>
      <c r="K313" s="234">
        <v>3</v>
      </c>
      <c r="L313" s="91"/>
      <c r="M313" s="92"/>
    </row>
    <row r="314" spans="1:13" s="45" customFormat="1" ht="8.5500000000000007" customHeight="1" x14ac:dyDescent="0.2">
      <c r="A314" s="43"/>
      <c r="B314" s="380"/>
      <c r="C314" s="380"/>
      <c r="D314" s="380"/>
      <c r="E314" s="380"/>
      <c r="F314" s="381"/>
      <c r="G314" s="252"/>
      <c r="H314" s="254"/>
      <c r="I314" s="161"/>
      <c r="J314" s="210"/>
      <c r="K314" s="235"/>
      <c r="L314" s="91"/>
      <c r="M314" s="92"/>
    </row>
    <row r="315" spans="1:13" s="45" customFormat="1" ht="8.5500000000000007" customHeight="1" x14ac:dyDescent="0.2">
      <c r="A315" s="43"/>
      <c r="B315" s="378" t="s">
        <v>574</v>
      </c>
      <c r="C315" s="378"/>
      <c r="D315" s="378"/>
      <c r="E315" s="378"/>
      <c r="F315" s="379"/>
      <c r="G315" s="251">
        <v>1989</v>
      </c>
      <c r="H315" s="253">
        <v>90</v>
      </c>
      <c r="I315" s="160"/>
      <c r="J315" s="209" t="s">
        <v>1589</v>
      </c>
      <c r="K315" s="234">
        <v>2</v>
      </c>
      <c r="L315" s="91"/>
      <c r="M315" s="92"/>
    </row>
    <row r="316" spans="1:13" s="45" customFormat="1" ht="8.5500000000000007" customHeight="1" x14ac:dyDescent="0.2">
      <c r="A316" s="43"/>
      <c r="B316" s="380"/>
      <c r="C316" s="380"/>
      <c r="D316" s="380"/>
      <c r="E316" s="380"/>
      <c r="F316" s="381"/>
      <c r="G316" s="252"/>
      <c r="H316" s="254"/>
      <c r="I316" s="161"/>
      <c r="J316" s="210"/>
      <c r="K316" s="235"/>
      <c r="L316" s="91"/>
      <c r="M316" s="92"/>
    </row>
    <row r="317" spans="1:13" s="45" customFormat="1" ht="8.5500000000000007" customHeight="1" x14ac:dyDescent="0.2">
      <c r="A317" s="43"/>
      <c r="B317" s="378" t="s">
        <v>574</v>
      </c>
      <c r="C317" s="378"/>
      <c r="D317" s="378"/>
      <c r="E317" s="378"/>
      <c r="F317" s="379"/>
      <c r="G317" s="251">
        <v>1995</v>
      </c>
      <c r="H317" s="253">
        <v>92</v>
      </c>
      <c r="I317" s="160">
        <v>90</v>
      </c>
      <c r="J317" s="209" t="s">
        <v>132</v>
      </c>
      <c r="K317" s="234">
        <v>1</v>
      </c>
      <c r="L317" s="91"/>
      <c r="M317" s="92"/>
    </row>
    <row r="318" spans="1:13" s="45" customFormat="1" ht="8.5500000000000007" customHeight="1" x14ac:dyDescent="0.2">
      <c r="A318" s="43"/>
      <c r="B318" s="380"/>
      <c r="C318" s="380"/>
      <c r="D318" s="380"/>
      <c r="E318" s="380"/>
      <c r="F318" s="381"/>
      <c r="G318" s="252"/>
      <c r="H318" s="254"/>
      <c r="I318" s="161"/>
      <c r="J318" s="210"/>
      <c r="K318" s="235"/>
      <c r="L318" s="91"/>
      <c r="M318" s="92"/>
    </row>
    <row r="319" spans="1:13" s="45" customFormat="1" ht="8.5500000000000007" customHeight="1" x14ac:dyDescent="0.2">
      <c r="A319" s="43"/>
      <c r="B319" s="378" t="s">
        <v>1425</v>
      </c>
      <c r="C319" s="378"/>
      <c r="D319" s="378"/>
      <c r="E319" s="378"/>
      <c r="F319" s="379"/>
      <c r="G319" s="251">
        <v>1997</v>
      </c>
      <c r="H319" s="253">
        <v>94</v>
      </c>
      <c r="I319" s="160"/>
      <c r="J319" s="209"/>
      <c r="K319" s="234">
        <v>2</v>
      </c>
      <c r="L319" s="91"/>
      <c r="M319" s="92"/>
    </row>
    <row r="320" spans="1:13" s="45" customFormat="1" ht="8.5500000000000007" customHeight="1" x14ac:dyDescent="0.2">
      <c r="A320" s="43"/>
      <c r="B320" s="380"/>
      <c r="C320" s="380"/>
      <c r="D320" s="380"/>
      <c r="E320" s="380"/>
      <c r="F320" s="381"/>
      <c r="G320" s="252"/>
      <c r="H320" s="254"/>
      <c r="I320" s="161"/>
      <c r="J320" s="210"/>
      <c r="K320" s="235"/>
      <c r="L320" s="91"/>
      <c r="M320" s="92"/>
    </row>
    <row r="321" spans="1:13" s="45" customFormat="1" ht="8.5500000000000007" customHeight="1" x14ac:dyDescent="0.2">
      <c r="A321" s="43"/>
      <c r="B321" s="378" t="s">
        <v>574</v>
      </c>
      <c r="C321" s="378"/>
      <c r="D321" s="378"/>
      <c r="E321" s="378"/>
      <c r="F321" s="379"/>
      <c r="G321" s="251">
        <v>1998</v>
      </c>
      <c r="H321" s="253">
        <v>95</v>
      </c>
      <c r="I321" s="160"/>
      <c r="J321" s="209"/>
      <c r="K321" s="234">
        <v>1</v>
      </c>
      <c r="L321" s="91"/>
      <c r="M321" s="92"/>
    </row>
    <row r="322" spans="1:13" s="45" customFormat="1" ht="8.5500000000000007" customHeight="1" x14ac:dyDescent="0.2">
      <c r="A322" s="43"/>
      <c r="B322" s="380"/>
      <c r="C322" s="380"/>
      <c r="D322" s="380"/>
      <c r="E322" s="380"/>
      <c r="F322" s="381"/>
      <c r="G322" s="252"/>
      <c r="H322" s="254"/>
      <c r="I322" s="161"/>
      <c r="J322" s="210"/>
      <c r="K322" s="235"/>
      <c r="L322" s="91"/>
      <c r="M322" s="92"/>
    </row>
    <row r="323" spans="1:13" s="45" customFormat="1" ht="8.5500000000000007" customHeight="1" x14ac:dyDescent="0.2">
      <c r="A323" s="43"/>
      <c r="B323" s="378" t="s">
        <v>574</v>
      </c>
      <c r="C323" s="378"/>
      <c r="D323" s="378"/>
      <c r="E323" s="378"/>
      <c r="F323" s="379"/>
      <c r="G323" s="251">
        <v>2001</v>
      </c>
      <c r="H323" s="253">
        <v>96</v>
      </c>
      <c r="I323" s="160"/>
      <c r="J323" s="209" t="s">
        <v>226</v>
      </c>
      <c r="K323" s="234">
        <v>1</v>
      </c>
      <c r="L323" s="91"/>
      <c r="M323" s="92"/>
    </row>
    <row r="324" spans="1:13" s="45" customFormat="1" ht="8.5500000000000007" customHeight="1" x14ac:dyDescent="0.2">
      <c r="A324" s="43"/>
      <c r="B324" s="380"/>
      <c r="C324" s="380"/>
      <c r="D324" s="380"/>
      <c r="E324" s="380"/>
      <c r="F324" s="381"/>
      <c r="G324" s="252"/>
      <c r="H324" s="254"/>
      <c r="I324" s="161"/>
      <c r="J324" s="210"/>
      <c r="K324" s="235"/>
      <c r="L324" s="91"/>
      <c r="M324" s="92"/>
    </row>
    <row r="325" spans="1:13" s="45" customFormat="1" ht="8.5500000000000007" customHeight="1" x14ac:dyDescent="0.2">
      <c r="A325" s="43"/>
      <c r="B325" s="378" t="s">
        <v>574</v>
      </c>
      <c r="C325" s="378"/>
      <c r="D325" s="378"/>
      <c r="E325" s="378"/>
      <c r="F325" s="379"/>
      <c r="G325" s="251">
        <v>2004</v>
      </c>
      <c r="H325" s="253">
        <v>96</v>
      </c>
      <c r="I325" s="160"/>
      <c r="J325" s="209"/>
      <c r="K325" s="234">
        <v>1</v>
      </c>
      <c r="L325" s="91"/>
      <c r="M325" s="92"/>
    </row>
    <row r="326" spans="1:13" s="45" customFormat="1" ht="8.5500000000000007" customHeight="1" x14ac:dyDescent="0.2">
      <c r="A326" s="43"/>
      <c r="B326" s="380"/>
      <c r="C326" s="380"/>
      <c r="D326" s="380"/>
      <c r="E326" s="380"/>
      <c r="F326" s="381"/>
      <c r="G326" s="252"/>
      <c r="H326" s="254"/>
      <c r="I326" s="161"/>
      <c r="J326" s="210"/>
      <c r="K326" s="235"/>
      <c r="L326" s="91"/>
      <c r="M326" s="92"/>
    </row>
    <row r="327" spans="1:13" s="45" customFormat="1" ht="8.5500000000000007" customHeight="1" x14ac:dyDescent="0.2">
      <c r="A327" s="43"/>
      <c r="B327" s="378" t="s">
        <v>574</v>
      </c>
      <c r="C327" s="378"/>
      <c r="D327" s="378"/>
      <c r="E327" s="378"/>
      <c r="F327" s="379"/>
      <c r="G327" s="251">
        <v>2007</v>
      </c>
      <c r="H327" s="253">
        <v>95</v>
      </c>
      <c r="I327" s="160"/>
      <c r="J327" s="209" t="s">
        <v>1632</v>
      </c>
      <c r="K327" s="234">
        <v>1</v>
      </c>
      <c r="L327" s="91"/>
      <c r="M327" s="92"/>
    </row>
    <row r="328" spans="1:13" s="45" customFormat="1" ht="8.5500000000000007" customHeight="1" x14ac:dyDescent="0.2">
      <c r="A328" s="43"/>
      <c r="B328" s="380"/>
      <c r="C328" s="380"/>
      <c r="D328" s="380"/>
      <c r="E328" s="380"/>
      <c r="F328" s="381"/>
      <c r="G328" s="252"/>
      <c r="H328" s="254"/>
      <c r="I328" s="161"/>
      <c r="J328" s="210"/>
      <c r="K328" s="235"/>
      <c r="L328" s="91"/>
      <c r="M328" s="92"/>
    </row>
    <row r="329" spans="1:13" s="45" customFormat="1" ht="8.5500000000000007" customHeight="1" x14ac:dyDescent="0.2">
      <c r="A329" s="43"/>
      <c r="B329" s="378" t="s">
        <v>574</v>
      </c>
      <c r="C329" s="378"/>
      <c r="D329" s="378"/>
      <c r="E329" s="378"/>
      <c r="F329" s="379"/>
      <c r="G329" s="251">
        <v>2009</v>
      </c>
      <c r="H329" s="253" t="s">
        <v>627</v>
      </c>
      <c r="I329" s="160"/>
      <c r="J329" s="209" t="s">
        <v>1631</v>
      </c>
      <c r="K329" s="234">
        <v>1</v>
      </c>
      <c r="L329" s="91"/>
      <c r="M329" s="92"/>
    </row>
    <row r="330" spans="1:13" s="45" customFormat="1" ht="8.5500000000000007" customHeight="1" x14ac:dyDescent="0.2">
      <c r="A330" s="43"/>
      <c r="B330" s="380"/>
      <c r="C330" s="380"/>
      <c r="D330" s="380"/>
      <c r="E330" s="380"/>
      <c r="F330" s="381"/>
      <c r="G330" s="252"/>
      <c r="H330" s="254"/>
      <c r="I330" s="161"/>
      <c r="J330" s="210"/>
      <c r="K330" s="235"/>
      <c r="L330" s="91"/>
      <c r="M330" s="92"/>
    </row>
    <row r="331" spans="1:13" s="45" customFormat="1" ht="8.5500000000000007" customHeight="1" x14ac:dyDescent="0.2">
      <c r="A331" s="43"/>
      <c r="B331" s="378" t="s">
        <v>574</v>
      </c>
      <c r="C331" s="378"/>
      <c r="D331" s="378"/>
      <c r="E331" s="378"/>
      <c r="F331" s="379"/>
      <c r="G331" s="251">
        <v>2010</v>
      </c>
      <c r="H331" s="253" t="s">
        <v>626</v>
      </c>
      <c r="I331" s="160"/>
      <c r="J331" s="209" t="s">
        <v>1312</v>
      </c>
      <c r="K331" s="234">
        <v>1</v>
      </c>
      <c r="L331" s="91"/>
      <c r="M331" s="92"/>
    </row>
    <row r="332" spans="1:13" s="45" customFormat="1" ht="8.5500000000000007" customHeight="1" x14ac:dyDescent="0.2">
      <c r="A332" s="43"/>
      <c r="B332" s="380"/>
      <c r="C332" s="380"/>
      <c r="D332" s="380"/>
      <c r="E332" s="380"/>
      <c r="F332" s="381"/>
      <c r="G332" s="252"/>
      <c r="H332" s="254"/>
      <c r="I332" s="161"/>
      <c r="J332" s="210"/>
      <c r="K332" s="235"/>
      <c r="L332" s="91"/>
      <c r="M332" s="92"/>
    </row>
    <row r="333" spans="1:13" s="45" customFormat="1" ht="8.5500000000000007" customHeight="1" x14ac:dyDescent="0.2">
      <c r="A333" s="43"/>
      <c r="B333" s="378" t="s">
        <v>574</v>
      </c>
      <c r="C333" s="378"/>
      <c r="D333" s="378"/>
      <c r="E333" s="378"/>
      <c r="F333" s="379"/>
      <c r="G333" s="251">
        <v>2011</v>
      </c>
      <c r="H333" s="253">
        <v>94</v>
      </c>
      <c r="I333" s="160"/>
      <c r="J333" s="209" t="s">
        <v>1609</v>
      </c>
      <c r="K333" s="234">
        <v>4</v>
      </c>
      <c r="L333" s="91"/>
      <c r="M333" s="92"/>
    </row>
    <row r="334" spans="1:13" s="45" customFormat="1" ht="8.5500000000000007" customHeight="1" x14ac:dyDescent="0.2">
      <c r="A334" s="43"/>
      <c r="B334" s="380"/>
      <c r="C334" s="380"/>
      <c r="D334" s="380"/>
      <c r="E334" s="380"/>
      <c r="F334" s="381"/>
      <c r="G334" s="252"/>
      <c r="H334" s="254"/>
      <c r="I334" s="161"/>
      <c r="J334" s="210"/>
      <c r="K334" s="235"/>
      <c r="L334" s="91"/>
      <c r="M334" s="92"/>
    </row>
    <row r="335" spans="1:13" s="45" customFormat="1" ht="8.5500000000000007" customHeight="1" x14ac:dyDescent="0.2">
      <c r="A335" s="43"/>
      <c r="B335" s="378" t="s">
        <v>574</v>
      </c>
      <c r="C335" s="378"/>
      <c r="D335" s="378"/>
      <c r="E335" s="378"/>
      <c r="F335" s="379"/>
      <c r="G335" s="251">
        <v>2015</v>
      </c>
      <c r="H335" s="253"/>
      <c r="I335" s="160"/>
      <c r="J335" s="209"/>
      <c r="K335" s="234">
        <v>10</v>
      </c>
      <c r="L335" s="91"/>
      <c r="M335" s="92"/>
    </row>
    <row r="336" spans="1:13" s="45" customFormat="1" ht="8.5500000000000007" customHeight="1" x14ac:dyDescent="0.2">
      <c r="A336" s="43"/>
      <c r="B336" s="380"/>
      <c r="C336" s="380"/>
      <c r="D336" s="380"/>
      <c r="E336" s="380"/>
      <c r="F336" s="381"/>
      <c r="G336" s="252"/>
      <c r="H336" s="254"/>
      <c r="I336" s="161"/>
      <c r="J336" s="210"/>
      <c r="K336" s="235"/>
      <c r="L336" s="91"/>
      <c r="M336" s="92"/>
    </row>
    <row r="337" spans="1:13" s="45" customFormat="1" ht="8.5500000000000007" customHeight="1" x14ac:dyDescent="0.2">
      <c r="A337" s="43"/>
      <c r="B337" s="378" t="s">
        <v>1387</v>
      </c>
      <c r="C337" s="378"/>
      <c r="D337" s="378"/>
      <c r="E337" s="378"/>
      <c r="F337" s="379"/>
      <c r="G337" s="251">
        <v>1959</v>
      </c>
      <c r="H337" s="390" t="s">
        <v>246</v>
      </c>
      <c r="I337" s="326"/>
      <c r="J337" s="209"/>
      <c r="K337" s="234">
        <v>2</v>
      </c>
      <c r="L337" s="91"/>
      <c r="M337" s="92"/>
    </row>
    <row r="338" spans="1:13" s="45" customFormat="1" ht="8.5500000000000007" customHeight="1" x14ac:dyDescent="0.2">
      <c r="A338" s="43"/>
      <c r="B338" s="380"/>
      <c r="C338" s="380"/>
      <c r="D338" s="380"/>
      <c r="E338" s="380"/>
      <c r="F338" s="381"/>
      <c r="G338" s="252"/>
      <c r="H338" s="391"/>
      <c r="I338" s="327"/>
      <c r="J338" s="210"/>
      <c r="K338" s="235"/>
      <c r="L338" s="91"/>
      <c r="M338" s="92"/>
    </row>
    <row r="339" spans="1:13" s="45" customFormat="1" ht="8.5500000000000007" customHeight="1" x14ac:dyDescent="0.2">
      <c r="A339" s="43"/>
      <c r="B339" s="378" t="s">
        <v>1387</v>
      </c>
      <c r="C339" s="378"/>
      <c r="D339" s="378"/>
      <c r="E339" s="378"/>
      <c r="F339" s="379"/>
      <c r="G339" s="251">
        <v>1962</v>
      </c>
      <c r="H339" s="390" t="s">
        <v>246</v>
      </c>
      <c r="I339" s="326"/>
      <c r="J339" s="209"/>
      <c r="K339" s="234">
        <v>2</v>
      </c>
      <c r="L339" s="91"/>
      <c r="M339" s="92"/>
    </row>
    <row r="340" spans="1:13" s="45" customFormat="1" ht="8.5500000000000007" customHeight="1" x14ac:dyDescent="0.2">
      <c r="A340" s="43"/>
      <c r="B340" s="380"/>
      <c r="C340" s="380"/>
      <c r="D340" s="380"/>
      <c r="E340" s="380"/>
      <c r="F340" s="381"/>
      <c r="G340" s="252"/>
      <c r="H340" s="391"/>
      <c r="I340" s="327"/>
      <c r="J340" s="210"/>
      <c r="K340" s="235"/>
      <c r="L340" s="91"/>
      <c r="M340" s="92"/>
    </row>
    <row r="341" spans="1:13" s="45" customFormat="1" ht="8.5500000000000007" customHeight="1" x14ac:dyDescent="0.2">
      <c r="A341" s="43"/>
      <c r="B341" s="378" t="s">
        <v>1387</v>
      </c>
      <c r="C341" s="378"/>
      <c r="D341" s="378"/>
      <c r="E341" s="378"/>
      <c r="F341" s="379"/>
      <c r="G341" s="251">
        <v>1964</v>
      </c>
      <c r="H341" s="390" t="s">
        <v>246</v>
      </c>
      <c r="I341" s="326"/>
      <c r="J341" s="209"/>
      <c r="K341" s="234">
        <v>1</v>
      </c>
      <c r="L341" s="91"/>
      <c r="M341" s="92"/>
    </row>
    <row r="342" spans="1:13" s="45" customFormat="1" ht="8.5500000000000007" customHeight="1" x14ac:dyDescent="0.2">
      <c r="A342" s="43"/>
      <c r="B342" s="380"/>
      <c r="C342" s="380"/>
      <c r="D342" s="380"/>
      <c r="E342" s="380"/>
      <c r="F342" s="381"/>
      <c r="G342" s="252"/>
      <c r="H342" s="391"/>
      <c r="I342" s="327"/>
      <c r="J342" s="210"/>
      <c r="K342" s="235"/>
      <c r="L342" s="91"/>
      <c r="M342" s="92"/>
    </row>
    <row r="343" spans="1:13" s="45" customFormat="1" ht="8.5500000000000007" customHeight="1" x14ac:dyDescent="0.2">
      <c r="A343" s="43"/>
      <c r="B343" s="378" t="s">
        <v>1387</v>
      </c>
      <c r="C343" s="378"/>
      <c r="D343" s="378"/>
      <c r="E343" s="378"/>
      <c r="F343" s="379"/>
      <c r="G343" s="251">
        <v>1968</v>
      </c>
      <c r="H343" s="390" t="s">
        <v>246</v>
      </c>
      <c r="I343" s="326"/>
      <c r="J343" s="209"/>
      <c r="K343" s="234">
        <v>1</v>
      </c>
      <c r="L343" s="91"/>
      <c r="M343" s="92"/>
    </row>
    <row r="344" spans="1:13" s="45" customFormat="1" ht="8.5500000000000007" customHeight="1" x14ac:dyDescent="0.2">
      <c r="A344" s="43"/>
      <c r="B344" s="380"/>
      <c r="C344" s="380"/>
      <c r="D344" s="380"/>
      <c r="E344" s="380"/>
      <c r="F344" s="381"/>
      <c r="G344" s="252"/>
      <c r="H344" s="391"/>
      <c r="I344" s="327"/>
      <c r="J344" s="210"/>
      <c r="K344" s="235"/>
      <c r="L344" s="91"/>
      <c r="M344" s="92"/>
    </row>
    <row r="345" spans="1:13" s="45" customFormat="1" ht="8.5500000000000007" customHeight="1" x14ac:dyDescent="0.2">
      <c r="A345" s="43"/>
      <c r="B345" s="378" t="s">
        <v>1387</v>
      </c>
      <c r="C345" s="378"/>
      <c r="D345" s="378"/>
      <c r="E345" s="378"/>
      <c r="F345" s="379"/>
      <c r="G345" s="251">
        <v>1970</v>
      </c>
      <c r="H345" s="390" t="s">
        <v>246</v>
      </c>
      <c r="I345" s="326"/>
      <c r="J345" s="209"/>
      <c r="K345" s="234">
        <v>2</v>
      </c>
      <c r="L345" s="91"/>
      <c r="M345" s="92"/>
    </row>
    <row r="346" spans="1:13" s="45" customFormat="1" ht="8.5500000000000007" customHeight="1" x14ac:dyDescent="0.2">
      <c r="A346" s="43"/>
      <c r="B346" s="380"/>
      <c r="C346" s="380"/>
      <c r="D346" s="380"/>
      <c r="E346" s="380"/>
      <c r="F346" s="381"/>
      <c r="G346" s="252"/>
      <c r="H346" s="391"/>
      <c r="I346" s="327"/>
      <c r="J346" s="210"/>
      <c r="K346" s="235"/>
      <c r="L346" s="91"/>
      <c r="M346" s="92"/>
    </row>
    <row r="347" spans="1:13" s="45" customFormat="1" ht="8.5500000000000007" customHeight="1" x14ac:dyDescent="0.2">
      <c r="A347" s="43"/>
      <c r="B347" s="339" t="s">
        <v>214</v>
      </c>
      <c r="C347" s="339"/>
      <c r="D347" s="339"/>
      <c r="E347" s="339"/>
      <c r="F347" s="339"/>
      <c r="G347" s="47"/>
      <c r="H347" s="47"/>
      <c r="I347" s="48"/>
      <c r="J347" s="48"/>
      <c r="K347" s="234"/>
      <c r="L347" s="91"/>
      <c r="M347" s="92"/>
    </row>
    <row r="348" spans="1:13" s="45" customFormat="1" ht="8.5500000000000007" customHeight="1" x14ac:dyDescent="0.2">
      <c r="A348" s="43"/>
      <c r="B348" s="340"/>
      <c r="C348" s="340"/>
      <c r="D348" s="340"/>
      <c r="E348" s="340"/>
      <c r="F348" s="340"/>
      <c r="G348" s="54"/>
      <c r="H348" s="54"/>
      <c r="I348" s="49"/>
      <c r="J348" s="49"/>
      <c r="K348" s="235"/>
      <c r="L348" s="91"/>
      <c r="M348" s="92"/>
    </row>
    <row r="349" spans="1:13" s="45" customFormat="1" ht="8.5500000000000007" customHeight="1" x14ac:dyDescent="0.2">
      <c r="A349" s="43"/>
      <c r="B349" s="378" t="s">
        <v>1387</v>
      </c>
      <c r="C349" s="378"/>
      <c r="D349" s="378"/>
      <c r="E349" s="378"/>
      <c r="F349" s="379"/>
      <c r="G349" s="251">
        <v>1973</v>
      </c>
      <c r="H349" s="253">
        <v>93</v>
      </c>
      <c r="I349" s="160"/>
      <c r="J349" s="209"/>
      <c r="K349" s="234">
        <v>2</v>
      </c>
      <c r="L349" s="91"/>
      <c r="M349" s="92"/>
    </row>
    <row r="350" spans="1:13" s="45" customFormat="1" ht="8.5500000000000007" customHeight="1" x14ac:dyDescent="0.2">
      <c r="A350" s="43"/>
      <c r="B350" s="380"/>
      <c r="C350" s="380"/>
      <c r="D350" s="380"/>
      <c r="E350" s="380"/>
      <c r="F350" s="381"/>
      <c r="G350" s="252"/>
      <c r="H350" s="254"/>
      <c r="I350" s="161"/>
      <c r="J350" s="210"/>
      <c r="K350" s="235"/>
      <c r="L350" s="91"/>
      <c r="M350" s="92"/>
    </row>
    <row r="351" spans="1:13" s="45" customFormat="1" ht="8.5500000000000007" customHeight="1" x14ac:dyDescent="0.2">
      <c r="A351" s="43"/>
      <c r="B351" s="378" t="s">
        <v>1387</v>
      </c>
      <c r="C351" s="378"/>
      <c r="D351" s="378"/>
      <c r="E351" s="378"/>
      <c r="F351" s="379"/>
      <c r="G351" s="251">
        <v>1975</v>
      </c>
      <c r="H351" s="390" t="s">
        <v>246</v>
      </c>
      <c r="I351" s="326"/>
      <c r="J351" s="209"/>
      <c r="K351" s="234">
        <v>1</v>
      </c>
      <c r="L351" s="91"/>
      <c r="M351" s="92"/>
    </row>
    <row r="352" spans="1:13" s="45" customFormat="1" ht="8.5500000000000007" customHeight="1" x14ac:dyDescent="0.2">
      <c r="A352" s="43"/>
      <c r="B352" s="380"/>
      <c r="C352" s="380"/>
      <c r="D352" s="380"/>
      <c r="E352" s="380"/>
      <c r="F352" s="381"/>
      <c r="G352" s="252"/>
      <c r="H352" s="391"/>
      <c r="I352" s="327"/>
      <c r="J352" s="210"/>
      <c r="K352" s="235"/>
      <c r="L352" s="91"/>
      <c r="M352" s="92"/>
    </row>
    <row r="353" spans="1:13" s="45" customFormat="1" ht="8.5500000000000007" customHeight="1" x14ac:dyDescent="0.2">
      <c r="A353" s="43"/>
      <c r="B353" s="378" t="s">
        <v>575</v>
      </c>
      <c r="C353" s="378"/>
      <c r="D353" s="378"/>
      <c r="E353" s="378"/>
      <c r="F353" s="379"/>
      <c r="G353" s="251">
        <v>1978</v>
      </c>
      <c r="H353" s="253">
        <v>93</v>
      </c>
      <c r="I353" s="160"/>
      <c r="J353" s="209"/>
      <c r="K353" s="234">
        <v>2</v>
      </c>
      <c r="L353" s="91"/>
      <c r="M353" s="92"/>
    </row>
    <row r="354" spans="1:13" s="45" customFormat="1" ht="8.5500000000000007" customHeight="1" x14ac:dyDescent="0.2">
      <c r="A354" s="43"/>
      <c r="B354" s="380"/>
      <c r="C354" s="380"/>
      <c r="D354" s="380"/>
      <c r="E354" s="380"/>
      <c r="F354" s="381"/>
      <c r="G354" s="252"/>
      <c r="H354" s="254"/>
      <c r="I354" s="161"/>
      <c r="J354" s="210"/>
      <c r="K354" s="235"/>
      <c r="L354" s="91"/>
      <c r="M354" s="92"/>
    </row>
    <row r="355" spans="1:13" s="45" customFormat="1" ht="8.5500000000000007" customHeight="1" x14ac:dyDescent="0.2">
      <c r="A355" s="43"/>
      <c r="B355" s="378" t="s">
        <v>575</v>
      </c>
      <c r="C355" s="378"/>
      <c r="D355" s="378"/>
      <c r="E355" s="378"/>
      <c r="F355" s="379"/>
      <c r="G355" s="251">
        <v>1981</v>
      </c>
      <c r="H355" s="253">
        <v>92</v>
      </c>
      <c r="I355" s="160">
        <v>86</v>
      </c>
      <c r="J355" s="209"/>
      <c r="K355" s="234">
        <v>4</v>
      </c>
      <c r="L355" s="91"/>
      <c r="M355" s="92"/>
    </row>
    <row r="356" spans="1:13" s="45" customFormat="1" ht="8.5500000000000007" customHeight="1" x14ac:dyDescent="0.2">
      <c r="A356" s="43"/>
      <c r="B356" s="380"/>
      <c r="C356" s="380"/>
      <c r="D356" s="380"/>
      <c r="E356" s="380"/>
      <c r="F356" s="381"/>
      <c r="G356" s="252"/>
      <c r="H356" s="254"/>
      <c r="I356" s="161"/>
      <c r="J356" s="210"/>
      <c r="K356" s="235"/>
      <c r="L356" s="91"/>
      <c r="M356" s="92"/>
    </row>
    <row r="357" spans="1:13" s="45" customFormat="1" ht="8.5500000000000007" customHeight="1" x14ac:dyDescent="0.2">
      <c r="A357" s="43"/>
      <c r="B357" s="378" t="s">
        <v>575</v>
      </c>
      <c r="C357" s="378"/>
      <c r="D357" s="378"/>
      <c r="E357" s="378"/>
      <c r="F357" s="379"/>
      <c r="G357" s="251">
        <v>1982</v>
      </c>
      <c r="H357" s="253">
        <v>92</v>
      </c>
      <c r="I357" s="160"/>
      <c r="J357" s="209"/>
      <c r="K357" s="234">
        <v>3</v>
      </c>
      <c r="L357" s="91"/>
      <c r="M357" s="92"/>
    </row>
    <row r="358" spans="1:13" s="45" customFormat="1" ht="8.5500000000000007" customHeight="1" x14ac:dyDescent="0.2">
      <c r="A358" s="43"/>
      <c r="B358" s="380"/>
      <c r="C358" s="380"/>
      <c r="D358" s="380"/>
      <c r="E358" s="380"/>
      <c r="F358" s="381"/>
      <c r="G358" s="252"/>
      <c r="H358" s="254"/>
      <c r="I358" s="161"/>
      <c r="J358" s="210"/>
      <c r="K358" s="235"/>
      <c r="L358" s="91"/>
      <c r="M358" s="92"/>
    </row>
    <row r="359" spans="1:13" s="45" customFormat="1" ht="8.5500000000000007" customHeight="1" x14ac:dyDescent="0.2">
      <c r="A359" s="43"/>
      <c r="B359" s="378" t="s">
        <v>575</v>
      </c>
      <c r="C359" s="378"/>
      <c r="D359" s="378"/>
      <c r="E359" s="378"/>
      <c r="F359" s="379"/>
      <c r="G359" s="251">
        <v>1985</v>
      </c>
      <c r="H359" s="253">
        <v>92</v>
      </c>
      <c r="I359" s="160"/>
      <c r="J359" s="209"/>
      <c r="K359" s="234">
        <v>2</v>
      </c>
      <c r="L359" s="91"/>
      <c r="M359" s="92"/>
    </row>
    <row r="360" spans="1:13" s="45" customFormat="1" ht="8.5500000000000007" customHeight="1" x14ac:dyDescent="0.2">
      <c r="A360" s="43"/>
      <c r="B360" s="380"/>
      <c r="C360" s="380"/>
      <c r="D360" s="380"/>
      <c r="E360" s="380"/>
      <c r="F360" s="381"/>
      <c r="G360" s="252"/>
      <c r="H360" s="254"/>
      <c r="I360" s="161"/>
      <c r="J360" s="210"/>
      <c r="K360" s="235"/>
      <c r="L360" s="91"/>
      <c r="M360" s="92"/>
    </row>
    <row r="361" spans="1:13" s="45" customFormat="1" ht="8.5500000000000007" customHeight="1" x14ac:dyDescent="0.2">
      <c r="A361" s="43"/>
      <c r="B361" s="378" t="s">
        <v>575</v>
      </c>
      <c r="C361" s="378"/>
      <c r="D361" s="378"/>
      <c r="E361" s="378"/>
      <c r="F361" s="379"/>
      <c r="G361" s="251">
        <v>1989</v>
      </c>
      <c r="H361" s="253">
        <v>91</v>
      </c>
      <c r="I361" s="160"/>
      <c r="J361" s="209"/>
      <c r="K361" s="234">
        <v>2</v>
      </c>
      <c r="L361" s="91"/>
      <c r="M361" s="92"/>
    </row>
    <row r="362" spans="1:13" s="45" customFormat="1" ht="8.5500000000000007" customHeight="1" x14ac:dyDescent="0.2">
      <c r="A362" s="43"/>
      <c r="B362" s="380"/>
      <c r="C362" s="380"/>
      <c r="D362" s="380"/>
      <c r="E362" s="380"/>
      <c r="F362" s="381"/>
      <c r="G362" s="252"/>
      <c r="H362" s="254"/>
      <c r="I362" s="161"/>
      <c r="J362" s="210"/>
      <c r="K362" s="235"/>
      <c r="L362" s="91"/>
      <c r="M362" s="92"/>
    </row>
    <row r="363" spans="1:13" s="45" customFormat="1" ht="8.5500000000000007" customHeight="1" x14ac:dyDescent="0.2">
      <c r="A363" s="43"/>
      <c r="B363" s="378" t="s">
        <v>575</v>
      </c>
      <c r="C363" s="378"/>
      <c r="D363" s="378"/>
      <c r="E363" s="378"/>
      <c r="F363" s="379"/>
      <c r="G363" s="251">
        <v>2001</v>
      </c>
      <c r="H363" s="253">
        <v>95</v>
      </c>
      <c r="I363" s="160"/>
      <c r="J363" s="209"/>
      <c r="K363" s="234">
        <v>2</v>
      </c>
      <c r="L363" s="91"/>
      <c r="M363" s="92"/>
    </row>
    <row r="364" spans="1:13" s="45" customFormat="1" ht="8.5500000000000007" customHeight="1" x14ac:dyDescent="0.2">
      <c r="A364" s="43"/>
      <c r="B364" s="380"/>
      <c r="C364" s="380"/>
      <c r="D364" s="380"/>
      <c r="E364" s="380"/>
      <c r="F364" s="381"/>
      <c r="G364" s="252"/>
      <c r="H364" s="254"/>
      <c r="I364" s="161"/>
      <c r="J364" s="210"/>
      <c r="K364" s="235"/>
      <c r="L364" s="91"/>
      <c r="M364" s="92"/>
    </row>
    <row r="365" spans="1:13" s="45" customFormat="1" ht="8.5500000000000007" customHeight="1" x14ac:dyDescent="0.2">
      <c r="A365" s="43"/>
      <c r="B365" s="378" t="s">
        <v>575</v>
      </c>
      <c r="C365" s="378"/>
      <c r="D365" s="378"/>
      <c r="E365" s="378"/>
      <c r="F365" s="379"/>
      <c r="G365" s="251">
        <v>2004</v>
      </c>
      <c r="H365" s="253" t="s">
        <v>633</v>
      </c>
      <c r="I365" s="160"/>
      <c r="J365" s="209"/>
      <c r="K365" s="234">
        <v>2</v>
      </c>
      <c r="L365" s="91"/>
      <c r="M365" s="92"/>
    </row>
    <row r="366" spans="1:13" s="45" customFormat="1" ht="8.5500000000000007" customHeight="1" x14ac:dyDescent="0.2">
      <c r="A366" s="43"/>
      <c r="B366" s="380"/>
      <c r="C366" s="380"/>
      <c r="D366" s="380"/>
      <c r="E366" s="380"/>
      <c r="F366" s="381"/>
      <c r="G366" s="252"/>
      <c r="H366" s="254"/>
      <c r="I366" s="161"/>
      <c r="J366" s="210"/>
      <c r="K366" s="235"/>
      <c r="L366" s="91"/>
      <c r="M366" s="92"/>
    </row>
    <row r="367" spans="1:13" s="45" customFormat="1" ht="8.5500000000000007" customHeight="1" x14ac:dyDescent="0.2">
      <c r="A367" s="43"/>
      <c r="B367" s="378" t="s">
        <v>575</v>
      </c>
      <c r="C367" s="378"/>
      <c r="D367" s="378"/>
      <c r="E367" s="378"/>
      <c r="F367" s="379"/>
      <c r="G367" s="251">
        <v>2005</v>
      </c>
      <c r="H367" s="253">
        <v>95</v>
      </c>
      <c r="I367" s="160"/>
      <c r="J367" s="209"/>
      <c r="K367" s="234">
        <v>2</v>
      </c>
      <c r="L367" s="91"/>
      <c r="M367" s="92"/>
    </row>
    <row r="368" spans="1:13" s="45" customFormat="1" ht="8.5500000000000007" customHeight="1" x14ac:dyDescent="0.2">
      <c r="A368" s="43"/>
      <c r="B368" s="380"/>
      <c r="C368" s="380"/>
      <c r="D368" s="380"/>
      <c r="E368" s="380"/>
      <c r="F368" s="381"/>
      <c r="G368" s="252"/>
      <c r="H368" s="254"/>
      <c r="I368" s="161"/>
      <c r="J368" s="210"/>
      <c r="K368" s="235"/>
      <c r="L368" s="91"/>
      <c r="M368" s="92"/>
    </row>
    <row r="369" spans="1:13" s="45" customFormat="1" ht="8.5500000000000007" customHeight="1" x14ac:dyDescent="0.2">
      <c r="A369" s="43"/>
      <c r="B369" s="378" t="s">
        <v>830</v>
      </c>
      <c r="C369" s="378"/>
      <c r="D369" s="378"/>
      <c r="E369" s="378"/>
      <c r="F369" s="379"/>
      <c r="G369" s="251">
        <v>1964</v>
      </c>
      <c r="H369" s="390" t="s">
        <v>246</v>
      </c>
      <c r="I369" s="326"/>
      <c r="J369" s="209"/>
      <c r="K369" s="234">
        <v>1</v>
      </c>
      <c r="L369" s="91"/>
      <c r="M369" s="92"/>
    </row>
    <row r="370" spans="1:13" s="45" customFormat="1" ht="8.5500000000000007" customHeight="1" x14ac:dyDescent="0.2">
      <c r="A370" s="43"/>
      <c r="B370" s="380"/>
      <c r="C370" s="380"/>
      <c r="D370" s="380"/>
      <c r="E370" s="380"/>
      <c r="F370" s="381"/>
      <c r="G370" s="252"/>
      <c r="H370" s="391"/>
      <c r="I370" s="327"/>
      <c r="J370" s="210"/>
      <c r="K370" s="235"/>
      <c r="L370" s="91"/>
      <c r="M370" s="92"/>
    </row>
    <row r="371" spans="1:13" s="45" customFormat="1" ht="8.5500000000000007" customHeight="1" x14ac:dyDescent="0.2">
      <c r="A371" s="43"/>
      <c r="B371" s="378" t="s">
        <v>830</v>
      </c>
      <c r="C371" s="378"/>
      <c r="D371" s="378"/>
      <c r="E371" s="378"/>
      <c r="F371" s="379"/>
      <c r="G371" s="251">
        <v>1970</v>
      </c>
      <c r="H371" s="390" t="s">
        <v>246</v>
      </c>
      <c r="I371" s="326"/>
      <c r="J371" s="209"/>
      <c r="K371" s="234">
        <v>1</v>
      </c>
      <c r="L371" s="91"/>
      <c r="M371" s="92"/>
    </row>
    <row r="372" spans="1:13" s="45" customFormat="1" ht="8.5500000000000007" customHeight="1" x14ac:dyDescent="0.2">
      <c r="A372" s="43"/>
      <c r="B372" s="380"/>
      <c r="C372" s="380"/>
      <c r="D372" s="380"/>
      <c r="E372" s="380"/>
      <c r="F372" s="381"/>
      <c r="G372" s="252"/>
      <c r="H372" s="391"/>
      <c r="I372" s="327"/>
      <c r="J372" s="210"/>
      <c r="K372" s="235"/>
      <c r="L372" s="91"/>
      <c r="M372" s="92"/>
    </row>
    <row r="373" spans="1:13" s="45" customFormat="1" ht="8.5500000000000007" customHeight="1" x14ac:dyDescent="0.2">
      <c r="A373" s="43"/>
      <c r="B373" s="378" t="s">
        <v>830</v>
      </c>
      <c r="C373" s="378"/>
      <c r="D373" s="378"/>
      <c r="E373" s="378"/>
      <c r="F373" s="379"/>
      <c r="G373" s="251">
        <v>1981</v>
      </c>
      <c r="H373" s="390" t="s">
        <v>246</v>
      </c>
      <c r="I373" s="326"/>
      <c r="J373" s="209"/>
      <c r="K373" s="234">
        <v>1</v>
      </c>
      <c r="L373" s="91"/>
      <c r="M373" s="92"/>
    </row>
    <row r="374" spans="1:13" s="45" customFormat="1" ht="8.5500000000000007" customHeight="1" x14ac:dyDescent="0.2">
      <c r="A374" s="43"/>
      <c r="B374" s="380"/>
      <c r="C374" s="380"/>
      <c r="D374" s="380"/>
      <c r="E374" s="380"/>
      <c r="F374" s="381"/>
      <c r="G374" s="252"/>
      <c r="H374" s="391"/>
      <c r="I374" s="327"/>
      <c r="J374" s="210"/>
      <c r="K374" s="235"/>
      <c r="L374" s="91"/>
      <c r="M374" s="92"/>
    </row>
    <row r="375" spans="1:13" s="45" customFormat="1" ht="8.5500000000000007" customHeight="1" x14ac:dyDescent="0.2">
      <c r="A375" s="43"/>
      <c r="B375" s="378" t="s">
        <v>830</v>
      </c>
      <c r="C375" s="378"/>
      <c r="D375" s="378"/>
      <c r="E375" s="378"/>
      <c r="F375" s="379"/>
      <c r="G375" s="251">
        <v>1985</v>
      </c>
      <c r="H375" s="390" t="s">
        <v>246</v>
      </c>
      <c r="I375" s="326"/>
      <c r="J375" s="209"/>
      <c r="K375" s="234">
        <v>1</v>
      </c>
      <c r="L375" s="91"/>
      <c r="M375" s="92"/>
    </row>
    <row r="376" spans="1:13" s="45" customFormat="1" ht="8.5500000000000007" customHeight="1" x14ac:dyDescent="0.2">
      <c r="A376" s="43"/>
      <c r="B376" s="380"/>
      <c r="C376" s="380"/>
      <c r="D376" s="380"/>
      <c r="E376" s="380"/>
      <c r="F376" s="381"/>
      <c r="G376" s="252"/>
      <c r="H376" s="391"/>
      <c r="I376" s="327"/>
      <c r="J376" s="210"/>
      <c r="K376" s="235"/>
      <c r="L376" s="91"/>
      <c r="M376" s="92"/>
    </row>
    <row r="377" spans="1:13" s="45" customFormat="1" ht="8.5500000000000007" customHeight="1" x14ac:dyDescent="0.2">
      <c r="A377" s="43"/>
      <c r="B377" s="378" t="s">
        <v>590</v>
      </c>
      <c r="C377" s="378"/>
      <c r="D377" s="378"/>
      <c r="E377" s="378"/>
      <c r="F377" s="379"/>
      <c r="G377" s="251">
        <v>2001</v>
      </c>
      <c r="H377" s="253">
        <v>95</v>
      </c>
      <c r="I377" s="160"/>
      <c r="J377" s="209" t="s">
        <v>315</v>
      </c>
      <c r="K377" s="234">
        <v>1</v>
      </c>
      <c r="L377" s="91"/>
      <c r="M377" s="92"/>
    </row>
    <row r="378" spans="1:13" s="45" customFormat="1" ht="8.5500000000000007" customHeight="1" x14ac:dyDescent="0.2">
      <c r="A378" s="43"/>
      <c r="B378" s="380"/>
      <c r="C378" s="380"/>
      <c r="D378" s="380"/>
      <c r="E378" s="380"/>
      <c r="F378" s="381"/>
      <c r="G378" s="252"/>
      <c r="H378" s="254"/>
      <c r="I378" s="161"/>
      <c r="J378" s="210"/>
      <c r="K378" s="235"/>
      <c r="L378" s="91"/>
      <c r="M378" s="92"/>
    </row>
    <row r="379" spans="1:13" s="45" customFormat="1" ht="8.5500000000000007" customHeight="1" x14ac:dyDescent="0.2">
      <c r="A379" s="43"/>
      <c r="B379" s="378" t="s">
        <v>590</v>
      </c>
      <c r="C379" s="378"/>
      <c r="D379" s="378"/>
      <c r="E379" s="378"/>
      <c r="F379" s="379"/>
      <c r="G379" s="251">
        <v>2004</v>
      </c>
      <c r="H379" s="253" t="s">
        <v>638</v>
      </c>
      <c r="I379" s="160">
        <v>91</v>
      </c>
      <c r="J379" s="209" t="s">
        <v>124</v>
      </c>
      <c r="K379" s="234">
        <v>1</v>
      </c>
      <c r="L379" s="91"/>
      <c r="M379" s="92"/>
    </row>
    <row r="380" spans="1:13" s="45" customFormat="1" ht="8.5500000000000007" customHeight="1" x14ac:dyDescent="0.2">
      <c r="A380" s="43"/>
      <c r="B380" s="380"/>
      <c r="C380" s="380"/>
      <c r="D380" s="380"/>
      <c r="E380" s="380"/>
      <c r="F380" s="381"/>
      <c r="G380" s="252"/>
      <c r="H380" s="254"/>
      <c r="I380" s="161"/>
      <c r="J380" s="210"/>
      <c r="K380" s="235"/>
      <c r="L380" s="91"/>
      <c r="M380" s="92"/>
    </row>
    <row r="381" spans="1:13" s="45" customFormat="1" ht="8.5500000000000007" customHeight="1" x14ac:dyDescent="0.2">
      <c r="A381" s="43"/>
      <c r="B381" s="378" t="s">
        <v>591</v>
      </c>
      <c r="C381" s="378"/>
      <c r="D381" s="378"/>
      <c r="E381" s="378"/>
      <c r="F381" s="379"/>
      <c r="G381" s="251">
        <v>2004</v>
      </c>
      <c r="H381" s="253">
        <v>98</v>
      </c>
      <c r="I381" s="160">
        <v>92</v>
      </c>
      <c r="J381" s="209" t="s">
        <v>222</v>
      </c>
      <c r="K381" s="234">
        <v>1</v>
      </c>
      <c r="L381" s="91"/>
      <c r="M381" s="92"/>
    </row>
    <row r="382" spans="1:13" s="45" customFormat="1" ht="8.5500000000000007" customHeight="1" x14ac:dyDescent="0.2">
      <c r="A382" s="43"/>
      <c r="B382" s="380"/>
      <c r="C382" s="380"/>
      <c r="D382" s="380"/>
      <c r="E382" s="380"/>
      <c r="F382" s="381"/>
      <c r="G382" s="252"/>
      <c r="H382" s="254"/>
      <c r="I382" s="161"/>
      <c r="J382" s="210"/>
      <c r="K382" s="235"/>
      <c r="L382" s="91"/>
      <c r="M382" s="92"/>
    </row>
    <row r="383" spans="1:13" s="45" customFormat="1" ht="8.5500000000000007" customHeight="1" x14ac:dyDescent="0.2">
      <c r="A383" s="43"/>
      <c r="B383" s="378" t="s">
        <v>591</v>
      </c>
      <c r="C383" s="378"/>
      <c r="D383" s="378"/>
      <c r="E383" s="378"/>
      <c r="F383" s="379"/>
      <c r="G383" s="251">
        <v>2005</v>
      </c>
      <c r="H383" s="253">
        <v>98</v>
      </c>
      <c r="I383" s="160">
        <v>88</v>
      </c>
      <c r="J383" s="209" t="s">
        <v>261</v>
      </c>
      <c r="K383" s="234">
        <v>1</v>
      </c>
      <c r="L383" s="91"/>
      <c r="M383" s="92"/>
    </row>
    <row r="384" spans="1:13" s="45" customFormat="1" ht="8.5500000000000007" customHeight="1" x14ac:dyDescent="0.2">
      <c r="A384" s="43"/>
      <c r="B384" s="380"/>
      <c r="C384" s="380"/>
      <c r="D384" s="380"/>
      <c r="E384" s="380"/>
      <c r="F384" s="381"/>
      <c r="G384" s="252"/>
      <c r="H384" s="254"/>
      <c r="I384" s="161"/>
      <c r="J384" s="210"/>
      <c r="K384" s="235"/>
      <c r="L384" s="91"/>
      <c r="M384" s="92"/>
    </row>
    <row r="385" spans="1:13" s="45" customFormat="1" ht="8.5500000000000007" customHeight="1" x14ac:dyDescent="0.2">
      <c r="A385" s="43"/>
      <c r="B385" s="378" t="s">
        <v>592</v>
      </c>
      <c r="C385" s="378"/>
      <c r="D385" s="378"/>
      <c r="E385" s="378"/>
      <c r="F385" s="379"/>
      <c r="G385" s="251">
        <v>2004</v>
      </c>
      <c r="H385" s="253">
        <v>92</v>
      </c>
      <c r="I385" s="160">
        <v>90</v>
      </c>
      <c r="J385" s="209" t="s">
        <v>222</v>
      </c>
      <c r="K385" s="234">
        <v>1</v>
      </c>
      <c r="L385" s="91"/>
      <c r="M385" s="92"/>
    </row>
    <row r="386" spans="1:13" s="45" customFormat="1" ht="8.5500000000000007" customHeight="1" x14ac:dyDescent="0.2">
      <c r="A386" s="43"/>
      <c r="B386" s="380"/>
      <c r="C386" s="380"/>
      <c r="D386" s="380"/>
      <c r="E386" s="380"/>
      <c r="F386" s="381"/>
      <c r="G386" s="252"/>
      <c r="H386" s="254"/>
      <c r="I386" s="161"/>
      <c r="J386" s="210"/>
      <c r="K386" s="235"/>
      <c r="L386" s="91"/>
      <c r="M386" s="92"/>
    </row>
    <row r="387" spans="1:13" s="45" customFormat="1" ht="8.5500000000000007" customHeight="1" x14ac:dyDescent="0.2">
      <c r="A387" s="43"/>
      <c r="B387" s="281" t="s">
        <v>576</v>
      </c>
      <c r="C387" s="281"/>
      <c r="D387" s="281"/>
      <c r="E387" s="281"/>
      <c r="F387" s="184"/>
      <c r="G387" s="251">
        <v>2005</v>
      </c>
      <c r="H387" s="253" t="s">
        <v>637</v>
      </c>
      <c r="I387" s="160">
        <v>93</v>
      </c>
      <c r="J387" s="209" t="s">
        <v>263</v>
      </c>
      <c r="K387" s="234">
        <v>2</v>
      </c>
      <c r="L387" s="91"/>
      <c r="M387" s="92"/>
    </row>
    <row r="388" spans="1:13" s="45" customFormat="1" ht="8.5500000000000007" customHeight="1" x14ac:dyDescent="0.2">
      <c r="A388" s="43"/>
      <c r="B388" s="185"/>
      <c r="C388" s="185"/>
      <c r="D388" s="185"/>
      <c r="E388" s="185"/>
      <c r="F388" s="186"/>
      <c r="G388" s="252"/>
      <c r="H388" s="254"/>
      <c r="I388" s="161"/>
      <c r="J388" s="210"/>
      <c r="K388" s="235"/>
      <c r="L388" s="91"/>
      <c r="M388" s="92"/>
    </row>
    <row r="389" spans="1:13" s="45" customFormat="1" ht="8.5500000000000007" customHeight="1" x14ac:dyDescent="0.2">
      <c r="A389" s="43"/>
      <c r="B389" s="201" t="s">
        <v>577</v>
      </c>
      <c r="C389" s="201"/>
      <c r="D389" s="201"/>
      <c r="E389" s="201"/>
      <c r="F389" s="157"/>
      <c r="G389" s="251">
        <v>2004</v>
      </c>
      <c r="H389" s="253">
        <v>92</v>
      </c>
      <c r="I389" s="160">
        <v>93</v>
      </c>
      <c r="J389" s="209" t="s">
        <v>264</v>
      </c>
      <c r="K389" s="234">
        <v>2</v>
      </c>
      <c r="L389" s="91"/>
      <c r="M389" s="92"/>
    </row>
    <row r="390" spans="1:13" s="45" customFormat="1" ht="8.5500000000000007" customHeight="1" x14ac:dyDescent="0.2">
      <c r="A390" s="43"/>
      <c r="B390" s="158"/>
      <c r="C390" s="158"/>
      <c r="D390" s="158"/>
      <c r="E390" s="158"/>
      <c r="F390" s="159"/>
      <c r="G390" s="252"/>
      <c r="H390" s="254"/>
      <c r="I390" s="161"/>
      <c r="J390" s="210"/>
      <c r="K390" s="235"/>
      <c r="L390" s="91"/>
      <c r="M390" s="92"/>
    </row>
    <row r="391" spans="1:13" s="45" customFormat="1" ht="8.5500000000000007" customHeight="1" x14ac:dyDescent="0.2">
      <c r="A391" s="43"/>
      <c r="B391" s="201" t="s">
        <v>594</v>
      </c>
      <c r="C391" s="201"/>
      <c r="D391" s="201"/>
      <c r="E391" s="201"/>
      <c r="F391" s="157"/>
      <c r="G391" s="251">
        <v>2000</v>
      </c>
      <c r="H391" s="253">
        <v>98</v>
      </c>
      <c r="I391" s="160"/>
      <c r="J391" s="209" t="s">
        <v>335</v>
      </c>
      <c r="K391" s="234">
        <v>1</v>
      </c>
      <c r="L391" s="91"/>
      <c r="M391" s="92"/>
    </row>
    <row r="392" spans="1:13" s="45" customFormat="1" ht="8.5500000000000007" customHeight="1" x14ac:dyDescent="0.2">
      <c r="A392" s="43"/>
      <c r="B392" s="158"/>
      <c r="C392" s="158"/>
      <c r="D392" s="158"/>
      <c r="E392" s="158"/>
      <c r="F392" s="159"/>
      <c r="G392" s="252"/>
      <c r="H392" s="254"/>
      <c r="I392" s="161"/>
      <c r="J392" s="210"/>
      <c r="K392" s="235"/>
      <c r="L392" s="91"/>
      <c r="M392" s="92"/>
    </row>
    <row r="393" spans="1:13" s="45" customFormat="1" ht="8.5500000000000007" customHeight="1" x14ac:dyDescent="0.2">
      <c r="A393" s="43"/>
      <c r="B393" s="201" t="s">
        <v>594</v>
      </c>
      <c r="C393" s="201"/>
      <c r="D393" s="201"/>
      <c r="E393" s="201"/>
      <c r="F393" s="157"/>
      <c r="G393" s="251">
        <v>2001</v>
      </c>
      <c r="H393" s="253">
        <v>98</v>
      </c>
      <c r="I393" s="160"/>
      <c r="J393" s="209" t="s">
        <v>335</v>
      </c>
      <c r="K393" s="234">
        <v>2</v>
      </c>
      <c r="L393" s="91"/>
      <c r="M393" s="92"/>
    </row>
    <row r="394" spans="1:13" s="45" customFormat="1" ht="8.5500000000000007" customHeight="1" x14ac:dyDescent="0.2">
      <c r="A394" s="43"/>
      <c r="B394" s="158"/>
      <c r="C394" s="158"/>
      <c r="D394" s="158"/>
      <c r="E394" s="158"/>
      <c r="F394" s="159"/>
      <c r="G394" s="252"/>
      <c r="H394" s="254"/>
      <c r="I394" s="161"/>
      <c r="J394" s="210"/>
      <c r="K394" s="235"/>
      <c r="L394" s="91"/>
      <c r="M394" s="92"/>
    </row>
    <row r="395" spans="1:13" s="45" customFormat="1" ht="8.5500000000000007" customHeight="1" x14ac:dyDescent="0.2">
      <c r="A395" s="43"/>
      <c r="B395" s="201" t="s">
        <v>652</v>
      </c>
      <c r="C395" s="201"/>
      <c r="D395" s="201"/>
      <c r="E395" s="201"/>
      <c r="F395" s="157"/>
      <c r="G395" s="251">
        <v>2002</v>
      </c>
      <c r="H395" s="253">
        <v>96</v>
      </c>
      <c r="I395" s="160">
        <v>87</v>
      </c>
      <c r="J395" s="209" t="s">
        <v>346</v>
      </c>
      <c r="K395" s="234">
        <v>1</v>
      </c>
      <c r="L395" s="91"/>
      <c r="M395" s="92"/>
    </row>
    <row r="396" spans="1:13" s="45" customFormat="1" ht="8.5500000000000007" customHeight="1" x14ac:dyDescent="0.2">
      <c r="A396" s="43"/>
      <c r="B396" s="158"/>
      <c r="C396" s="158"/>
      <c r="D396" s="158"/>
      <c r="E396" s="158"/>
      <c r="F396" s="159"/>
      <c r="G396" s="252"/>
      <c r="H396" s="254"/>
      <c r="I396" s="161"/>
      <c r="J396" s="210"/>
      <c r="K396" s="235"/>
      <c r="L396" s="91"/>
      <c r="M396" s="92"/>
    </row>
    <row r="397" spans="1:13" s="45" customFormat="1" ht="8.5500000000000007" customHeight="1" x14ac:dyDescent="0.2">
      <c r="A397" s="43"/>
      <c r="B397" s="201" t="s">
        <v>594</v>
      </c>
      <c r="C397" s="201"/>
      <c r="D397" s="201"/>
      <c r="E397" s="201"/>
      <c r="F397" s="157"/>
      <c r="G397" s="251">
        <v>2003</v>
      </c>
      <c r="H397" s="253">
        <v>99</v>
      </c>
      <c r="I397" s="160">
        <v>90</v>
      </c>
      <c r="J397" s="209" t="s">
        <v>347</v>
      </c>
      <c r="K397" s="234">
        <v>2</v>
      </c>
      <c r="L397" s="91"/>
      <c r="M397" s="92"/>
    </row>
    <row r="398" spans="1:13" s="45" customFormat="1" ht="8.5500000000000007" customHeight="1" x14ac:dyDescent="0.2">
      <c r="A398" s="43"/>
      <c r="B398" s="158"/>
      <c r="C398" s="158"/>
      <c r="D398" s="158"/>
      <c r="E398" s="158"/>
      <c r="F398" s="159"/>
      <c r="G398" s="252"/>
      <c r="H398" s="254"/>
      <c r="I398" s="161"/>
      <c r="J398" s="210"/>
      <c r="K398" s="235"/>
      <c r="L398" s="91"/>
      <c r="M398" s="92"/>
    </row>
    <row r="399" spans="1:13" s="45" customFormat="1" ht="8.5500000000000007" customHeight="1" x14ac:dyDescent="0.2">
      <c r="A399" s="43"/>
      <c r="B399" s="201" t="s">
        <v>594</v>
      </c>
      <c r="C399" s="201"/>
      <c r="D399" s="201"/>
      <c r="E399" s="201"/>
      <c r="F399" s="157"/>
      <c r="G399" s="251">
        <v>2004</v>
      </c>
      <c r="H399" s="253">
        <v>100</v>
      </c>
      <c r="I399" s="160">
        <v>90</v>
      </c>
      <c r="J399" s="209" t="s">
        <v>265</v>
      </c>
      <c r="K399" s="234">
        <v>4</v>
      </c>
      <c r="L399" s="91"/>
      <c r="M399" s="92"/>
    </row>
    <row r="400" spans="1:13" s="45" customFormat="1" ht="8.5500000000000007" customHeight="1" x14ac:dyDescent="0.2">
      <c r="A400" s="43"/>
      <c r="B400" s="158"/>
      <c r="C400" s="158"/>
      <c r="D400" s="158"/>
      <c r="E400" s="158"/>
      <c r="F400" s="159"/>
      <c r="G400" s="252"/>
      <c r="H400" s="254"/>
      <c r="I400" s="161"/>
      <c r="J400" s="210"/>
      <c r="K400" s="235"/>
      <c r="L400" s="91"/>
      <c r="M400" s="92"/>
    </row>
    <row r="401" spans="1:13" s="45" customFormat="1" ht="8.5500000000000007" customHeight="1" x14ac:dyDescent="0.2">
      <c r="A401" s="43"/>
      <c r="B401" s="201" t="s">
        <v>594</v>
      </c>
      <c r="C401" s="201"/>
      <c r="D401" s="201"/>
      <c r="E401" s="201"/>
      <c r="F401" s="157"/>
      <c r="G401" s="251">
        <v>2005</v>
      </c>
      <c r="H401" s="253">
        <v>100</v>
      </c>
      <c r="I401" s="160">
        <v>85</v>
      </c>
      <c r="J401" s="209" t="s">
        <v>265</v>
      </c>
      <c r="K401" s="234">
        <v>4</v>
      </c>
      <c r="L401" s="91"/>
      <c r="M401" s="92"/>
    </row>
    <row r="402" spans="1:13" s="45" customFormat="1" ht="8.5500000000000007" customHeight="1" x14ac:dyDescent="0.2">
      <c r="A402" s="43"/>
      <c r="B402" s="158"/>
      <c r="C402" s="158"/>
      <c r="D402" s="158"/>
      <c r="E402" s="158"/>
      <c r="F402" s="159"/>
      <c r="G402" s="252"/>
      <c r="H402" s="254"/>
      <c r="I402" s="161"/>
      <c r="J402" s="210"/>
      <c r="K402" s="235"/>
      <c r="L402" s="91"/>
      <c r="M402" s="92"/>
    </row>
    <row r="403" spans="1:13" s="45" customFormat="1" ht="8.5500000000000007" customHeight="1" x14ac:dyDescent="0.2">
      <c r="A403" s="43"/>
      <c r="B403" s="339" t="s">
        <v>214</v>
      </c>
      <c r="C403" s="339"/>
      <c r="D403" s="339"/>
      <c r="E403" s="339"/>
      <c r="F403" s="339"/>
      <c r="G403" s="47"/>
      <c r="H403" s="47"/>
      <c r="I403" s="48"/>
      <c r="J403" s="48"/>
      <c r="K403" s="234"/>
      <c r="L403" s="91"/>
      <c r="M403" s="92"/>
    </row>
    <row r="404" spans="1:13" s="45" customFormat="1" ht="8.5500000000000007" customHeight="1" x14ac:dyDescent="0.2">
      <c r="A404" s="43"/>
      <c r="B404" s="340"/>
      <c r="C404" s="340"/>
      <c r="D404" s="340"/>
      <c r="E404" s="340"/>
      <c r="F404" s="340"/>
      <c r="G404" s="54"/>
      <c r="H404" s="54"/>
      <c r="I404" s="49"/>
      <c r="J404" s="49"/>
      <c r="K404" s="235"/>
      <c r="L404" s="91"/>
      <c r="M404" s="92"/>
    </row>
    <row r="405" spans="1:13" s="45" customFormat="1" ht="8.5500000000000007" customHeight="1" x14ac:dyDescent="0.2">
      <c r="A405" s="43"/>
      <c r="B405" s="201" t="s">
        <v>594</v>
      </c>
      <c r="C405" s="201"/>
      <c r="D405" s="201"/>
      <c r="E405" s="201"/>
      <c r="F405" s="157"/>
      <c r="G405" s="251">
        <v>2007</v>
      </c>
      <c r="H405" s="253">
        <v>98</v>
      </c>
      <c r="I405" s="160">
        <v>87</v>
      </c>
      <c r="J405" s="209" t="s">
        <v>316</v>
      </c>
      <c r="K405" s="234">
        <v>1</v>
      </c>
      <c r="L405" s="91"/>
      <c r="M405" s="92"/>
    </row>
    <row r="406" spans="1:13" s="45" customFormat="1" ht="8.5500000000000007" customHeight="1" x14ac:dyDescent="0.2">
      <c r="A406" s="43"/>
      <c r="B406" s="158"/>
      <c r="C406" s="158"/>
      <c r="D406" s="158"/>
      <c r="E406" s="158"/>
      <c r="F406" s="159"/>
      <c r="G406" s="252"/>
      <c r="H406" s="254"/>
      <c r="I406" s="161"/>
      <c r="J406" s="210"/>
      <c r="K406" s="235"/>
      <c r="L406" s="91"/>
      <c r="M406" s="92"/>
    </row>
    <row r="407" spans="1:13" s="45" customFormat="1" ht="8.5500000000000007" customHeight="1" x14ac:dyDescent="0.2">
      <c r="A407" s="43"/>
      <c r="B407" s="201" t="s">
        <v>652</v>
      </c>
      <c r="C407" s="201"/>
      <c r="D407" s="201"/>
      <c r="E407" s="201"/>
      <c r="F407" s="157"/>
      <c r="G407" s="251">
        <v>2007</v>
      </c>
      <c r="H407" s="253">
        <v>98</v>
      </c>
      <c r="I407" s="160">
        <v>87</v>
      </c>
      <c r="J407" s="209" t="s">
        <v>316</v>
      </c>
      <c r="K407" s="234">
        <v>1</v>
      </c>
      <c r="L407" s="91"/>
      <c r="M407" s="92"/>
    </row>
    <row r="408" spans="1:13" s="45" customFormat="1" ht="8.5500000000000007" customHeight="1" x14ac:dyDescent="0.2">
      <c r="A408" s="43"/>
      <c r="B408" s="158"/>
      <c r="C408" s="158"/>
      <c r="D408" s="158"/>
      <c r="E408" s="158"/>
      <c r="F408" s="159"/>
      <c r="G408" s="252"/>
      <c r="H408" s="254"/>
      <c r="I408" s="161"/>
      <c r="J408" s="210"/>
      <c r="K408" s="235"/>
      <c r="L408" s="91"/>
      <c r="M408" s="92"/>
    </row>
    <row r="409" spans="1:13" s="45" customFormat="1" ht="8.5500000000000007" customHeight="1" x14ac:dyDescent="0.2">
      <c r="A409" s="43"/>
      <c r="B409" s="281" t="s">
        <v>593</v>
      </c>
      <c r="C409" s="281"/>
      <c r="D409" s="281"/>
      <c r="E409" s="281"/>
      <c r="F409" s="184"/>
      <c r="G409" s="251">
        <v>2004</v>
      </c>
      <c r="H409" s="253">
        <v>98</v>
      </c>
      <c r="I409" s="160">
        <v>89</v>
      </c>
      <c r="J409" s="267" t="s">
        <v>227</v>
      </c>
      <c r="K409" s="234">
        <v>2</v>
      </c>
      <c r="L409" s="91"/>
      <c r="M409" s="92"/>
    </row>
    <row r="410" spans="1:13" s="45" customFormat="1" ht="8.5500000000000007" customHeight="1" x14ac:dyDescent="0.2">
      <c r="A410" s="43"/>
      <c r="B410" s="185"/>
      <c r="C410" s="185"/>
      <c r="D410" s="185"/>
      <c r="E410" s="185"/>
      <c r="F410" s="186"/>
      <c r="G410" s="252"/>
      <c r="H410" s="254"/>
      <c r="I410" s="161"/>
      <c r="J410" s="268"/>
      <c r="K410" s="235"/>
      <c r="L410" s="91"/>
      <c r="M410" s="92"/>
    </row>
    <row r="411" spans="1:13" s="45" customFormat="1" ht="8.5500000000000007" customHeight="1" x14ac:dyDescent="0.2">
      <c r="A411" s="43"/>
      <c r="B411" s="281" t="s">
        <v>593</v>
      </c>
      <c r="C411" s="281"/>
      <c r="D411" s="281"/>
      <c r="E411" s="281"/>
      <c r="F411" s="184"/>
      <c r="G411" s="251">
        <v>2005</v>
      </c>
      <c r="H411" s="253">
        <v>98</v>
      </c>
      <c r="I411" s="160">
        <v>93</v>
      </c>
      <c r="J411" s="267" t="s">
        <v>227</v>
      </c>
      <c r="K411" s="234">
        <v>2</v>
      </c>
      <c r="L411" s="91"/>
      <c r="M411" s="92"/>
    </row>
    <row r="412" spans="1:13" s="45" customFormat="1" ht="8.5500000000000007" customHeight="1" x14ac:dyDescent="0.2">
      <c r="A412" s="43"/>
      <c r="B412" s="185"/>
      <c r="C412" s="185"/>
      <c r="D412" s="185"/>
      <c r="E412" s="185"/>
      <c r="F412" s="186"/>
      <c r="G412" s="252"/>
      <c r="H412" s="254"/>
      <c r="I412" s="161"/>
      <c r="J412" s="268"/>
      <c r="K412" s="235"/>
      <c r="L412" s="91"/>
      <c r="M412" s="92"/>
    </row>
    <row r="413" spans="1:13" s="45" customFormat="1" ht="8.5500000000000007" customHeight="1" x14ac:dyDescent="0.2">
      <c r="A413" s="43"/>
      <c r="B413" s="281" t="s">
        <v>595</v>
      </c>
      <c r="C413" s="281"/>
      <c r="D413" s="281"/>
      <c r="E413" s="281"/>
      <c r="F413" s="184"/>
      <c r="G413" s="251">
        <v>2005</v>
      </c>
      <c r="H413" s="253">
        <v>97</v>
      </c>
      <c r="I413" s="160">
        <v>90</v>
      </c>
      <c r="J413" s="209" t="s">
        <v>264</v>
      </c>
      <c r="K413" s="234">
        <v>3</v>
      </c>
      <c r="L413" s="91"/>
      <c r="M413" s="92"/>
    </row>
    <row r="414" spans="1:13" s="45" customFormat="1" ht="8.5500000000000007" customHeight="1" x14ac:dyDescent="0.2">
      <c r="A414" s="43"/>
      <c r="B414" s="185"/>
      <c r="C414" s="185"/>
      <c r="D414" s="185"/>
      <c r="E414" s="185"/>
      <c r="F414" s="186"/>
      <c r="G414" s="252"/>
      <c r="H414" s="254"/>
      <c r="I414" s="161"/>
      <c r="J414" s="210"/>
      <c r="K414" s="235"/>
      <c r="L414" s="91"/>
      <c r="M414" s="92"/>
    </row>
    <row r="415" spans="1:13" s="45" customFormat="1" ht="8.5500000000000007" customHeight="1" x14ac:dyDescent="0.2">
      <c r="A415" s="43"/>
      <c r="B415" s="281" t="s">
        <v>1113</v>
      </c>
      <c r="C415" s="281"/>
      <c r="D415" s="281"/>
      <c r="E415" s="281"/>
      <c r="F415" s="184"/>
      <c r="G415" s="251">
        <v>2005</v>
      </c>
      <c r="H415" s="253">
        <v>93</v>
      </c>
      <c r="I415" s="160"/>
      <c r="J415" s="209" t="s">
        <v>222</v>
      </c>
      <c r="K415" s="234">
        <v>1</v>
      </c>
      <c r="L415" s="91"/>
      <c r="M415" s="92"/>
    </row>
    <row r="416" spans="1:13" s="45" customFormat="1" ht="8.5500000000000007" customHeight="1" x14ac:dyDescent="0.2">
      <c r="A416" s="43"/>
      <c r="B416" s="185"/>
      <c r="C416" s="185"/>
      <c r="D416" s="185"/>
      <c r="E416" s="185"/>
      <c r="F416" s="186"/>
      <c r="G416" s="252"/>
      <c r="H416" s="254"/>
      <c r="I416" s="161"/>
      <c r="J416" s="210"/>
      <c r="K416" s="235"/>
      <c r="L416" s="91"/>
      <c r="M416" s="92"/>
    </row>
    <row r="417" spans="1:13" s="45" customFormat="1" ht="8.5500000000000007" customHeight="1" x14ac:dyDescent="0.2">
      <c r="A417" s="43"/>
      <c r="B417" s="281" t="s">
        <v>1113</v>
      </c>
      <c r="C417" s="281"/>
      <c r="D417" s="281"/>
      <c r="E417" s="281"/>
      <c r="F417" s="184"/>
      <c r="G417" s="251">
        <v>2007</v>
      </c>
      <c r="H417" s="253">
        <v>93</v>
      </c>
      <c r="I417" s="160"/>
      <c r="J417" s="209" t="s">
        <v>317</v>
      </c>
      <c r="K417" s="234">
        <v>3</v>
      </c>
      <c r="L417" s="91"/>
      <c r="M417" s="92"/>
    </row>
    <row r="418" spans="1:13" s="45" customFormat="1" ht="8.5500000000000007" customHeight="1" x14ac:dyDescent="0.2">
      <c r="A418" s="43"/>
      <c r="B418" s="185"/>
      <c r="C418" s="185"/>
      <c r="D418" s="185"/>
      <c r="E418" s="185"/>
      <c r="F418" s="186"/>
      <c r="G418" s="252"/>
      <c r="H418" s="254"/>
      <c r="I418" s="161"/>
      <c r="J418" s="210"/>
      <c r="K418" s="235"/>
      <c r="L418" s="91"/>
      <c r="M418" s="92"/>
    </row>
    <row r="419" spans="1:13" s="45" customFormat="1" ht="8.5500000000000007" customHeight="1" x14ac:dyDescent="0.2">
      <c r="A419" s="43"/>
      <c r="B419" s="378" t="s">
        <v>596</v>
      </c>
      <c r="C419" s="378"/>
      <c r="D419" s="378"/>
      <c r="E419" s="378"/>
      <c r="F419" s="379"/>
      <c r="G419" s="251">
        <v>2004</v>
      </c>
      <c r="H419" s="253">
        <v>97</v>
      </c>
      <c r="I419" s="160">
        <v>94</v>
      </c>
      <c r="J419" s="209" t="s">
        <v>264</v>
      </c>
      <c r="K419" s="234">
        <v>2</v>
      </c>
      <c r="L419" s="91"/>
      <c r="M419" s="92"/>
    </row>
    <row r="420" spans="1:13" s="45" customFormat="1" ht="8.5500000000000007" customHeight="1" x14ac:dyDescent="0.2">
      <c r="A420" s="43"/>
      <c r="B420" s="380"/>
      <c r="C420" s="380"/>
      <c r="D420" s="380"/>
      <c r="E420" s="380"/>
      <c r="F420" s="381"/>
      <c r="G420" s="252"/>
      <c r="H420" s="254"/>
      <c r="I420" s="161"/>
      <c r="J420" s="210"/>
      <c r="K420" s="235"/>
      <c r="L420" s="91"/>
      <c r="M420" s="92"/>
    </row>
    <row r="421" spans="1:13" s="45" customFormat="1" ht="8.5500000000000007" customHeight="1" x14ac:dyDescent="0.2">
      <c r="A421" s="43"/>
      <c r="B421" s="378" t="s">
        <v>596</v>
      </c>
      <c r="C421" s="378"/>
      <c r="D421" s="378"/>
      <c r="E421" s="378"/>
      <c r="F421" s="379"/>
      <c r="G421" s="251">
        <v>2006</v>
      </c>
      <c r="H421" s="253">
        <v>94</v>
      </c>
      <c r="I421" s="160"/>
      <c r="J421" s="209" t="s">
        <v>382</v>
      </c>
      <c r="K421" s="234">
        <v>3</v>
      </c>
      <c r="L421" s="91"/>
      <c r="M421" s="92"/>
    </row>
    <row r="422" spans="1:13" s="45" customFormat="1" ht="8.5500000000000007" customHeight="1" x14ac:dyDescent="0.2">
      <c r="A422" s="43"/>
      <c r="B422" s="380"/>
      <c r="C422" s="380"/>
      <c r="D422" s="380"/>
      <c r="E422" s="380"/>
      <c r="F422" s="381"/>
      <c r="G422" s="252"/>
      <c r="H422" s="254"/>
      <c r="I422" s="161"/>
      <c r="J422" s="210"/>
      <c r="K422" s="235"/>
      <c r="L422" s="91"/>
      <c r="M422" s="92"/>
    </row>
    <row r="423" spans="1:13" s="45" customFormat="1" ht="8.5500000000000007" customHeight="1" x14ac:dyDescent="0.2">
      <c r="A423" s="43"/>
      <c r="B423" s="201" t="s">
        <v>597</v>
      </c>
      <c r="C423" s="201"/>
      <c r="D423" s="201"/>
      <c r="E423" s="201"/>
      <c r="F423" s="157"/>
      <c r="G423" s="251">
        <v>1995</v>
      </c>
      <c r="H423" s="253">
        <v>97</v>
      </c>
      <c r="I423" s="160"/>
      <c r="J423" s="209" t="s">
        <v>225</v>
      </c>
      <c r="K423" s="234">
        <v>3</v>
      </c>
      <c r="L423" s="91"/>
      <c r="M423" s="92"/>
    </row>
    <row r="424" spans="1:13" s="45" customFormat="1" ht="8.5500000000000007" customHeight="1" x14ac:dyDescent="0.2">
      <c r="A424" s="43"/>
      <c r="B424" s="158"/>
      <c r="C424" s="158"/>
      <c r="D424" s="158"/>
      <c r="E424" s="158"/>
      <c r="F424" s="159"/>
      <c r="G424" s="252"/>
      <c r="H424" s="254"/>
      <c r="I424" s="161"/>
      <c r="J424" s="210"/>
      <c r="K424" s="235"/>
      <c r="L424" s="91"/>
      <c r="M424" s="92"/>
    </row>
    <row r="425" spans="1:13" s="45" customFormat="1" ht="8.5500000000000007" customHeight="1" x14ac:dyDescent="0.2">
      <c r="A425" s="43"/>
      <c r="B425" s="201" t="s">
        <v>597</v>
      </c>
      <c r="C425" s="201"/>
      <c r="D425" s="201"/>
      <c r="E425" s="201"/>
      <c r="F425" s="157"/>
      <c r="G425" s="251">
        <v>1996</v>
      </c>
      <c r="H425" s="253">
        <v>97</v>
      </c>
      <c r="I425" s="160"/>
      <c r="J425" s="209" t="s">
        <v>310</v>
      </c>
      <c r="K425" s="234">
        <v>3</v>
      </c>
      <c r="L425" s="91"/>
      <c r="M425" s="92"/>
    </row>
    <row r="426" spans="1:13" s="45" customFormat="1" ht="8.5500000000000007" customHeight="1" x14ac:dyDescent="0.2">
      <c r="A426" s="43"/>
      <c r="B426" s="158"/>
      <c r="C426" s="158"/>
      <c r="D426" s="158"/>
      <c r="E426" s="158"/>
      <c r="F426" s="159"/>
      <c r="G426" s="252"/>
      <c r="H426" s="254"/>
      <c r="I426" s="161"/>
      <c r="J426" s="210"/>
      <c r="K426" s="235"/>
      <c r="L426" s="91"/>
      <c r="M426" s="92"/>
    </row>
    <row r="427" spans="1:13" s="45" customFormat="1" ht="8.5500000000000007" customHeight="1" x14ac:dyDescent="0.2">
      <c r="A427" s="43"/>
      <c r="B427" s="201" t="s">
        <v>597</v>
      </c>
      <c r="C427" s="201"/>
      <c r="D427" s="201"/>
      <c r="E427" s="201"/>
      <c r="F427" s="157"/>
      <c r="G427" s="251">
        <v>2001</v>
      </c>
      <c r="H427" s="253" t="s">
        <v>394</v>
      </c>
      <c r="I427" s="160"/>
      <c r="J427" s="209" t="s">
        <v>722</v>
      </c>
      <c r="K427" s="234">
        <v>4</v>
      </c>
      <c r="L427" s="91"/>
      <c r="M427" s="92"/>
    </row>
    <row r="428" spans="1:13" s="45" customFormat="1" ht="8.5500000000000007" customHeight="1" x14ac:dyDescent="0.2">
      <c r="A428" s="43"/>
      <c r="B428" s="158"/>
      <c r="C428" s="158"/>
      <c r="D428" s="158"/>
      <c r="E428" s="158"/>
      <c r="F428" s="159"/>
      <c r="G428" s="252"/>
      <c r="H428" s="254"/>
      <c r="I428" s="161"/>
      <c r="J428" s="210"/>
      <c r="K428" s="235"/>
      <c r="L428" s="91"/>
      <c r="M428" s="92"/>
    </row>
    <row r="429" spans="1:13" s="45" customFormat="1" ht="8.5500000000000007" customHeight="1" x14ac:dyDescent="0.2">
      <c r="A429" s="43"/>
      <c r="B429" s="201" t="s">
        <v>597</v>
      </c>
      <c r="C429" s="201"/>
      <c r="D429" s="201"/>
      <c r="E429" s="201"/>
      <c r="F429" s="157"/>
      <c r="G429" s="251">
        <v>2004</v>
      </c>
      <c r="H429" s="253">
        <v>100</v>
      </c>
      <c r="I429" s="160"/>
      <c r="J429" s="209" t="s">
        <v>7</v>
      </c>
      <c r="K429" s="234">
        <v>4</v>
      </c>
      <c r="L429" s="91"/>
      <c r="M429" s="92"/>
    </row>
    <row r="430" spans="1:13" s="45" customFormat="1" ht="8.5500000000000007" customHeight="1" x14ac:dyDescent="0.2">
      <c r="A430" s="43"/>
      <c r="B430" s="158"/>
      <c r="C430" s="158"/>
      <c r="D430" s="158"/>
      <c r="E430" s="158"/>
      <c r="F430" s="159"/>
      <c r="G430" s="252"/>
      <c r="H430" s="254"/>
      <c r="I430" s="161"/>
      <c r="J430" s="210"/>
      <c r="K430" s="235"/>
      <c r="L430" s="91"/>
      <c r="M430" s="92"/>
    </row>
    <row r="431" spans="1:13" s="45" customFormat="1" ht="8.5500000000000007" customHeight="1" x14ac:dyDescent="0.2">
      <c r="A431" s="43"/>
      <c r="B431" s="201" t="s">
        <v>597</v>
      </c>
      <c r="C431" s="201"/>
      <c r="D431" s="201"/>
      <c r="E431" s="201"/>
      <c r="F431" s="157"/>
      <c r="G431" s="251">
        <v>2005</v>
      </c>
      <c r="H431" s="253">
        <v>98</v>
      </c>
      <c r="I431" s="160"/>
      <c r="J431" s="209" t="s">
        <v>266</v>
      </c>
      <c r="K431" s="234">
        <v>1</v>
      </c>
      <c r="L431" s="91"/>
      <c r="M431" s="92"/>
    </row>
    <row r="432" spans="1:13" s="45" customFormat="1" ht="8.5500000000000007" customHeight="1" x14ac:dyDescent="0.2">
      <c r="A432" s="43"/>
      <c r="B432" s="158"/>
      <c r="C432" s="158"/>
      <c r="D432" s="158"/>
      <c r="E432" s="158"/>
      <c r="F432" s="159"/>
      <c r="G432" s="252"/>
      <c r="H432" s="254"/>
      <c r="I432" s="161"/>
      <c r="J432" s="210"/>
      <c r="K432" s="235"/>
      <c r="L432" s="91"/>
      <c r="M432" s="92"/>
    </row>
    <row r="433" spans="1:13" s="45" customFormat="1" ht="8.5500000000000007" customHeight="1" x14ac:dyDescent="0.2">
      <c r="A433" s="43"/>
      <c r="B433" s="201" t="s">
        <v>597</v>
      </c>
      <c r="C433" s="201"/>
      <c r="D433" s="201"/>
      <c r="E433" s="201"/>
      <c r="F433" s="157"/>
      <c r="G433" s="251">
        <v>2006</v>
      </c>
      <c r="H433" s="253">
        <v>97</v>
      </c>
      <c r="I433" s="160"/>
      <c r="J433" s="209" t="s">
        <v>55</v>
      </c>
      <c r="K433" s="234">
        <v>3</v>
      </c>
      <c r="L433" s="91"/>
      <c r="M433" s="92"/>
    </row>
    <row r="434" spans="1:13" s="45" customFormat="1" ht="8.5500000000000007" customHeight="1" x14ac:dyDescent="0.2">
      <c r="A434" s="43"/>
      <c r="B434" s="158"/>
      <c r="C434" s="158"/>
      <c r="D434" s="158"/>
      <c r="E434" s="158"/>
      <c r="F434" s="159"/>
      <c r="G434" s="252"/>
      <c r="H434" s="254"/>
      <c r="I434" s="161"/>
      <c r="J434" s="210"/>
      <c r="K434" s="235"/>
      <c r="L434" s="91"/>
      <c r="M434" s="92"/>
    </row>
    <row r="435" spans="1:13" s="45" customFormat="1" ht="8.5500000000000007" customHeight="1" x14ac:dyDescent="0.2">
      <c r="A435" s="43"/>
      <c r="B435" s="201" t="s">
        <v>883</v>
      </c>
      <c r="C435" s="201"/>
      <c r="D435" s="201"/>
      <c r="E435" s="201"/>
      <c r="F435" s="157"/>
      <c r="G435" s="251">
        <v>2001</v>
      </c>
      <c r="H435" s="253">
        <v>98</v>
      </c>
      <c r="I435" s="160"/>
      <c r="J435" s="209" t="s">
        <v>356</v>
      </c>
      <c r="K435" s="234">
        <v>2</v>
      </c>
      <c r="L435" s="91"/>
      <c r="M435" s="92"/>
    </row>
    <row r="436" spans="1:13" s="45" customFormat="1" ht="8.5500000000000007" customHeight="1" x14ac:dyDescent="0.2">
      <c r="A436" s="43"/>
      <c r="B436" s="158"/>
      <c r="C436" s="158"/>
      <c r="D436" s="158"/>
      <c r="E436" s="158"/>
      <c r="F436" s="159"/>
      <c r="G436" s="252"/>
      <c r="H436" s="254"/>
      <c r="I436" s="161"/>
      <c r="J436" s="210"/>
      <c r="K436" s="235"/>
      <c r="L436" s="91"/>
      <c r="M436" s="92"/>
    </row>
    <row r="437" spans="1:13" s="45" customFormat="1" ht="8.5500000000000007" customHeight="1" x14ac:dyDescent="0.2">
      <c r="A437" s="43"/>
      <c r="B437" s="281" t="s">
        <v>598</v>
      </c>
      <c r="C437" s="281"/>
      <c r="D437" s="281"/>
      <c r="E437" s="281"/>
      <c r="F437" s="184"/>
      <c r="G437" s="251">
        <v>2000</v>
      </c>
      <c r="H437" s="253">
        <v>88</v>
      </c>
      <c r="I437" s="160"/>
      <c r="J437" s="209"/>
      <c r="K437" s="234">
        <v>1</v>
      </c>
      <c r="L437" s="91"/>
      <c r="M437" s="92"/>
    </row>
    <row r="438" spans="1:13" s="45" customFormat="1" ht="8.5500000000000007" customHeight="1" x14ac:dyDescent="0.2">
      <c r="A438" s="43"/>
      <c r="B438" s="185"/>
      <c r="C438" s="185"/>
      <c r="D438" s="185"/>
      <c r="E438" s="185"/>
      <c r="F438" s="186"/>
      <c r="G438" s="252"/>
      <c r="H438" s="254"/>
      <c r="I438" s="161"/>
      <c r="J438" s="210"/>
      <c r="K438" s="235"/>
      <c r="L438" s="91"/>
      <c r="M438" s="92"/>
    </row>
    <row r="439" spans="1:13" s="45" customFormat="1" ht="8.5500000000000007" customHeight="1" x14ac:dyDescent="0.2">
      <c r="A439" s="43"/>
      <c r="B439" s="281" t="s">
        <v>598</v>
      </c>
      <c r="C439" s="281"/>
      <c r="D439" s="281"/>
      <c r="E439" s="281"/>
      <c r="F439" s="184"/>
      <c r="G439" s="251">
        <v>2001</v>
      </c>
      <c r="H439" s="253">
        <v>91</v>
      </c>
      <c r="I439" s="160"/>
      <c r="J439" s="209"/>
      <c r="K439" s="234">
        <v>2</v>
      </c>
      <c r="L439" s="91"/>
      <c r="M439" s="92"/>
    </row>
    <row r="440" spans="1:13" s="45" customFormat="1" ht="8.5500000000000007" customHeight="1" x14ac:dyDescent="0.2">
      <c r="A440" s="43"/>
      <c r="B440" s="185"/>
      <c r="C440" s="185"/>
      <c r="D440" s="185"/>
      <c r="E440" s="185"/>
      <c r="F440" s="186"/>
      <c r="G440" s="252"/>
      <c r="H440" s="254"/>
      <c r="I440" s="161"/>
      <c r="J440" s="210"/>
      <c r="K440" s="235"/>
      <c r="L440" s="91"/>
      <c r="M440" s="92"/>
    </row>
    <row r="441" spans="1:13" s="45" customFormat="1" ht="8.5500000000000007" customHeight="1" x14ac:dyDescent="0.2">
      <c r="A441" s="43"/>
      <c r="B441" s="281" t="s">
        <v>598</v>
      </c>
      <c r="C441" s="281"/>
      <c r="D441" s="281"/>
      <c r="E441" s="281"/>
      <c r="F441" s="184"/>
      <c r="G441" s="251">
        <v>2007</v>
      </c>
      <c r="H441" s="253" t="s">
        <v>628</v>
      </c>
      <c r="I441" s="160"/>
      <c r="J441" s="209" t="s">
        <v>317</v>
      </c>
      <c r="K441" s="234">
        <v>2</v>
      </c>
      <c r="L441" s="91"/>
      <c r="M441" s="92"/>
    </row>
    <row r="442" spans="1:13" s="45" customFormat="1" ht="8.5500000000000007" customHeight="1" x14ac:dyDescent="0.2">
      <c r="A442" s="43"/>
      <c r="B442" s="185"/>
      <c r="C442" s="185"/>
      <c r="D442" s="185"/>
      <c r="E442" s="185"/>
      <c r="F442" s="186"/>
      <c r="G442" s="252"/>
      <c r="H442" s="254"/>
      <c r="I442" s="161"/>
      <c r="J442" s="210"/>
      <c r="K442" s="235"/>
      <c r="L442" s="91"/>
      <c r="M442" s="92"/>
    </row>
    <row r="443" spans="1:13" s="45" customFormat="1" ht="8.5500000000000007" customHeight="1" x14ac:dyDescent="0.2">
      <c r="A443" s="43"/>
      <c r="B443" s="281" t="s">
        <v>332</v>
      </c>
      <c r="C443" s="281"/>
      <c r="D443" s="281"/>
      <c r="E443" s="281"/>
      <c r="F443" s="184"/>
      <c r="G443" s="251">
        <v>2001</v>
      </c>
      <c r="H443" s="253">
        <v>97</v>
      </c>
      <c r="I443" s="160"/>
      <c r="J443" s="209" t="s">
        <v>250</v>
      </c>
      <c r="K443" s="234">
        <v>1</v>
      </c>
      <c r="L443" s="91"/>
      <c r="M443" s="92"/>
    </row>
    <row r="444" spans="1:13" s="45" customFormat="1" ht="8.5500000000000007" customHeight="1" x14ac:dyDescent="0.2">
      <c r="A444" s="43"/>
      <c r="B444" s="185"/>
      <c r="C444" s="185"/>
      <c r="D444" s="185"/>
      <c r="E444" s="185"/>
      <c r="F444" s="186"/>
      <c r="G444" s="252"/>
      <c r="H444" s="254"/>
      <c r="I444" s="161"/>
      <c r="J444" s="210"/>
      <c r="K444" s="235"/>
      <c r="L444" s="91"/>
      <c r="M444" s="92"/>
    </row>
    <row r="445" spans="1:13" s="45" customFormat="1" ht="8.5500000000000007" customHeight="1" x14ac:dyDescent="0.2">
      <c r="A445" s="43"/>
      <c r="B445" s="281" t="s">
        <v>332</v>
      </c>
      <c r="C445" s="281"/>
      <c r="D445" s="281"/>
      <c r="E445" s="281"/>
      <c r="F445" s="184"/>
      <c r="G445" s="251">
        <v>2004</v>
      </c>
      <c r="H445" s="253">
        <v>100</v>
      </c>
      <c r="I445" s="160"/>
      <c r="J445" s="209" t="s">
        <v>704</v>
      </c>
      <c r="K445" s="234">
        <v>2</v>
      </c>
      <c r="L445" s="91"/>
      <c r="M445" s="92"/>
    </row>
    <row r="446" spans="1:13" s="45" customFormat="1" ht="8.5500000000000007" customHeight="1" x14ac:dyDescent="0.2">
      <c r="A446" s="43"/>
      <c r="B446" s="185"/>
      <c r="C446" s="185"/>
      <c r="D446" s="185"/>
      <c r="E446" s="185"/>
      <c r="F446" s="186"/>
      <c r="G446" s="252"/>
      <c r="H446" s="254"/>
      <c r="I446" s="161"/>
      <c r="J446" s="210"/>
      <c r="K446" s="235"/>
      <c r="L446" s="91"/>
      <c r="M446" s="92"/>
    </row>
    <row r="447" spans="1:13" s="45" customFormat="1" ht="8.5500000000000007" customHeight="1" x14ac:dyDescent="0.2">
      <c r="A447" s="43"/>
      <c r="B447" s="281" t="s">
        <v>331</v>
      </c>
      <c r="C447" s="281"/>
      <c r="D447" s="281"/>
      <c r="E447" s="281"/>
      <c r="F447" s="184"/>
      <c r="G447" s="251">
        <v>2004</v>
      </c>
      <c r="H447" s="253">
        <v>97</v>
      </c>
      <c r="I447" s="160">
        <v>91</v>
      </c>
      <c r="J447" s="209" t="s">
        <v>383</v>
      </c>
      <c r="K447" s="234">
        <v>3</v>
      </c>
      <c r="L447" s="91"/>
      <c r="M447" s="92"/>
    </row>
    <row r="448" spans="1:13" s="45" customFormat="1" ht="8.5500000000000007" customHeight="1" x14ac:dyDescent="0.2">
      <c r="A448" s="43"/>
      <c r="B448" s="185"/>
      <c r="C448" s="185"/>
      <c r="D448" s="185"/>
      <c r="E448" s="185"/>
      <c r="F448" s="186"/>
      <c r="G448" s="252"/>
      <c r="H448" s="254"/>
      <c r="I448" s="161"/>
      <c r="J448" s="210"/>
      <c r="K448" s="235"/>
      <c r="L448" s="91"/>
      <c r="M448" s="92"/>
    </row>
    <row r="449" spans="1:13" s="45" customFormat="1" ht="8.5500000000000007" customHeight="1" x14ac:dyDescent="0.2">
      <c r="A449" s="43"/>
      <c r="B449" s="281" t="s">
        <v>330</v>
      </c>
      <c r="C449" s="281"/>
      <c r="D449" s="281"/>
      <c r="E449" s="281"/>
      <c r="F449" s="184"/>
      <c r="G449" s="251">
        <v>2006</v>
      </c>
      <c r="H449" s="253">
        <v>92</v>
      </c>
      <c r="I449" s="160">
        <v>90</v>
      </c>
      <c r="J449" s="209" t="s">
        <v>315</v>
      </c>
      <c r="K449" s="234">
        <v>2</v>
      </c>
      <c r="L449" s="91"/>
      <c r="M449" s="92"/>
    </row>
    <row r="450" spans="1:13" s="45" customFormat="1" ht="8.5500000000000007" customHeight="1" x14ac:dyDescent="0.2">
      <c r="A450" s="43"/>
      <c r="B450" s="185"/>
      <c r="C450" s="185"/>
      <c r="D450" s="185"/>
      <c r="E450" s="185"/>
      <c r="F450" s="186"/>
      <c r="G450" s="252"/>
      <c r="H450" s="254"/>
      <c r="I450" s="161"/>
      <c r="J450" s="210"/>
      <c r="K450" s="235"/>
      <c r="L450" s="91"/>
      <c r="M450" s="92"/>
    </row>
    <row r="451" spans="1:13" s="45" customFormat="1" ht="8.5500000000000007" customHeight="1" x14ac:dyDescent="0.2">
      <c r="A451" s="43"/>
      <c r="B451" s="281" t="s">
        <v>1854</v>
      </c>
      <c r="C451" s="281"/>
      <c r="D451" s="281"/>
      <c r="E451" s="281"/>
      <c r="F451" s="184"/>
      <c r="G451" s="251">
        <v>2017</v>
      </c>
      <c r="H451" s="253">
        <v>96</v>
      </c>
      <c r="I451" s="160"/>
      <c r="J451" s="209" t="s">
        <v>1609</v>
      </c>
      <c r="K451" s="234">
        <v>4</v>
      </c>
      <c r="L451" s="91"/>
      <c r="M451" s="92"/>
    </row>
    <row r="452" spans="1:13" s="45" customFormat="1" ht="8.5500000000000007" customHeight="1" x14ac:dyDescent="0.2">
      <c r="A452" s="43"/>
      <c r="B452" s="185"/>
      <c r="C452" s="185"/>
      <c r="D452" s="185"/>
      <c r="E452" s="185"/>
      <c r="F452" s="186"/>
      <c r="G452" s="252"/>
      <c r="H452" s="254"/>
      <c r="I452" s="161"/>
      <c r="J452" s="210"/>
      <c r="K452" s="235"/>
      <c r="L452" s="91"/>
      <c r="M452" s="92"/>
    </row>
    <row r="453" spans="1:13" s="45" customFormat="1" ht="8.5500000000000007" customHeight="1" x14ac:dyDescent="0.2">
      <c r="A453" s="43"/>
      <c r="B453" s="213" t="s">
        <v>801</v>
      </c>
      <c r="C453" s="213"/>
      <c r="D453" s="213"/>
      <c r="E453" s="213"/>
      <c r="F453" s="213"/>
      <c r="G453" s="47"/>
      <c r="H453" s="47"/>
      <c r="I453" s="48"/>
      <c r="J453" s="48"/>
      <c r="K453" s="236">
        <v>255</v>
      </c>
      <c r="L453" s="290">
        <f>SUM(K201:K452)</f>
        <v>255</v>
      </c>
      <c r="M453" s="92"/>
    </row>
    <row r="454" spans="1:13" s="45" customFormat="1" ht="8.5500000000000007" customHeight="1" x14ac:dyDescent="0.2">
      <c r="A454" s="43"/>
      <c r="B454" s="171"/>
      <c r="C454" s="171"/>
      <c r="D454" s="171"/>
      <c r="E454" s="171"/>
      <c r="F454" s="171"/>
      <c r="G454" s="54"/>
      <c r="H454" s="54"/>
      <c r="I454" s="49"/>
      <c r="J454" s="49"/>
      <c r="K454" s="225"/>
      <c r="L454" s="231"/>
      <c r="M454" s="92"/>
    </row>
    <row r="455" spans="1:13" s="45" customFormat="1" ht="8.5500000000000007" customHeight="1" x14ac:dyDescent="0.2">
      <c r="A455" s="43"/>
      <c r="B455" s="347" t="s">
        <v>188</v>
      </c>
      <c r="C455" s="347"/>
      <c r="D455" s="347"/>
      <c r="E455" s="347"/>
      <c r="F455" s="347"/>
      <c r="G455" s="47"/>
      <c r="H455" s="47"/>
      <c r="I455" s="48"/>
      <c r="J455" s="48"/>
      <c r="K455" s="234"/>
      <c r="L455" s="91"/>
      <c r="M455" s="92"/>
    </row>
    <row r="456" spans="1:13" s="45" customFormat="1" ht="8.5500000000000007" customHeight="1" x14ac:dyDescent="0.2">
      <c r="A456" s="43"/>
      <c r="B456" s="348"/>
      <c r="C456" s="348"/>
      <c r="D456" s="348"/>
      <c r="E456" s="348"/>
      <c r="F456" s="348"/>
      <c r="G456" s="54"/>
      <c r="H456" s="54"/>
      <c r="I456" s="49"/>
      <c r="J456" s="49"/>
      <c r="K456" s="235"/>
      <c r="L456" s="91"/>
      <c r="M456" s="92"/>
    </row>
    <row r="457" spans="1:13" s="45" customFormat="1" ht="8.5500000000000007" customHeight="1" x14ac:dyDescent="0.2">
      <c r="A457" s="43"/>
      <c r="B457" s="201" t="s">
        <v>1395</v>
      </c>
      <c r="C457" s="201"/>
      <c r="D457" s="201"/>
      <c r="E457" s="201"/>
      <c r="F457" s="157"/>
      <c r="G457" s="251">
        <v>1993</v>
      </c>
      <c r="H457" s="253">
        <v>89</v>
      </c>
      <c r="I457" s="160"/>
      <c r="J457" s="209"/>
      <c r="K457" s="234">
        <v>1</v>
      </c>
      <c r="L457" s="91"/>
      <c r="M457" s="92"/>
    </row>
    <row r="458" spans="1:13" s="45" customFormat="1" ht="8.5500000000000007" customHeight="1" x14ac:dyDescent="0.2">
      <c r="A458" s="43"/>
      <c r="B458" s="158"/>
      <c r="C458" s="158"/>
      <c r="D458" s="158"/>
      <c r="E458" s="158"/>
      <c r="F458" s="159"/>
      <c r="G458" s="252"/>
      <c r="H458" s="254"/>
      <c r="I458" s="161"/>
      <c r="J458" s="210"/>
      <c r="K458" s="235"/>
      <c r="L458" s="91"/>
      <c r="M458" s="92"/>
    </row>
    <row r="459" spans="1:13" s="45" customFormat="1" ht="8.5500000000000007" customHeight="1" x14ac:dyDescent="0.2">
      <c r="A459" s="43"/>
      <c r="B459" s="339" t="s">
        <v>1988</v>
      </c>
      <c r="C459" s="339"/>
      <c r="D459" s="339"/>
      <c r="E459" s="339"/>
      <c r="F459" s="339"/>
      <c r="G459" s="47"/>
      <c r="H459" s="47"/>
      <c r="I459" s="48"/>
      <c r="J459" s="48"/>
      <c r="K459" s="234"/>
      <c r="L459" s="91"/>
      <c r="M459" s="92"/>
    </row>
    <row r="460" spans="1:13" s="45" customFormat="1" ht="8.5500000000000007" customHeight="1" x14ac:dyDescent="0.2">
      <c r="A460" s="43"/>
      <c r="B460" s="340"/>
      <c r="C460" s="340"/>
      <c r="D460" s="340"/>
      <c r="E460" s="340"/>
      <c r="F460" s="340"/>
      <c r="G460" s="54"/>
      <c r="H460" s="54"/>
      <c r="I460" s="49"/>
      <c r="J460" s="49"/>
      <c r="K460" s="235"/>
      <c r="L460" s="91"/>
      <c r="M460" s="92"/>
    </row>
    <row r="461" spans="1:13" s="45" customFormat="1" ht="8.5500000000000007" customHeight="1" x14ac:dyDescent="0.2">
      <c r="A461" s="43"/>
      <c r="B461" s="201" t="s">
        <v>1395</v>
      </c>
      <c r="C461" s="201"/>
      <c r="D461" s="201"/>
      <c r="E461" s="201"/>
      <c r="F461" s="157"/>
      <c r="G461" s="251">
        <v>1994</v>
      </c>
      <c r="H461" s="253">
        <v>97</v>
      </c>
      <c r="I461" s="160">
        <v>94</v>
      </c>
      <c r="J461" s="209" t="s">
        <v>36</v>
      </c>
      <c r="K461" s="234">
        <v>4</v>
      </c>
      <c r="L461" s="91"/>
      <c r="M461" s="92"/>
    </row>
    <row r="462" spans="1:13" s="45" customFormat="1" ht="8.5500000000000007" customHeight="1" x14ac:dyDescent="0.2">
      <c r="A462" s="43"/>
      <c r="B462" s="158"/>
      <c r="C462" s="158"/>
      <c r="D462" s="158"/>
      <c r="E462" s="158"/>
      <c r="F462" s="159"/>
      <c r="G462" s="252"/>
      <c r="H462" s="254"/>
      <c r="I462" s="161"/>
      <c r="J462" s="210"/>
      <c r="K462" s="235"/>
      <c r="L462" s="91"/>
      <c r="M462" s="92"/>
    </row>
    <row r="463" spans="1:13" s="45" customFormat="1" ht="8.5500000000000007" customHeight="1" x14ac:dyDescent="0.2">
      <c r="A463" s="43"/>
      <c r="B463" s="201" t="s">
        <v>1633</v>
      </c>
      <c r="C463" s="201"/>
      <c r="D463" s="201"/>
      <c r="E463" s="201"/>
      <c r="F463" s="157"/>
      <c r="G463" s="251">
        <v>1994</v>
      </c>
      <c r="H463" s="253">
        <v>97</v>
      </c>
      <c r="I463" s="160">
        <v>94</v>
      </c>
      <c r="J463" s="209" t="s">
        <v>36</v>
      </c>
      <c r="K463" s="234">
        <v>1</v>
      </c>
      <c r="L463" s="91"/>
      <c r="M463" s="92"/>
    </row>
    <row r="464" spans="1:13" s="45" customFormat="1" ht="8.5500000000000007" customHeight="1" x14ac:dyDescent="0.2">
      <c r="A464" s="43"/>
      <c r="B464" s="158"/>
      <c r="C464" s="158"/>
      <c r="D464" s="158"/>
      <c r="E464" s="158"/>
      <c r="F464" s="159"/>
      <c r="G464" s="252"/>
      <c r="H464" s="254"/>
      <c r="I464" s="161"/>
      <c r="J464" s="210"/>
      <c r="K464" s="235"/>
      <c r="L464" s="91"/>
      <c r="M464" s="92"/>
    </row>
    <row r="465" spans="1:13" s="45" customFormat="1" ht="8.5500000000000007" customHeight="1" x14ac:dyDescent="0.2">
      <c r="A465" s="43"/>
      <c r="B465" s="201" t="s">
        <v>1395</v>
      </c>
      <c r="C465" s="201"/>
      <c r="D465" s="201"/>
      <c r="E465" s="201"/>
      <c r="F465" s="157"/>
      <c r="G465" s="251">
        <v>1995</v>
      </c>
      <c r="H465" s="253">
        <v>94</v>
      </c>
      <c r="I465" s="160">
        <v>97</v>
      </c>
      <c r="J465" s="209" t="s">
        <v>318</v>
      </c>
      <c r="K465" s="234">
        <v>3</v>
      </c>
      <c r="L465" s="91"/>
      <c r="M465" s="92"/>
    </row>
    <row r="466" spans="1:13" s="45" customFormat="1" ht="8.5500000000000007" customHeight="1" x14ac:dyDescent="0.2">
      <c r="A466" s="43"/>
      <c r="B466" s="158"/>
      <c r="C466" s="158"/>
      <c r="D466" s="158"/>
      <c r="E466" s="158"/>
      <c r="F466" s="159"/>
      <c r="G466" s="252"/>
      <c r="H466" s="254"/>
      <c r="I466" s="161"/>
      <c r="J466" s="210"/>
      <c r="K466" s="235"/>
      <c r="L466" s="91"/>
      <c r="M466" s="92"/>
    </row>
    <row r="467" spans="1:13" s="45" customFormat="1" ht="8.5500000000000007" customHeight="1" x14ac:dyDescent="0.2">
      <c r="A467" s="43"/>
      <c r="B467" s="201" t="s">
        <v>1395</v>
      </c>
      <c r="C467" s="201"/>
      <c r="D467" s="201"/>
      <c r="E467" s="201"/>
      <c r="F467" s="157"/>
      <c r="G467" s="251">
        <v>1996</v>
      </c>
      <c r="H467" s="253" t="s">
        <v>557</v>
      </c>
      <c r="I467" s="160"/>
      <c r="J467" s="209" t="s">
        <v>36</v>
      </c>
      <c r="K467" s="234">
        <v>1</v>
      </c>
      <c r="L467" s="91"/>
      <c r="M467" s="92"/>
    </row>
    <row r="468" spans="1:13" s="45" customFormat="1" ht="8.5500000000000007" customHeight="1" x14ac:dyDescent="0.2">
      <c r="A468" s="43"/>
      <c r="B468" s="158"/>
      <c r="C468" s="158"/>
      <c r="D468" s="158"/>
      <c r="E468" s="158"/>
      <c r="F468" s="159"/>
      <c r="G468" s="252"/>
      <c r="H468" s="254"/>
      <c r="I468" s="161"/>
      <c r="J468" s="210"/>
      <c r="K468" s="235"/>
      <c r="L468" s="91"/>
      <c r="M468" s="92"/>
    </row>
    <row r="469" spans="1:13" s="45" customFormat="1" ht="8.5500000000000007" customHeight="1" x14ac:dyDescent="0.2">
      <c r="A469" s="43"/>
      <c r="B469" s="201" t="s">
        <v>1395</v>
      </c>
      <c r="C469" s="201"/>
      <c r="D469" s="201"/>
      <c r="E469" s="201"/>
      <c r="F469" s="157"/>
      <c r="G469" s="251">
        <v>1997</v>
      </c>
      <c r="H469" s="253"/>
      <c r="I469" s="160"/>
      <c r="J469" s="209"/>
      <c r="K469" s="234">
        <v>2</v>
      </c>
      <c r="L469" s="91"/>
      <c r="M469" s="92"/>
    </row>
    <row r="470" spans="1:13" s="45" customFormat="1" ht="8.5500000000000007" customHeight="1" x14ac:dyDescent="0.2">
      <c r="A470" s="43"/>
      <c r="B470" s="158"/>
      <c r="C470" s="158"/>
      <c r="D470" s="158"/>
      <c r="E470" s="158"/>
      <c r="F470" s="159"/>
      <c r="G470" s="252"/>
      <c r="H470" s="254"/>
      <c r="I470" s="161"/>
      <c r="J470" s="210"/>
      <c r="K470" s="235"/>
      <c r="L470" s="91"/>
      <c r="M470" s="92"/>
    </row>
    <row r="471" spans="1:13" s="45" customFormat="1" ht="8.5500000000000007" customHeight="1" x14ac:dyDescent="0.2">
      <c r="A471" s="43"/>
      <c r="B471" s="201" t="s">
        <v>1395</v>
      </c>
      <c r="C471" s="201"/>
      <c r="D471" s="201"/>
      <c r="E471" s="201"/>
      <c r="F471" s="157"/>
      <c r="G471" s="251">
        <v>1999</v>
      </c>
      <c r="H471" s="253"/>
      <c r="I471" s="160"/>
      <c r="J471" s="209"/>
      <c r="K471" s="234">
        <v>1</v>
      </c>
      <c r="L471" s="91"/>
      <c r="M471" s="92"/>
    </row>
    <row r="472" spans="1:13" s="45" customFormat="1" ht="8.5500000000000007" customHeight="1" x14ac:dyDescent="0.2">
      <c r="A472" s="43"/>
      <c r="B472" s="158"/>
      <c r="C472" s="158"/>
      <c r="D472" s="158"/>
      <c r="E472" s="158"/>
      <c r="F472" s="159"/>
      <c r="G472" s="252"/>
      <c r="H472" s="254"/>
      <c r="I472" s="161"/>
      <c r="J472" s="210"/>
      <c r="K472" s="235"/>
      <c r="L472" s="91"/>
      <c r="M472" s="92"/>
    </row>
    <row r="473" spans="1:13" s="45" customFormat="1" ht="8.5500000000000007" customHeight="1" x14ac:dyDescent="0.2">
      <c r="A473" s="43"/>
      <c r="B473" s="201" t="s">
        <v>1395</v>
      </c>
      <c r="C473" s="201"/>
      <c r="D473" s="201"/>
      <c r="E473" s="201"/>
      <c r="F473" s="157"/>
      <c r="G473" s="251">
        <v>2004</v>
      </c>
      <c r="H473" s="253">
        <v>98</v>
      </c>
      <c r="I473" s="160">
        <v>94</v>
      </c>
      <c r="J473" s="209" t="s">
        <v>216</v>
      </c>
      <c r="K473" s="234">
        <v>2</v>
      </c>
      <c r="L473" s="91"/>
      <c r="M473" s="92"/>
    </row>
    <row r="474" spans="1:13" s="45" customFormat="1" ht="8.5500000000000007" customHeight="1" x14ac:dyDescent="0.2">
      <c r="A474" s="43"/>
      <c r="B474" s="158"/>
      <c r="C474" s="158"/>
      <c r="D474" s="158"/>
      <c r="E474" s="158"/>
      <c r="F474" s="159"/>
      <c r="G474" s="252"/>
      <c r="H474" s="254"/>
      <c r="I474" s="161"/>
      <c r="J474" s="210"/>
      <c r="K474" s="235"/>
      <c r="L474" s="91"/>
      <c r="M474" s="92"/>
    </row>
    <row r="475" spans="1:13" s="45" customFormat="1" ht="8.5500000000000007" customHeight="1" x14ac:dyDescent="0.2">
      <c r="A475" s="43"/>
      <c r="B475" s="201" t="s">
        <v>1396</v>
      </c>
      <c r="C475" s="201"/>
      <c r="D475" s="201"/>
      <c r="E475" s="201"/>
      <c r="F475" s="157"/>
      <c r="G475" s="251">
        <v>2005</v>
      </c>
      <c r="H475" s="253">
        <v>95</v>
      </c>
      <c r="I475" s="160">
        <v>92</v>
      </c>
      <c r="J475" s="209" t="s">
        <v>267</v>
      </c>
      <c r="K475" s="234">
        <v>1</v>
      </c>
      <c r="L475" s="91"/>
      <c r="M475" s="92"/>
    </row>
    <row r="476" spans="1:13" s="45" customFormat="1" ht="8.5500000000000007" customHeight="1" x14ac:dyDescent="0.2">
      <c r="A476" s="43"/>
      <c r="B476" s="158"/>
      <c r="C476" s="158"/>
      <c r="D476" s="158"/>
      <c r="E476" s="158"/>
      <c r="F476" s="159"/>
      <c r="G476" s="252"/>
      <c r="H476" s="254"/>
      <c r="I476" s="161"/>
      <c r="J476" s="210"/>
      <c r="K476" s="235"/>
      <c r="L476" s="91"/>
      <c r="M476" s="92"/>
    </row>
    <row r="477" spans="1:13" s="45" customFormat="1" ht="8.5500000000000007" customHeight="1" x14ac:dyDescent="0.2">
      <c r="A477" s="43"/>
      <c r="B477" s="201" t="s">
        <v>578</v>
      </c>
      <c r="C477" s="201"/>
      <c r="D477" s="201"/>
      <c r="E477" s="201"/>
      <c r="F477" s="157"/>
      <c r="G477" s="251">
        <v>2005</v>
      </c>
      <c r="H477" s="253">
        <v>98</v>
      </c>
      <c r="I477" s="160">
        <v>95</v>
      </c>
      <c r="J477" s="209" t="s">
        <v>261</v>
      </c>
      <c r="K477" s="234">
        <v>2</v>
      </c>
      <c r="L477" s="91"/>
      <c r="M477" s="92"/>
    </row>
    <row r="478" spans="1:13" s="45" customFormat="1" ht="8.5500000000000007" customHeight="1" x14ac:dyDescent="0.2">
      <c r="A478" s="43"/>
      <c r="B478" s="158"/>
      <c r="C478" s="158"/>
      <c r="D478" s="158"/>
      <c r="E478" s="158"/>
      <c r="F478" s="159"/>
      <c r="G478" s="252"/>
      <c r="H478" s="254"/>
      <c r="I478" s="161"/>
      <c r="J478" s="210"/>
      <c r="K478" s="235"/>
      <c r="L478" s="91"/>
      <c r="M478" s="92"/>
    </row>
    <row r="479" spans="1:13" s="45" customFormat="1" ht="8.5500000000000007" customHeight="1" x14ac:dyDescent="0.2">
      <c r="A479" s="43"/>
      <c r="B479" s="201" t="s">
        <v>578</v>
      </c>
      <c r="C479" s="201"/>
      <c r="D479" s="201"/>
      <c r="E479" s="201"/>
      <c r="F479" s="157"/>
      <c r="G479" s="251">
        <v>2006</v>
      </c>
      <c r="H479" s="253">
        <v>94</v>
      </c>
      <c r="I479" s="160">
        <v>93</v>
      </c>
      <c r="J479" s="209"/>
      <c r="K479" s="234">
        <v>2</v>
      </c>
      <c r="L479" s="91"/>
      <c r="M479" s="92"/>
    </row>
    <row r="480" spans="1:13" s="45" customFormat="1" ht="8.5500000000000007" customHeight="1" x14ac:dyDescent="0.2">
      <c r="A480" s="43"/>
      <c r="B480" s="158"/>
      <c r="C480" s="158"/>
      <c r="D480" s="158"/>
      <c r="E480" s="158"/>
      <c r="F480" s="159"/>
      <c r="G480" s="252"/>
      <c r="H480" s="254"/>
      <c r="I480" s="161"/>
      <c r="J480" s="210"/>
      <c r="K480" s="235"/>
      <c r="L480" s="91"/>
      <c r="M480" s="92"/>
    </row>
    <row r="481" spans="1:13" s="45" customFormat="1" ht="8.5500000000000007" customHeight="1" x14ac:dyDescent="0.2">
      <c r="A481" s="43"/>
      <c r="B481" s="201" t="s">
        <v>189</v>
      </c>
      <c r="C481" s="201"/>
      <c r="D481" s="201"/>
      <c r="E481" s="201"/>
      <c r="F481" s="157"/>
      <c r="G481" s="251">
        <v>2005</v>
      </c>
      <c r="H481" s="253">
        <v>96</v>
      </c>
      <c r="I481" s="160"/>
      <c r="J481" s="209" t="s">
        <v>236</v>
      </c>
      <c r="K481" s="234">
        <v>2</v>
      </c>
      <c r="L481" s="91"/>
      <c r="M481" s="92"/>
    </row>
    <row r="482" spans="1:13" s="45" customFormat="1" ht="8.5500000000000007" customHeight="1" x14ac:dyDescent="0.2">
      <c r="A482" s="43"/>
      <c r="B482" s="158"/>
      <c r="C482" s="158"/>
      <c r="D482" s="158"/>
      <c r="E482" s="158"/>
      <c r="F482" s="159"/>
      <c r="G482" s="252"/>
      <c r="H482" s="254"/>
      <c r="I482" s="161"/>
      <c r="J482" s="210"/>
      <c r="K482" s="235"/>
      <c r="L482" s="91"/>
      <c r="M482" s="92"/>
    </row>
    <row r="483" spans="1:13" s="45" customFormat="1" ht="8.5500000000000007" customHeight="1" x14ac:dyDescent="0.2">
      <c r="A483" s="43"/>
      <c r="B483" s="201" t="s">
        <v>190</v>
      </c>
      <c r="C483" s="201"/>
      <c r="D483" s="201"/>
      <c r="E483" s="201"/>
      <c r="F483" s="157"/>
      <c r="G483" s="251">
        <v>2004</v>
      </c>
      <c r="H483" s="253" t="s">
        <v>626</v>
      </c>
      <c r="I483" s="160">
        <v>92</v>
      </c>
      <c r="J483" s="209" t="s">
        <v>718</v>
      </c>
      <c r="K483" s="234">
        <v>3</v>
      </c>
      <c r="L483" s="91"/>
      <c r="M483" s="92"/>
    </row>
    <row r="484" spans="1:13" s="45" customFormat="1" ht="8.5500000000000007" customHeight="1" x14ac:dyDescent="0.2">
      <c r="A484" s="43"/>
      <c r="B484" s="158"/>
      <c r="C484" s="158"/>
      <c r="D484" s="158"/>
      <c r="E484" s="158"/>
      <c r="F484" s="159"/>
      <c r="G484" s="252"/>
      <c r="H484" s="254"/>
      <c r="I484" s="161"/>
      <c r="J484" s="210"/>
      <c r="K484" s="235"/>
      <c r="L484" s="91"/>
      <c r="M484" s="92"/>
    </row>
    <row r="485" spans="1:13" s="45" customFormat="1" ht="8.5500000000000007" customHeight="1" x14ac:dyDescent="0.2">
      <c r="A485" s="43"/>
      <c r="B485" s="201" t="s">
        <v>190</v>
      </c>
      <c r="C485" s="201"/>
      <c r="D485" s="201"/>
      <c r="E485" s="201"/>
      <c r="F485" s="157"/>
      <c r="G485" s="251">
        <v>2005</v>
      </c>
      <c r="H485" s="253">
        <v>98</v>
      </c>
      <c r="I485" s="160">
        <v>89</v>
      </c>
      <c r="J485" s="209" t="s">
        <v>282</v>
      </c>
      <c r="K485" s="234">
        <v>2</v>
      </c>
      <c r="L485" s="91"/>
      <c r="M485" s="92"/>
    </row>
    <row r="486" spans="1:13" s="45" customFormat="1" ht="8.5500000000000007" customHeight="1" x14ac:dyDescent="0.2">
      <c r="A486" s="43"/>
      <c r="B486" s="158"/>
      <c r="C486" s="158"/>
      <c r="D486" s="158"/>
      <c r="E486" s="158"/>
      <c r="F486" s="159"/>
      <c r="G486" s="252"/>
      <c r="H486" s="254"/>
      <c r="I486" s="161"/>
      <c r="J486" s="210"/>
      <c r="K486" s="235"/>
      <c r="L486" s="91"/>
      <c r="M486" s="92"/>
    </row>
    <row r="487" spans="1:13" s="45" customFormat="1" ht="8.5500000000000007" customHeight="1" x14ac:dyDescent="0.2">
      <c r="A487" s="43"/>
      <c r="B487" s="201" t="s">
        <v>190</v>
      </c>
      <c r="C487" s="201"/>
      <c r="D487" s="201"/>
      <c r="E487" s="201"/>
      <c r="F487" s="157"/>
      <c r="G487" s="251">
        <v>2006</v>
      </c>
      <c r="H487" s="253">
        <v>95</v>
      </c>
      <c r="I487" s="160">
        <v>90</v>
      </c>
      <c r="J487" s="209" t="s">
        <v>319</v>
      </c>
      <c r="K487" s="234">
        <v>2</v>
      </c>
      <c r="L487" s="91"/>
      <c r="M487" s="92"/>
    </row>
    <row r="488" spans="1:13" s="45" customFormat="1" ht="8.5500000000000007" customHeight="1" x14ac:dyDescent="0.2">
      <c r="A488" s="43"/>
      <c r="B488" s="158"/>
      <c r="C488" s="158"/>
      <c r="D488" s="158"/>
      <c r="E488" s="158"/>
      <c r="F488" s="159"/>
      <c r="G488" s="252"/>
      <c r="H488" s="254"/>
      <c r="I488" s="161"/>
      <c r="J488" s="210"/>
      <c r="K488" s="235"/>
      <c r="L488" s="91"/>
      <c r="M488" s="92"/>
    </row>
    <row r="489" spans="1:13" s="45" customFormat="1" ht="8.5500000000000007" customHeight="1" x14ac:dyDescent="0.2">
      <c r="A489" s="43"/>
      <c r="B489" s="201" t="s">
        <v>190</v>
      </c>
      <c r="C489" s="201"/>
      <c r="D489" s="201"/>
      <c r="E489" s="201"/>
      <c r="F489" s="157"/>
      <c r="G489" s="251">
        <v>2007</v>
      </c>
      <c r="H489" s="253">
        <v>96</v>
      </c>
      <c r="I489" s="160">
        <v>88</v>
      </c>
      <c r="J489" s="209" t="s">
        <v>260</v>
      </c>
      <c r="K489" s="234">
        <v>2</v>
      </c>
      <c r="L489" s="91"/>
      <c r="M489" s="92"/>
    </row>
    <row r="490" spans="1:13" s="45" customFormat="1" ht="8.5500000000000007" customHeight="1" x14ac:dyDescent="0.2">
      <c r="A490" s="43"/>
      <c r="B490" s="158"/>
      <c r="C490" s="158"/>
      <c r="D490" s="158"/>
      <c r="E490" s="158"/>
      <c r="F490" s="159"/>
      <c r="G490" s="252"/>
      <c r="H490" s="254"/>
      <c r="I490" s="161"/>
      <c r="J490" s="210"/>
      <c r="K490" s="235"/>
      <c r="L490" s="91"/>
      <c r="M490" s="92"/>
    </row>
    <row r="491" spans="1:13" s="45" customFormat="1" ht="8.5500000000000007" customHeight="1" x14ac:dyDescent="0.2">
      <c r="A491" s="43"/>
      <c r="B491" s="201" t="s">
        <v>190</v>
      </c>
      <c r="C491" s="201"/>
      <c r="D491" s="201"/>
      <c r="E491" s="201"/>
      <c r="F491" s="157"/>
      <c r="G491" s="251">
        <v>2011</v>
      </c>
      <c r="H491" s="253">
        <v>96</v>
      </c>
      <c r="I491" s="160"/>
      <c r="J491" s="209" t="s">
        <v>263</v>
      </c>
      <c r="K491" s="234">
        <v>3</v>
      </c>
      <c r="L491" s="91"/>
      <c r="M491" s="92"/>
    </row>
    <row r="492" spans="1:13" s="45" customFormat="1" ht="8.5500000000000007" customHeight="1" x14ac:dyDescent="0.2">
      <c r="A492" s="43"/>
      <c r="B492" s="158"/>
      <c r="C492" s="158"/>
      <c r="D492" s="158"/>
      <c r="E492" s="158"/>
      <c r="F492" s="159"/>
      <c r="G492" s="252"/>
      <c r="H492" s="254"/>
      <c r="I492" s="161"/>
      <c r="J492" s="210"/>
      <c r="K492" s="235"/>
      <c r="L492" s="91"/>
      <c r="M492" s="92"/>
    </row>
    <row r="493" spans="1:13" s="45" customFormat="1" ht="8.5500000000000007" customHeight="1" x14ac:dyDescent="0.2">
      <c r="A493" s="43"/>
      <c r="B493" s="201" t="s">
        <v>190</v>
      </c>
      <c r="C493" s="201"/>
      <c r="D493" s="201"/>
      <c r="E493" s="201"/>
      <c r="F493" s="157"/>
      <c r="G493" s="251">
        <v>2012</v>
      </c>
      <c r="H493" s="253">
        <v>98</v>
      </c>
      <c r="I493" s="160"/>
      <c r="J493" s="209" t="s">
        <v>317</v>
      </c>
      <c r="K493" s="234">
        <v>2</v>
      </c>
      <c r="L493" s="91"/>
      <c r="M493" s="92"/>
    </row>
    <row r="494" spans="1:13" s="45" customFormat="1" ht="8.5500000000000007" customHeight="1" x14ac:dyDescent="0.2">
      <c r="A494" s="43"/>
      <c r="B494" s="158"/>
      <c r="C494" s="158"/>
      <c r="D494" s="158"/>
      <c r="E494" s="158"/>
      <c r="F494" s="159"/>
      <c r="G494" s="252"/>
      <c r="H494" s="254"/>
      <c r="I494" s="161"/>
      <c r="J494" s="210"/>
      <c r="K494" s="235"/>
      <c r="L494" s="91"/>
      <c r="M494" s="92"/>
    </row>
    <row r="495" spans="1:13" s="45" customFormat="1" ht="8.5500000000000007" customHeight="1" x14ac:dyDescent="0.2">
      <c r="A495" s="43"/>
      <c r="B495" s="205" t="s">
        <v>1152</v>
      </c>
      <c r="C495" s="205"/>
      <c r="D495" s="205"/>
      <c r="E495" s="205"/>
      <c r="F495" s="173"/>
      <c r="G495" s="341">
        <v>2012</v>
      </c>
      <c r="H495" s="384">
        <v>98</v>
      </c>
      <c r="I495" s="203"/>
      <c r="J495" s="382" t="s">
        <v>317</v>
      </c>
      <c r="K495" s="234">
        <v>1</v>
      </c>
      <c r="L495" s="91"/>
      <c r="M495" s="92"/>
    </row>
    <row r="496" spans="1:13" s="45" customFormat="1" ht="8.5500000000000007" customHeight="1" x14ac:dyDescent="0.2">
      <c r="A496" s="43"/>
      <c r="B496" s="174"/>
      <c r="C496" s="174"/>
      <c r="D496" s="174"/>
      <c r="E496" s="174"/>
      <c r="F496" s="175"/>
      <c r="G496" s="342"/>
      <c r="H496" s="385"/>
      <c r="I496" s="204"/>
      <c r="J496" s="383"/>
      <c r="K496" s="235"/>
      <c r="L496" s="91"/>
      <c r="M496" s="92"/>
    </row>
    <row r="497" spans="1:13" s="45" customFormat="1" ht="8.5500000000000007" customHeight="1" x14ac:dyDescent="0.2">
      <c r="A497" s="243"/>
      <c r="B497" s="205" t="s">
        <v>1767</v>
      </c>
      <c r="C497" s="205"/>
      <c r="D497" s="205"/>
      <c r="E497" s="205"/>
      <c r="F497" s="173"/>
      <c r="G497" s="341">
        <v>2018</v>
      </c>
      <c r="H497" s="384">
        <v>93</v>
      </c>
      <c r="I497" s="203"/>
      <c r="J497" s="382" t="s">
        <v>1771</v>
      </c>
      <c r="K497" s="386">
        <v>2</v>
      </c>
      <c r="L497" s="91"/>
      <c r="M497" s="92"/>
    </row>
    <row r="498" spans="1:13" s="45" customFormat="1" ht="8.5500000000000007" customHeight="1" x14ac:dyDescent="0.2">
      <c r="A498" s="243"/>
      <c r="B498" s="174"/>
      <c r="C498" s="174"/>
      <c r="D498" s="174"/>
      <c r="E498" s="174"/>
      <c r="F498" s="175"/>
      <c r="G498" s="342"/>
      <c r="H498" s="385"/>
      <c r="I498" s="204"/>
      <c r="J498" s="383"/>
      <c r="K498" s="387"/>
      <c r="L498" s="91"/>
      <c r="M498" s="92"/>
    </row>
    <row r="499" spans="1:13" s="45" customFormat="1" ht="8.5500000000000007" customHeight="1" x14ac:dyDescent="0.2">
      <c r="A499" s="43"/>
      <c r="B499" s="201" t="s">
        <v>1398</v>
      </c>
      <c r="C499" s="201"/>
      <c r="D499" s="201"/>
      <c r="E499" s="201"/>
      <c r="F499" s="157"/>
      <c r="G499" s="251">
        <v>2003</v>
      </c>
      <c r="H499" s="253">
        <v>99</v>
      </c>
      <c r="I499" s="160"/>
      <c r="J499" s="209"/>
      <c r="K499" s="234">
        <v>1</v>
      </c>
      <c r="L499" s="91"/>
      <c r="M499" s="92"/>
    </row>
    <row r="500" spans="1:13" s="45" customFormat="1" ht="8.5500000000000007" customHeight="1" x14ac:dyDescent="0.2">
      <c r="A500" s="43"/>
      <c r="B500" s="158"/>
      <c r="C500" s="158"/>
      <c r="D500" s="158"/>
      <c r="E500" s="158"/>
      <c r="F500" s="159"/>
      <c r="G500" s="252"/>
      <c r="H500" s="254"/>
      <c r="I500" s="161"/>
      <c r="J500" s="210"/>
      <c r="K500" s="235"/>
      <c r="L500" s="91"/>
      <c r="M500" s="92"/>
    </row>
    <row r="501" spans="1:13" s="45" customFormat="1" ht="8.5500000000000007" customHeight="1" x14ac:dyDescent="0.2">
      <c r="A501" s="43"/>
      <c r="B501" s="201" t="s">
        <v>1397</v>
      </c>
      <c r="C501" s="201"/>
      <c r="D501" s="201"/>
      <c r="E501" s="201"/>
      <c r="F501" s="157"/>
      <c r="G501" s="251">
        <v>2006</v>
      </c>
      <c r="H501" s="253">
        <v>97</v>
      </c>
      <c r="I501" s="160"/>
      <c r="J501" s="209" t="s">
        <v>263</v>
      </c>
      <c r="K501" s="234">
        <v>1</v>
      </c>
      <c r="L501" s="91"/>
      <c r="M501" s="92"/>
    </row>
    <row r="502" spans="1:13" s="45" customFormat="1" ht="8.5500000000000007" customHeight="1" x14ac:dyDescent="0.2">
      <c r="A502" s="43"/>
      <c r="B502" s="158"/>
      <c r="C502" s="158"/>
      <c r="D502" s="158"/>
      <c r="E502" s="158"/>
      <c r="F502" s="159"/>
      <c r="G502" s="252"/>
      <c r="H502" s="254"/>
      <c r="I502" s="161"/>
      <c r="J502" s="210"/>
      <c r="K502" s="235"/>
      <c r="L502" s="91"/>
      <c r="M502" s="92"/>
    </row>
    <row r="503" spans="1:13" s="45" customFormat="1" ht="8.5500000000000007" customHeight="1" x14ac:dyDescent="0.2">
      <c r="A503" s="43"/>
      <c r="B503" s="201" t="s">
        <v>1397</v>
      </c>
      <c r="C503" s="201"/>
      <c r="D503" s="201"/>
      <c r="E503" s="201"/>
      <c r="F503" s="157"/>
      <c r="G503" s="251">
        <v>2007</v>
      </c>
      <c r="H503" s="253">
        <v>98</v>
      </c>
      <c r="I503" s="160"/>
      <c r="J503" s="209" t="s">
        <v>320</v>
      </c>
      <c r="K503" s="234">
        <v>2</v>
      </c>
      <c r="L503" s="43"/>
    </row>
    <row r="504" spans="1:13" s="45" customFormat="1" ht="8.5500000000000007" customHeight="1" x14ac:dyDescent="0.2">
      <c r="A504" s="43"/>
      <c r="B504" s="158"/>
      <c r="C504" s="158"/>
      <c r="D504" s="158"/>
      <c r="E504" s="158"/>
      <c r="F504" s="159"/>
      <c r="G504" s="252"/>
      <c r="H504" s="254"/>
      <c r="I504" s="161"/>
      <c r="J504" s="210"/>
      <c r="K504" s="235"/>
      <c r="L504" s="43"/>
    </row>
    <row r="505" spans="1:13" s="45" customFormat="1" ht="8.5500000000000007" customHeight="1" x14ac:dyDescent="0.25">
      <c r="B505" s="378" t="s">
        <v>1698</v>
      </c>
      <c r="C505" s="378"/>
      <c r="D505" s="378"/>
      <c r="E505" s="378"/>
      <c r="F505" s="379"/>
      <c r="G505" s="251">
        <v>2012</v>
      </c>
      <c r="H505" s="253">
        <v>94</v>
      </c>
      <c r="I505" s="284"/>
      <c r="J505" s="209" t="s">
        <v>1592</v>
      </c>
      <c r="K505" s="234">
        <v>1</v>
      </c>
      <c r="L505" s="290"/>
      <c r="M505" s="92"/>
    </row>
    <row r="506" spans="1:13" s="45" customFormat="1" ht="8.5500000000000007" customHeight="1" x14ac:dyDescent="0.25">
      <c r="B506" s="380"/>
      <c r="C506" s="380"/>
      <c r="D506" s="380"/>
      <c r="E506" s="380"/>
      <c r="F506" s="381"/>
      <c r="G506" s="252"/>
      <c r="H506" s="254"/>
      <c r="I506" s="285"/>
      <c r="J506" s="210"/>
      <c r="K506" s="235"/>
      <c r="L506" s="231"/>
      <c r="M506" s="92"/>
    </row>
    <row r="507" spans="1:13" s="45" customFormat="1" ht="8.5500000000000007" customHeight="1" x14ac:dyDescent="0.2">
      <c r="A507" s="43"/>
      <c r="B507" s="213" t="s">
        <v>802</v>
      </c>
      <c r="C507" s="213"/>
      <c r="D507" s="213"/>
      <c r="E507" s="213"/>
      <c r="F507" s="213"/>
      <c r="G507" s="47"/>
      <c r="H507" s="47"/>
      <c r="I507" s="48"/>
      <c r="J507" s="48"/>
      <c r="K507" s="236">
        <v>44</v>
      </c>
      <c r="L507" s="290">
        <f>SUM(K457:K506)</f>
        <v>44</v>
      </c>
      <c r="M507" s="92"/>
    </row>
    <row r="508" spans="1:13" s="45" customFormat="1" ht="8.5500000000000007" customHeight="1" x14ac:dyDescent="0.2">
      <c r="A508" s="43"/>
      <c r="B508" s="171"/>
      <c r="C508" s="171"/>
      <c r="D508" s="171"/>
      <c r="E508" s="171"/>
      <c r="F508" s="171"/>
      <c r="G508" s="54"/>
      <c r="H508" s="54"/>
      <c r="I508" s="49"/>
      <c r="J508" s="49"/>
      <c r="K508" s="225"/>
      <c r="L508" s="231"/>
      <c r="M508" s="92"/>
    </row>
    <row r="509" spans="1:13" s="45" customFormat="1" ht="8.5500000000000007" customHeight="1" x14ac:dyDescent="0.2">
      <c r="A509" s="43"/>
      <c r="B509" s="347" t="s">
        <v>186</v>
      </c>
      <c r="C509" s="347"/>
      <c r="D509" s="347"/>
      <c r="E509" s="347"/>
      <c r="F509" s="347"/>
      <c r="G509" s="47"/>
      <c r="H509" s="47"/>
      <c r="I509" s="48"/>
      <c r="J509" s="48"/>
      <c r="K509" s="234"/>
      <c r="L509" s="91"/>
      <c r="M509" s="92"/>
    </row>
    <row r="510" spans="1:13" s="45" customFormat="1" ht="8.5500000000000007" customHeight="1" x14ac:dyDescent="0.2">
      <c r="A510" s="43"/>
      <c r="B510" s="348"/>
      <c r="C510" s="348"/>
      <c r="D510" s="348"/>
      <c r="E510" s="348"/>
      <c r="F510" s="348"/>
      <c r="G510" s="54"/>
      <c r="H510" s="54"/>
      <c r="I510" s="49"/>
      <c r="J510" s="49"/>
      <c r="K510" s="235"/>
      <c r="L510" s="91"/>
      <c r="M510" s="92"/>
    </row>
    <row r="511" spans="1:13" s="45" customFormat="1" ht="8.5500000000000007" customHeight="1" x14ac:dyDescent="0.2">
      <c r="A511" s="43"/>
      <c r="B511" s="201" t="s">
        <v>1399</v>
      </c>
      <c r="C511" s="201"/>
      <c r="D511" s="201"/>
      <c r="E511" s="201"/>
      <c r="F511" s="157"/>
      <c r="G511" s="251">
        <v>2004</v>
      </c>
      <c r="H511" s="253">
        <v>94</v>
      </c>
      <c r="I511" s="284"/>
      <c r="J511" s="332" t="s">
        <v>1313</v>
      </c>
      <c r="K511" s="234">
        <v>1</v>
      </c>
      <c r="L511" s="91"/>
      <c r="M511" s="92"/>
    </row>
    <row r="512" spans="1:13" s="45" customFormat="1" ht="8.5500000000000007" customHeight="1" x14ac:dyDescent="0.2">
      <c r="A512" s="43"/>
      <c r="B512" s="158"/>
      <c r="C512" s="158"/>
      <c r="D512" s="158"/>
      <c r="E512" s="158"/>
      <c r="F512" s="159"/>
      <c r="G512" s="252"/>
      <c r="H512" s="254"/>
      <c r="I512" s="285"/>
      <c r="J512" s="349"/>
      <c r="K512" s="235"/>
      <c r="L512" s="91"/>
      <c r="M512" s="92"/>
    </row>
    <row r="513" spans="1:13" s="45" customFormat="1" ht="8.5500000000000007" customHeight="1" x14ac:dyDescent="0.2">
      <c r="A513" s="43"/>
      <c r="B513" s="201" t="s">
        <v>1400</v>
      </c>
      <c r="C513" s="201"/>
      <c r="D513" s="201"/>
      <c r="E513" s="201"/>
      <c r="F513" s="157"/>
      <c r="G513" s="251">
        <v>2006</v>
      </c>
      <c r="H513" s="253">
        <v>92</v>
      </c>
      <c r="I513" s="284">
        <v>91</v>
      </c>
      <c r="J513" s="56"/>
      <c r="K513" s="234">
        <v>1</v>
      </c>
      <c r="L513" s="91"/>
      <c r="M513" s="92"/>
    </row>
    <row r="514" spans="1:13" s="45" customFormat="1" ht="8.5500000000000007" customHeight="1" x14ac:dyDescent="0.2">
      <c r="A514" s="43"/>
      <c r="B514" s="158"/>
      <c r="C514" s="158"/>
      <c r="D514" s="158"/>
      <c r="E514" s="158"/>
      <c r="F514" s="159"/>
      <c r="G514" s="252"/>
      <c r="H514" s="254"/>
      <c r="I514" s="285"/>
      <c r="J514" s="57"/>
      <c r="K514" s="235"/>
      <c r="L514" s="91"/>
      <c r="M514" s="92"/>
    </row>
    <row r="515" spans="1:13" s="45" customFormat="1" ht="8.5500000000000007" customHeight="1" x14ac:dyDescent="0.2">
      <c r="A515" s="43"/>
      <c r="B515" s="339" t="s">
        <v>1344</v>
      </c>
      <c r="C515" s="339"/>
      <c r="D515" s="339"/>
      <c r="E515" s="339"/>
      <c r="F515" s="339"/>
      <c r="G515" s="47"/>
      <c r="H515" s="47"/>
      <c r="I515" s="48"/>
      <c r="J515" s="48"/>
      <c r="K515" s="234"/>
      <c r="L515" s="91"/>
      <c r="M515" s="92"/>
    </row>
    <row r="516" spans="1:13" s="45" customFormat="1" ht="8.5500000000000007" customHeight="1" x14ac:dyDescent="0.2">
      <c r="A516" s="43"/>
      <c r="B516" s="340"/>
      <c r="C516" s="340"/>
      <c r="D516" s="340"/>
      <c r="E516" s="340"/>
      <c r="F516" s="340"/>
      <c r="G516" s="54"/>
      <c r="H516" s="54"/>
      <c r="I516" s="49"/>
      <c r="J516" s="49"/>
      <c r="K516" s="235"/>
      <c r="L516" s="91"/>
      <c r="M516" s="92"/>
    </row>
    <row r="517" spans="1:13" s="45" customFormat="1" ht="8.5500000000000007" customHeight="1" x14ac:dyDescent="0.2">
      <c r="A517" s="43"/>
      <c r="B517" s="201" t="s">
        <v>1699</v>
      </c>
      <c r="C517" s="201"/>
      <c r="D517" s="201"/>
      <c r="E517" s="201"/>
      <c r="F517" s="157"/>
      <c r="G517" s="251">
        <v>2007</v>
      </c>
      <c r="H517" s="304"/>
      <c r="I517" s="305"/>
      <c r="J517" s="56"/>
      <c r="K517" s="234">
        <v>2</v>
      </c>
      <c r="L517" s="91"/>
      <c r="M517" s="92"/>
    </row>
    <row r="518" spans="1:13" s="45" customFormat="1" ht="8.5500000000000007" customHeight="1" x14ac:dyDescent="0.2">
      <c r="A518" s="43"/>
      <c r="B518" s="158"/>
      <c r="C518" s="158"/>
      <c r="D518" s="158"/>
      <c r="E518" s="158"/>
      <c r="F518" s="159"/>
      <c r="G518" s="252"/>
      <c r="H518" s="303"/>
      <c r="I518" s="306"/>
      <c r="J518" s="57"/>
      <c r="K518" s="235"/>
      <c r="L518" s="91"/>
      <c r="M518" s="92"/>
    </row>
    <row r="519" spans="1:13" s="45" customFormat="1" ht="8.5500000000000007" customHeight="1" x14ac:dyDescent="0.2">
      <c r="A519" s="43"/>
      <c r="B519" s="201" t="s">
        <v>1401</v>
      </c>
      <c r="C519" s="201"/>
      <c r="D519" s="201"/>
      <c r="E519" s="201"/>
      <c r="F519" s="157"/>
      <c r="G519" s="251">
        <v>2009</v>
      </c>
      <c r="H519" s="253">
        <v>95</v>
      </c>
      <c r="I519" s="284"/>
      <c r="J519" s="332" t="s">
        <v>256</v>
      </c>
      <c r="K519" s="234">
        <v>1</v>
      </c>
      <c r="L519" s="91"/>
      <c r="M519" s="92"/>
    </row>
    <row r="520" spans="1:13" s="45" customFormat="1" ht="8.5500000000000007" customHeight="1" x14ac:dyDescent="0.2">
      <c r="A520" s="43"/>
      <c r="B520" s="158"/>
      <c r="C520" s="158"/>
      <c r="D520" s="158"/>
      <c r="E520" s="158"/>
      <c r="F520" s="159"/>
      <c r="G520" s="252"/>
      <c r="H520" s="254"/>
      <c r="I520" s="285"/>
      <c r="J520" s="349"/>
      <c r="K520" s="235"/>
      <c r="L520" s="91"/>
      <c r="M520" s="92"/>
    </row>
    <row r="521" spans="1:13" s="45" customFormat="1" ht="8.5500000000000007" customHeight="1" x14ac:dyDescent="0.2">
      <c r="A521" s="43"/>
      <c r="B521" s="201" t="s">
        <v>1504</v>
      </c>
      <c r="C521" s="201"/>
      <c r="D521" s="201"/>
      <c r="E521" s="201"/>
      <c r="F521" s="157"/>
      <c r="G521" s="251">
        <v>2013</v>
      </c>
      <c r="H521" s="253"/>
      <c r="I521" s="284"/>
      <c r="J521" s="332"/>
      <c r="K521" s="234">
        <v>1</v>
      </c>
      <c r="L521" s="91"/>
      <c r="M521" s="92"/>
    </row>
    <row r="522" spans="1:13" s="45" customFormat="1" ht="8.5500000000000007" customHeight="1" x14ac:dyDescent="0.2">
      <c r="A522" s="43"/>
      <c r="B522" s="158"/>
      <c r="C522" s="158"/>
      <c r="D522" s="158"/>
      <c r="E522" s="158"/>
      <c r="F522" s="159"/>
      <c r="G522" s="252"/>
      <c r="H522" s="254"/>
      <c r="I522" s="285"/>
      <c r="J522" s="349"/>
      <c r="K522" s="235"/>
      <c r="L522" s="91"/>
      <c r="M522" s="92"/>
    </row>
    <row r="523" spans="1:13" s="45" customFormat="1" ht="8.5500000000000007" customHeight="1" x14ac:dyDescent="0.2">
      <c r="A523" s="43"/>
      <c r="B523" s="201" t="s">
        <v>1402</v>
      </c>
      <c r="C523" s="201"/>
      <c r="D523" s="201"/>
      <c r="E523" s="201"/>
      <c r="F523" s="157"/>
      <c r="G523" s="251">
        <v>2017</v>
      </c>
      <c r="H523" s="253"/>
      <c r="I523" s="284"/>
      <c r="J523" s="332"/>
      <c r="K523" s="234">
        <v>3</v>
      </c>
      <c r="L523" s="91"/>
      <c r="M523" s="92"/>
    </row>
    <row r="524" spans="1:13" s="45" customFormat="1" ht="8.5500000000000007" customHeight="1" x14ac:dyDescent="0.2">
      <c r="A524" s="43"/>
      <c r="B524" s="158"/>
      <c r="C524" s="158"/>
      <c r="D524" s="158"/>
      <c r="E524" s="158"/>
      <c r="F524" s="159"/>
      <c r="G524" s="252"/>
      <c r="H524" s="254"/>
      <c r="I524" s="285"/>
      <c r="J524" s="349"/>
      <c r="K524" s="235"/>
      <c r="L524" s="91"/>
      <c r="M524" s="92"/>
    </row>
    <row r="525" spans="1:13" s="45" customFormat="1" ht="8.5500000000000007" customHeight="1" x14ac:dyDescent="0.2">
      <c r="A525" s="43"/>
      <c r="B525" s="201" t="s">
        <v>1403</v>
      </c>
      <c r="C525" s="201"/>
      <c r="D525" s="201"/>
      <c r="E525" s="201"/>
      <c r="F525" s="157"/>
      <c r="G525" s="251">
        <v>2017</v>
      </c>
      <c r="H525" s="253">
        <v>93</v>
      </c>
      <c r="I525" s="284"/>
      <c r="J525" s="332"/>
      <c r="K525" s="234">
        <v>3</v>
      </c>
      <c r="L525" s="91"/>
      <c r="M525" s="92"/>
    </row>
    <row r="526" spans="1:13" s="45" customFormat="1" ht="8.5500000000000007" customHeight="1" x14ac:dyDescent="0.2">
      <c r="A526" s="43"/>
      <c r="B526" s="158"/>
      <c r="C526" s="158"/>
      <c r="D526" s="158"/>
      <c r="E526" s="158"/>
      <c r="F526" s="159"/>
      <c r="G526" s="252"/>
      <c r="H526" s="254"/>
      <c r="I526" s="285"/>
      <c r="J526" s="349"/>
      <c r="K526" s="235"/>
      <c r="L526" s="91"/>
      <c r="M526" s="92"/>
    </row>
    <row r="527" spans="1:13" s="45" customFormat="1" ht="8.5500000000000007" customHeight="1" x14ac:dyDescent="0.2">
      <c r="A527" s="43"/>
      <c r="B527" s="201" t="s">
        <v>1404</v>
      </c>
      <c r="C527" s="201"/>
      <c r="D527" s="201"/>
      <c r="E527" s="201"/>
      <c r="F527" s="157"/>
      <c r="G527" s="251">
        <v>2017</v>
      </c>
      <c r="H527" s="253"/>
      <c r="I527" s="284"/>
      <c r="J527" s="332"/>
      <c r="K527" s="234">
        <v>3</v>
      </c>
      <c r="L527" s="91"/>
      <c r="M527" s="92"/>
    </row>
    <row r="528" spans="1:13" s="45" customFormat="1" ht="8.5500000000000007" customHeight="1" x14ac:dyDescent="0.2">
      <c r="A528" s="43"/>
      <c r="B528" s="158"/>
      <c r="C528" s="158"/>
      <c r="D528" s="158"/>
      <c r="E528" s="158"/>
      <c r="F528" s="159"/>
      <c r="G528" s="252"/>
      <c r="H528" s="254"/>
      <c r="I528" s="285"/>
      <c r="J528" s="349"/>
      <c r="K528" s="235"/>
      <c r="L528" s="91"/>
      <c r="M528" s="92"/>
    </row>
    <row r="529" spans="1:13" s="45" customFormat="1" ht="8.5500000000000007" customHeight="1" x14ac:dyDescent="0.2">
      <c r="A529" s="43"/>
      <c r="B529" s="201" t="s">
        <v>1405</v>
      </c>
      <c r="C529" s="201"/>
      <c r="D529" s="201"/>
      <c r="E529" s="201"/>
      <c r="F529" s="157"/>
      <c r="G529" s="251">
        <v>2018</v>
      </c>
      <c r="H529" s="253">
        <v>98</v>
      </c>
      <c r="I529" s="284"/>
      <c r="J529" s="332"/>
      <c r="K529" s="234">
        <v>3</v>
      </c>
      <c r="L529" s="91"/>
      <c r="M529" s="92"/>
    </row>
    <row r="530" spans="1:13" s="45" customFormat="1" ht="8.5500000000000007" customHeight="1" x14ac:dyDescent="0.2">
      <c r="A530" s="43"/>
      <c r="B530" s="158"/>
      <c r="C530" s="158"/>
      <c r="D530" s="158"/>
      <c r="E530" s="158"/>
      <c r="F530" s="159"/>
      <c r="G530" s="252"/>
      <c r="H530" s="254"/>
      <c r="I530" s="285"/>
      <c r="J530" s="349"/>
      <c r="K530" s="235"/>
      <c r="L530" s="91"/>
      <c r="M530" s="92"/>
    </row>
    <row r="531" spans="1:13" s="45" customFormat="1" ht="8.5500000000000007" customHeight="1" x14ac:dyDescent="0.2">
      <c r="A531" s="43"/>
      <c r="B531" s="201" t="s">
        <v>1503</v>
      </c>
      <c r="C531" s="201"/>
      <c r="D531" s="201"/>
      <c r="E531" s="201"/>
      <c r="F531" s="157"/>
      <c r="G531" s="251">
        <v>2012</v>
      </c>
      <c r="H531" s="253">
        <v>99</v>
      </c>
      <c r="I531" s="284"/>
      <c r="J531" s="332" t="s">
        <v>317</v>
      </c>
      <c r="K531" s="234">
        <v>1</v>
      </c>
      <c r="L531" s="91"/>
      <c r="M531" s="92"/>
    </row>
    <row r="532" spans="1:13" s="45" customFormat="1" ht="8.5500000000000007" customHeight="1" x14ac:dyDescent="0.2">
      <c r="A532" s="43"/>
      <c r="B532" s="158"/>
      <c r="C532" s="158"/>
      <c r="D532" s="158"/>
      <c r="E532" s="158"/>
      <c r="F532" s="159"/>
      <c r="G532" s="252"/>
      <c r="H532" s="254"/>
      <c r="I532" s="285"/>
      <c r="J532" s="349"/>
      <c r="K532" s="235"/>
      <c r="L532" s="91"/>
      <c r="M532" s="92"/>
    </row>
    <row r="533" spans="1:13" s="45" customFormat="1" ht="8.5500000000000007" customHeight="1" x14ac:dyDescent="0.2">
      <c r="A533" s="43"/>
      <c r="B533" s="201" t="s">
        <v>1406</v>
      </c>
      <c r="C533" s="201"/>
      <c r="D533" s="201"/>
      <c r="E533" s="201"/>
      <c r="F533" s="157"/>
      <c r="G533" s="251">
        <v>2014</v>
      </c>
      <c r="H533" s="253">
        <v>90</v>
      </c>
      <c r="I533" s="284"/>
      <c r="J533" s="332" t="s">
        <v>1314</v>
      </c>
      <c r="K533" s="234">
        <v>1</v>
      </c>
      <c r="L533" s="91"/>
      <c r="M533" s="92"/>
    </row>
    <row r="534" spans="1:13" s="45" customFormat="1" ht="8.5500000000000007" customHeight="1" x14ac:dyDescent="0.2">
      <c r="A534" s="43"/>
      <c r="B534" s="158"/>
      <c r="C534" s="158"/>
      <c r="D534" s="158"/>
      <c r="E534" s="158"/>
      <c r="F534" s="159"/>
      <c r="G534" s="252"/>
      <c r="H534" s="254"/>
      <c r="I534" s="285"/>
      <c r="J534" s="349"/>
      <c r="K534" s="235"/>
      <c r="L534" s="91"/>
      <c r="M534" s="92"/>
    </row>
    <row r="535" spans="1:13" s="45" customFormat="1" ht="8.5500000000000007" customHeight="1" x14ac:dyDescent="0.2">
      <c r="A535" s="43"/>
      <c r="B535" s="378" t="s">
        <v>1407</v>
      </c>
      <c r="C535" s="378"/>
      <c r="D535" s="378"/>
      <c r="E535" s="378"/>
      <c r="F535" s="379"/>
      <c r="G535" s="251">
        <v>2005</v>
      </c>
      <c r="H535" s="253">
        <v>97</v>
      </c>
      <c r="I535" s="160">
        <v>94</v>
      </c>
      <c r="J535" s="209" t="s">
        <v>135</v>
      </c>
      <c r="K535" s="234">
        <v>1</v>
      </c>
      <c r="L535" s="91"/>
      <c r="M535" s="92"/>
    </row>
    <row r="536" spans="1:13" s="45" customFormat="1" ht="8.5500000000000007" customHeight="1" x14ac:dyDescent="0.2">
      <c r="A536" s="43"/>
      <c r="B536" s="380"/>
      <c r="C536" s="380"/>
      <c r="D536" s="380"/>
      <c r="E536" s="380"/>
      <c r="F536" s="381"/>
      <c r="G536" s="252"/>
      <c r="H536" s="254"/>
      <c r="I536" s="161"/>
      <c r="J536" s="210"/>
      <c r="K536" s="235"/>
      <c r="L536" s="91"/>
      <c r="M536" s="92"/>
    </row>
    <row r="537" spans="1:13" s="45" customFormat="1" ht="8.5500000000000007" customHeight="1" x14ac:dyDescent="0.2">
      <c r="A537" s="43"/>
      <c r="B537" s="201" t="s">
        <v>1408</v>
      </c>
      <c r="C537" s="201"/>
      <c r="D537" s="201"/>
      <c r="E537" s="201"/>
      <c r="F537" s="157"/>
      <c r="G537" s="251">
        <v>2005</v>
      </c>
      <c r="H537" s="253">
        <v>93</v>
      </c>
      <c r="I537" s="284"/>
      <c r="J537" s="56"/>
      <c r="K537" s="234">
        <v>1</v>
      </c>
      <c r="L537" s="91"/>
      <c r="M537" s="92"/>
    </row>
    <row r="538" spans="1:13" s="45" customFormat="1" ht="8.5500000000000007" customHeight="1" x14ac:dyDescent="0.2">
      <c r="A538" s="43"/>
      <c r="B538" s="158"/>
      <c r="C538" s="158"/>
      <c r="D538" s="158"/>
      <c r="E538" s="158"/>
      <c r="F538" s="159"/>
      <c r="G538" s="252"/>
      <c r="H538" s="254"/>
      <c r="I538" s="285"/>
      <c r="J538" s="57"/>
      <c r="K538" s="235"/>
      <c r="L538" s="91"/>
      <c r="M538" s="92"/>
    </row>
    <row r="539" spans="1:13" s="45" customFormat="1" ht="8.5500000000000007" customHeight="1" x14ac:dyDescent="0.2">
      <c r="A539" s="43"/>
      <c r="B539" s="201" t="s">
        <v>275</v>
      </c>
      <c r="C539" s="201"/>
      <c r="D539" s="201"/>
      <c r="E539" s="201"/>
      <c r="F539" s="157"/>
      <c r="G539" s="251">
        <v>2006</v>
      </c>
      <c r="H539" s="253">
        <v>97</v>
      </c>
      <c r="I539" s="284">
        <v>92</v>
      </c>
      <c r="J539" s="56"/>
      <c r="K539" s="234">
        <v>2</v>
      </c>
      <c r="L539" s="91"/>
      <c r="M539" s="92"/>
    </row>
    <row r="540" spans="1:13" s="45" customFormat="1" ht="8.5500000000000007" customHeight="1" x14ac:dyDescent="0.2">
      <c r="A540" s="43"/>
      <c r="B540" s="158"/>
      <c r="C540" s="158"/>
      <c r="D540" s="158"/>
      <c r="E540" s="158"/>
      <c r="F540" s="159"/>
      <c r="G540" s="252"/>
      <c r="H540" s="254"/>
      <c r="I540" s="285"/>
      <c r="J540" s="57"/>
      <c r="K540" s="235"/>
      <c r="L540" s="91"/>
      <c r="M540" s="92"/>
    </row>
    <row r="541" spans="1:13" s="45" customFormat="1" ht="8.5500000000000007" customHeight="1" x14ac:dyDescent="0.2">
      <c r="A541" s="43"/>
      <c r="B541" s="394" t="s">
        <v>1774</v>
      </c>
      <c r="C541" s="394"/>
      <c r="D541" s="394"/>
      <c r="E541" s="394"/>
      <c r="F541" s="395"/>
      <c r="G541" s="341">
        <v>2009</v>
      </c>
      <c r="H541" s="197"/>
      <c r="I541" s="203"/>
      <c r="J541" s="382"/>
      <c r="K541" s="228">
        <v>3</v>
      </c>
      <c r="L541" s="91"/>
      <c r="M541" s="92"/>
    </row>
    <row r="542" spans="1:13" s="45" customFormat="1" ht="8.5500000000000007" customHeight="1" x14ac:dyDescent="0.2">
      <c r="A542" s="43"/>
      <c r="B542" s="396"/>
      <c r="C542" s="396"/>
      <c r="D542" s="396"/>
      <c r="E542" s="396"/>
      <c r="F542" s="397"/>
      <c r="G542" s="342"/>
      <c r="H542" s="198"/>
      <c r="I542" s="204"/>
      <c r="J542" s="383"/>
      <c r="K542" s="229"/>
      <c r="L542" s="91"/>
      <c r="M542" s="92"/>
    </row>
    <row r="543" spans="1:13" s="45" customFormat="1" ht="8.5500000000000007" customHeight="1" x14ac:dyDescent="0.2">
      <c r="A543" s="43"/>
      <c r="B543" s="394" t="s">
        <v>1786</v>
      </c>
      <c r="C543" s="394"/>
      <c r="D543" s="394"/>
      <c r="E543" s="394"/>
      <c r="F543" s="395"/>
      <c r="G543" s="341">
        <v>2020</v>
      </c>
      <c r="H543" s="197" t="s">
        <v>633</v>
      </c>
      <c r="I543" s="203"/>
      <c r="J543" s="382" t="s">
        <v>1785</v>
      </c>
      <c r="K543" s="228">
        <v>1</v>
      </c>
      <c r="L543" s="91"/>
      <c r="M543" s="92"/>
    </row>
    <row r="544" spans="1:13" s="45" customFormat="1" ht="8.5500000000000007" customHeight="1" x14ac:dyDescent="0.2">
      <c r="A544" s="43"/>
      <c r="B544" s="396"/>
      <c r="C544" s="396"/>
      <c r="D544" s="396"/>
      <c r="E544" s="396"/>
      <c r="F544" s="397"/>
      <c r="G544" s="342"/>
      <c r="H544" s="198"/>
      <c r="I544" s="204"/>
      <c r="J544" s="383"/>
      <c r="K544" s="229"/>
      <c r="L544" s="91"/>
      <c r="M544" s="92"/>
    </row>
    <row r="545" spans="1:13" s="45" customFormat="1" ht="8.5500000000000007" customHeight="1" x14ac:dyDescent="0.2">
      <c r="A545" s="43"/>
      <c r="B545" s="394" t="s">
        <v>1788</v>
      </c>
      <c r="C545" s="394"/>
      <c r="D545" s="394"/>
      <c r="E545" s="394"/>
      <c r="F545" s="395"/>
      <c r="G545" s="341">
        <v>2019</v>
      </c>
      <c r="H545" s="197"/>
      <c r="I545" s="203"/>
      <c r="J545" s="382"/>
      <c r="K545" s="228">
        <v>1</v>
      </c>
      <c r="L545" s="91"/>
      <c r="M545" s="92"/>
    </row>
    <row r="546" spans="1:13" s="45" customFormat="1" ht="8.5500000000000007" customHeight="1" x14ac:dyDescent="0.2">
      <c r="A546" s="43"/>
      <c r="B546" s="396"/>
      <c r="C546" s="396"/>
      <c r="D546" s="396"/>
      <c r="E546" s="396"/>
      <c r="F546" s="397"/>
      <c r="G546" s="342"/>
      <c r="H546" s="198"/>
      <c r="I546" s="204"/>
      <c r="J546" s="383"/>
      <c r="K546" s="229"/>
      <c r="L546" s="91"/>
      <c r="M546" s="92"/>
    </row>
    <row r="547" spans="1:13" s="45" customFormat="1" ht="8.5500000000000007" customHeight="1" x14ac:dyDescent="0.2">
      <c r="A547" s="43"/>
      <c r="B547" s="201" t="s">
        <v>1409</v>
      </c>
      <c r="C547" s="201"/>
      <c r="D547" s="201"/>
      <c r="E547" s="201"/>
      <c r="F547" s="157"/>
      <c r="G547" s="251">
        <v>2015</v>
      </c>
      <c r="H547" s="253"/>
      <c r="I547" s="284"/>
      <c r="J547" s="56"/>
      <c r="K547" s="234">
        <v>1</v>
      </c>
      <c r="L547" s="91"/>
      <c r="M547" s="92"/>
    </row>
    <row r="548" spans="1:13" s="45" customFormat="1" ht="8.5500000000000007" customHeight="1" x14ac:dyDescent="0.2">
      <c r="A548" s="43"/>
      <c r="B548" s="158"/>
      <c r="C548" s="158"/>
      <c r="D548" s="158"/>
      <c r="E548" s="158"/>
      <c r="F548" s="159"/>
      <c r="G548" s="252"/>
      <c r="H548" s="254"/>
      <c r="I548" s="285"/>
      <c r="J548" s="57"/>
      <c r="K548" s="235"/>
      <c r="L548" s="91"/>
      <c r="M548" s="92"/>
    </row>
    <row r="549" spans="1:13" s="45" customFormat="1" ht="8.5500000000000007" customHeight="1" x14ac:dyDescent="0.2">
      <c r="A549" s="43"/>
      <c r="B549" s="201" t="s">
        <v>1122</v>
      </c>
      <c r="C549" s="201"/>
      <c r="D549" s="201"/>
      <c r="E549" s="201"/>
      <c r="F549" s="157"/>
      <c r="G549" s="251">
        <v>2012</v>
      </c>
      <c r="H549" s="253">
        <v>87</v>
      </c>
      <c r="I549" s="284"/>
      <c r="J549" s="332" t="s">
        <v>1590</v>
      </c>
      <c r="K549" s="234">
        <v>1</v>
      </c>
      <c r="L549" s="91"/>
      <c r="M549" s="92"/>
    </row>
    <row r="550" spans="1:13" s="45" customFormat="1" ht="8.5500000000000007" customHeight="1" x14ac:dyDescent="0.2">
      <c r="A550" s="43"/>
      <c r="B550" s="158"/>
      <c r="C550" s="158"/>
      <c r="D550" s="158"/>
      <c r="E550" s="158"/>
      <c r="F550" s="159"/>
      <c r="G550" s="252"/>
      <c r="H550" s="254"/>
      <c r="I550" s="285"/>
      <c r="J550" s="349"/>
      <c r="K550" s="235"/>
      <c r="L550" s="91"/>
      <c r="M550" s="92"/>
    </row>
    <row r="551" spans="1:13" s="45" customFormat="1" ht="8.5500000000000007" customHeight="1" x14ac:dyDescent="0.2">
      <c r="A551" s="43"/>
      <c r="B551" s="201" t="s">
        <v>1080</v>
      </c>
      <c r="C551" s="201"/>
      <c r="D551" s="201"/>
      <c r="E551" s="201"/>
      <c r="F551" s="157"/>
      <c r="G551" s="251"/>
      <c r="H551" s="253"/>
      <c r="I551" s="284"/>
      <c r="J551" s="56"/>
      <c r="K551" s="234">
        <v>1</v>
      </c>
      <c r="L551" s="290"/>
      <c r="M551" s="92"/>
    </row>
    <row r="552" spans="1:13" s="45" customFormat="1" ht="8.5500000000000007" customHeight="1" x14ac:dyDescent="0.2">
      <c r="A552" s="43"/>
      <c r="B552" s="158"/>
      <c r="C552" s="158"/>
      <c r="D552" s="158"/>
      <c r="E552" s="158"/>
      <c r="F552" s="159"/>
      <c r="G552" s="252"/>
      <c r="H552" s="254"/>
      <c r="I552" s="285"/>
      <c r="J552" s="57"/>
      <c r="K552" s="235"/>
      <c r="L552" s="231"/>
      <c r="M552" s="92"/>
    </row>
    <row r="553" spans="1:13" s="45" customFormat="1" ht="8.5500000000000007" customHeight="1" x14ac:dyDescent="0.2">
      <c r="A553" s="43"/>
      <c r="B553" s="213" t="s">
        <v>797</v>
      </c>
      <c r="C553" s="213"/>
      <c r="D553" s="213"/>
      <c r="E553" s="213"/>
      <c r="F553" s="213"/>
      <c r="G553" s="47"/>
      <c r="H553" s="47"/>
      <c r="I553" s="48"/>
      <c r="J553" s="48"/>
      <c r="K553" s="236">
        <v>32</v>
      </c>
      <c r="L553" s="290">
        <f>SUM(K511:K552)</f>
        <v>32</v>
      </c>
      <c r="M553" s="92"/>
    </row>
    <row r="554" spans="1:13" s="45" customFormat="1" ht="8.5500000000000007" customHeight="1" x14ac:dyDescent="0.2">
      <c r="A554" s="43"/>
      <c r="B554" s="171"/>
      <c r="C554" s="171"/>
      <c r="D554" s="171"/>
      <c r="E554" s="171"/>
      <c r="F554" s="171"/>
      <c r="G554" s="54"/>
      <c r="H554" s="54"/>
      <c r="I554" s="49"/>
      <c r="J554" s="49"/>
      <c r="K554" s="225"/>
      <c r="L554" s="231"/>
      <c r="M554" s="92"/>
    </row>
    <row r="555" spans="1:13" ht="8.5500000000000007" customHeight="1" x14ac:dyDescent="0.2">
      <c r="A555" s="43"/>
      <c r="B555" s="213" t="s">
        <v>803</v>
      </c>
      <c r="C555" s="213"/>
      <c r="D555" s="213"/>
      <c r="E555" s="213"/>
      <c r="F555" s="213"/>
      <c r="G555" s="47"/>
      <c r="H555" s="47"/>
      <c r="I555" s="48"/>
      <c r="J555" s="48"/>
      <c r="K555" s="236">
        <v>510</v>
      </c>
      <c r="L555" s="336"/>
    </row>
    <row r="556" spans="1:13" ht="8.5500000000000007" customHeight="1" x14ac:dyDescent="0.2">
      <c r="A556" s="43"/>
      <c r="B556" s="171"/>
      <c r="C556" s="171"/>
      <c r="D556" s="171"/>
      <c r="E556" s="171"/>
      <c r="F556" s="171"/>
      <c r="G556" s="54"/>
      <c r="H556" s="54"/>
      <c r="I556" s="49"/>
      <c r="J556" s="49"/>
      <c r="K556" s="225"/>
      <c r="L556" s="337"/>
    </row>
    <row r="557" spans="1:13" ht="8.5500000000000007" customHeight="1" x14ac:dyDescent="0.25">
      <c r="B557" s="361"/>
      <c r="C557" s="355"/>
      <c r="D557" s="355"/>
      <c r="E557" s="355"/>
      <c r="F557" s="355"/>
      <c r="G557" s="352"/>
      <c r="H557" s="16"/>
      <c r="I557" s="26"/>
      <c r="J557" s="26"/>
      <c r="L557" s="336">
        <f>SUM(K13:K554)-M557</f>
        <v>510</v>
      </c>
      <c r="M557" s="336">
        <f>SUM(L13:L556)</f>
        <v>510</v>
      </c>
    </row>
    <row r="558" spans="1:13" x14ac:dyDescent="0.25">
      <c r="B558" s="356"/>
      <c r="C558" s="356"/>
      <c r="D558" s="356"/>
      <c r="E558" s="356"/>
      <c r="F558" s="356"/>
      <c r="G558" s="353"/>
      <c r="H558" s="17"/>
      <c r="I558" s="27"/>
      <c r="J558" s="27"/>
      <c r="L558" s="337"/>
      <c r="M558" s="337"/>
    </row>
    <row r="559" spans="1:13" x14ac:dyDescent="0.25">
      <c r="B559" s="361"/>
      <c r="C559" s="355"/>
      <c r="D559" s="355"/>
      <c r="E559" s="355"/>
      <c r="F559" s="355"/>
      <c r="G559" s="352"/>
      <c r="H559" s="16"/>
      <c r="I559" s="26"/>
      <c r="J559" s="26"/>
      <c r="K559" s="350"/>
    </row>
    <row r="560" spans="1:13" x14ac:dyDescent="0.25">
      <c r="B560" s="356"/>
      <c r="C560" s="356"/>
      <c r="D560" s="356"/>
      <c r="E560" s="356"/>
      <c r="F560" s="356"/>
      <c r="G560" s="353"/>
      <c r="H560" s="17"/>
      <c r="I560" s="27"/>
      <c r="J560" s="27"/>
      <c r="K560" s="351"/>
    </row>
    <row r="561" spans="2:11" x14ac:dyDescent="0.25">
      <c r="B561" s="361"/>
      <c r="C561" s="355"/>
      <c r="D561" s="355"/>
      <c r="E561" s="355"/>
      <c r="F561" s="355"/>
      <c r="G561" s="352"/>
      <c r="H561" s="16"/>
      <c r="I561" s="26"/>
      <c r="J561" s="26"/>
      <c r="K561" s="350"/>
    </row>
    <row r="562" spans="2:11" x14ac:dyDescent="0.25">
      <c r="B562" s="356"/>
      <c r="C562" s="356"/>
      <c r="D562" s="356"/>
      <c r="E562" s="356"/>
      <c r="F562" s="356"/>
      <c r="G562" s="353"/>
      <c r="H562" s="17"/>
      <c r="I562" s="27"/>
      <c r="J562" s="27"/>
      <c r="K562" s="351"/>
    </row>
    <row r="563" spans="2:11" x14ac:dyDescent="0.25">
      <c r="B563" s="361"/>
      <c r="C563" s="355"/>
      <c r="D563" s="355"/>
      <c r="E563" s="355"/>
      <c r="F563" s="355"/>
      <c r="G563" s="352"/>
      <c r="H563" s="16"/>
      <c r="I563" s="26"/>
      <c r="J563" s="26"/>
      <c r="K563" s="40"/>
    </row>
    <row r="564" spans="2:11" x14ac:dyDescent="0.25">
      <c r="B564" s="356"/>
      <c r="C564" s="356"/>
      <c r="D564" s="356"/>
      <c r="E564" s="356"/>
      <c r="F564" s="356"/>
      <c r="G564" s="353"/>
      <c r="H564" s="17"/>
      <c r="I564" s="27"/>
      <c r="J564" s="27"/>
      <c r="K564" s="41"/>
    </row>
    <row r="565" spans="2:11" x14ac:dyDescent="0.25">
      <c r="B565" s="361"/>
      <c r="C565" s="355"/>
      <c r="D565" s="355"/>
      <c r="E565" s="355"/>
      <c r="F565" s="355"/>
      <c r="G565" s="352"/>
      <c r="H565" s="16"/>
      <c r="I565" s="26"/>
      <c r="J565" s="26"/>
      <c r="K565" s="7"/>
    </row>
    <row r="566" spans="2:11" x14ac:dyDescent="0.25">
      <c r="B566" s="356"/>
      <c r="C566" s="356"/>
      <c r="D566" s="356"/>
      <c r="E566" s="356"/>
      <c r="F566" s="356"/>
      <c r="G566" s="353"/>
      <c r="H566" s="17"/>
      <c r="I566" s="27"/>
      <c r="J566" s="27"/>
      <c r="K566" s="9"/>
    </row>
    <row r="567" spans="2:11" x14ac:dyDescent="0.25">
      <c r="H567" s="8"/>
    </row>
    <row r="568" spans="2:11" x14ac:dyDescent="0.25">
      <c r="H568" s="8"/>
    </row>
    <row r="569" spans="2:11" x14ac:dyDescent="0.25">
      <c r="H569" s="8"/>
    </row>
    <row r="570" spans="2:11" x14ac:dyDescent="0.25">
      <c r="H570" s="8"/>
    </row>
    <row r="571" spans="2:11" x14ac:dyDescent="0.25">
      <c r="H571" s="8"/>
    </row>
    <row r="572" spans="2:11" x14ac:dyDescent="0.25">
      <c r="H572" s="8"/>
    </row>
    <row r="573" spans="2:11" x14ac:dyDescent="0.25">
      <c r="H573" s="8"/>
    </row>
    <row r="574" spans="2:11" x14ac:dyDescent="0.25">
      <c r="H574" s="8"/>
    </row>
    <row r="575" spans="2:11" x14ac:dyDescent="0.25">
      <c r="H575" s="8"/>
    </row>
    <row r="576" spans="2:11" x14ac:dyDescent="0.25">
      <c r="H576" s="8"/>
    </row>
    <row r="577" spans="8:8" x14ac:dyDescent="0.25">
      <c r="H577" s="8"/>
    </row>
    <row r="578" spans="8:8" x14ac:dyDescent="0.25">
      <c r="H578" s="8"/>
    </row>
    <row r="579" spans="8:8" x14ac:dyDescent="0.25">
      <c r="H579" s="8"/>
    </row>
    <row r="580" spans="8:8" x14ac:dyDescent="0.25">
      <c r="H580" s="8"/>
    </row>
    <row r="581" spans="8:8" x14ac:dyDescent="0.25">
      <c r="H581" s="8"/>
    </row>
    <row r="582" spans="8:8" x14ac:dyDescent="0.25">
      <c r="H582" s="8"/>
    </row>
  </sheetData>
  <autoFilter ref="A3:M580" xr:uid="{00000000-0009-0000-0000-00000A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1582">
    <mergeCell ref="J249:J250"/>
    <mergeCell ref="A497:A498"/>
    <mergeCell ref="G257:G258"/>
    <mergeCell ref="K461:K462"/>
    <mergeCell ref="K397:K398"/>
    <mergeCell ref="B345:F346"/>
    <mergeCell ref="H369:H370"/>
    <mergeCell ref="I353:I354"/>
    <mergeCell ref="B329:F330"/>
    <mergeCell ref="G329:G330"/>
    <mergeCell ref="G261:G262"/>
    <mergeCell ref="G301:G302"/>
    <mergeCell ref="J281:J282"/>
    <mergeCell ref="G263:G264"/>
    <mergeCell ref="H257:H258"/>
    <mergeCell ref="I263:I264"/>
    <mergeCell ref="G269:G270"/>
    <mergeCell ref="G311:G312"/>
    <mergeCell ref="I333:I334"/>
    <mergeCell ref="I311:I312"/>
    <mergeCell ref="I319:I320"/>
    <mergeCell ref="H319:H320"/>
    <mergeCell ref="H309:H310"/>
    <mergeCell ref="B309:F310"/>
    <mergeCell ref="B331:F332"/>
    <mergeCell ref="I257:I258"/>
    <mergeCell ref="H297:H298"/>
    <mergeCell ref="M557:M558"/>
    <mergeCell ref="J549:J550"/>
    <mergeCell ref="B323:F324"/>
    <mergeCell ref="G323:G324"/>
    <mergeCell ref="H323:H324"/>
    <mergeCell ref="G307:G308"/>
    <mergeCell ref="H305:H306"/>
    <mergeCell ref="G305:G306"/>
    <mergeCell ref="G309:G310"/>
    <mergeCell ref="B311:F312"/>
    <mergeCell ref="B327:F328"/>
    <mergeCell ref="G327:G328"/>
    <mergeCell ref="H327:H328"/>
    <mergeCell ref="I327:I328"/>
    <mergeCell ref="B333:F334"/>
    <mergeCell ref="G333:G334"/>
    <mergeCell ref="K543:K544"/>
    <mergeCell ref="J333:J334"/>
    <mergeCell ref="H331:H332"/>
    <mergeCell ref="B313:F314"/>
    <mergeCell ref="B305:F306"/>
    <mergeCell ref="B325:F326"/>
    <mergeCell ref="B319:F320"/>
    <mergeCell ref="H313:H314"/>
    <mergeCell ref="H307:H308"/>
    <mergeCell ref="B315:F316"/>
    <mergeCell ref="I321:I322"/>
    <mergeCell ref="G325:G326"/>
    <mergeCell ref="J323:J324"/>
    <mergeCell ref="J339:J340"/>
    <mergeCell ref="I323:I324"/>
    <mergeCell ref="I329:I330"/>
    <mergeCell ref="A251:A252"/>
    <mergeCell ref="B247:F248"/>
    <mergeCell ref="J275:J276"/>
    <mergeCell ref="K277:K278"/>
    <mergeCell ref="K257:K258"/>
    <mergeCell ref="H329:H330"/>
    <mergeCell ref="B277:F278"/>
    <mergeCell ref="G275:G276"/>
    <mergeCell ref="B261:F262"/>
    <mergeCell ref="B295:F296"/>
    <mergeCell ref="B281:F282"/>
    <mergeCell ref="B279:F280"/>
    <mergeCell ref="B283:F284"/>
    <mergeCell ref="G287:G288"/>
    <mergeCell ref="B273:F274"/>
    <mergeCell ref="B301:F302"/>
    <mergeCell ref="B297:F298"/>
    <mergeCell ref="G315:G316"/>
    <mergeCell ref="B317:F318"/>
    <mergeCell ref="B293:F294"/>
    <mergeCell ref="G293:G294"/>
    <mergeCell ref="H293:H294"/>
    <mergeCell ref="I293:I294"/>
    <mergeCell ref="J293:J294"/>
    <mergeCell ref="K293:K294"/>
    <mergeCell ref="B251:F252"/>
    <mergeCell ref="G251:G252"/>
    <mergeCell ref="H251:H252"/>
    <mergeCell ref="I251:I252"/>
    <mergeCell ref="J251:J252"/>
    <mergeCell ref="I249:I250"/>
    <mergeCell ref="B249:F250"/>
    <mergeCell ref="B321:F322"/>
    <mergeCell ref="H315:H316"/>
    <mergeCell ref="G319:G320"/>
    <mergeCell ref="H311:H312"/>
    <mergeCell ref="B223:F224"/>
    <mergeCell ref="G223:G224"/>
    <mergeCell ref="H223:H224"/>
    <mergeCell ref="H295:H296"/>
    <mergeCell ref="H281:H282"/>
    <mergeCell ref="B299:F300"/>
    <mergeCell ref="H303:H304"/>
    <mergeCell ref="H215:H216"/>
    <mergeCell ref="G225:G226"/>
    <mergeCell ref="G321:G322"/>
    <mergeCell ref="G221:G222"/>
    <mergeCell ref="B285:F286"/>
    <mergeCell ref="L553:L554"/>
    <mergeCell ref="K305:K306"/>
    <mergeCell ref="K307:K308"/>
    <mergeCell ref="K317:K318"/>
    <mergeCell ref="J307:J308"/>
    <mergeCell ref="K339:K340"/>
    <mergeCell ref="K329:K330"/>
    <mergeCell ref="I331:I332"/>
    <mergeCell ref="K325:K326"/>
    <mergeCell ref="H333:H334"/>
    <mergeCell ref="H321:H322"/>
    <mergeCell ref="G317:G318"/>
    <mergeCell ref="K223:K224"/>
    <mergeCell ref="I237:I238"/>
    <mergeCell ref="I239:I240"/>
    <mergeCell ref="B231:F232"/>
    <mergeCell ref="B307:F308"/>
    <mergeCell ref="B303:F304"/>
    <mergeCell ref="H301:H302"/>
    <mergeCell ref="H285:H286"/>
    <mergeCell ref="B289:F290"/>
    <mergeCell ref="H283:H284"/>
    <mergeCell ref="H279:H280"/>
    <mergeCell ref="B287:F288"/>
    <mergeCell ref="B227:F228"/>
    <mergeCell ref="B241:F242"/>
    <mergeCell ref="B239:F240"/>
    <mergeCell ref="I259:I260"/>
    <mergeCell ref="I267:I268"/>
    <mergeCell ref="B269:F270"/>
    <mergeCell ref="B271:F272"/>
    <mergeCell ref="G271:G272"/>
    <mergeCell ref="B267:F268"/>
    <mergeCell ref="H241:H242"/>
    <mergeCell ref="I275:I276"/>
    <mergeCell ref="I253:I254"/>
    <mergeCell ref="B265:F266"/>
    <mergeCell ref="B263:F264"/>
    <mergeCell ref="G253:G254"/>
    <mergeCell ref="G255:G256"/>
    <mergeCell ref="H247:H248"/>
    <mergeCell ref="G247:G248"/>
    <mergeCell ref="H261:H262"/>
    <mergeCell ref="G277:G278"/>
    <mergeCell ref="G279:G280"/>
    <mergeCell ref="H277:H278"/>
    <mergeCell ref="H289:H290"/>
    <mergeCell ref="G303:G304"/>
    <mergeCell ref="B155:F156"/>
    <mergeCell ref="H211:H212"/>
    <mergeCell ref="H207:H208"/>
    <mergeCell ref="B209:F210"/>
    <mergeCell ref="B191:F192"/>
    <mergeCell ref="B177:F178"/>
    <mergeCell ref="B203:F204"/>
    <mergeCell ref="J239:J240"/>
    <mergeCell ref="J229:J230"/>
    <mergeCell ref="I245:I246"/>
    <mergeCell ref="I255:I256"/>
    <mergeCell ref="B275:F276"/>
    <mergeCell ref="I243:I244"/>
    <mergeCell ref="H245:H246"/>
    <mergeCell ref="G267:G268"/>
    <mergeCell ref="H253:H254"/>
    <mergeCell ref="H249:H250"/>
    <mergeCell ref="H255:H256"/>
    <mergeCell ref="B257:F258"/>
    <mergeCell ref="J257:J258"/>
    <mergeCell ref="H231:H232"/>
    <mergeCell ref="B229:F230"/>
    <mergeCell ref="G237:G238"/>
    <mergeCell ref="I271:I272"/>
    <mergeCell ref="J253:J254"/>
    <mergeCell ref="B237:F238"/>
    <mergeCell ref="B253:F254"/>
    <mergeCell ref="G249:G250"/>
    <mergeCell ref="B255:F256"/>
    <mergeCell ref="G239:G240"/>
    <mergeCell ref="B207:F208"/>
    <mergeCell ref="H159:H160"/>
    <mergeCell ref="B197:F198"/>
    <mergeCell ref="B181:F182"/>
    <mergeCell ref="G185:G186"/>
    <mergeCell ref="B173:F174"/>
    <mergeCell ref="B259:F260"/>
    <mergeCell ref="B233:F234"/>
    <mergeCell ref="B291:F292"/>
    <mergeCell ref="H263:H264"/>
    <mergeCell ref="G259:G260"/>
    <mergeCell ref="B205:F206"/>
    <mergeCell ref="G205:G206"/>
    <mergeCell ref="G283:G284"/>
    <mergeCell ref="I277:I278"/>
    <mergeCell ref="I281:I282"/>
    <mergeCell ref="I285:I286"/>
    <mergeCell ref="H287:H288"/>
    <mergeCell ref="G289:G290"/>
    <mergeCell ref="H219:H220"/>
    <mergeCell ref="H203:H204"/>
    <mergeCell ref="I209:I210"/>
    <mergeCell ref="I219:I220"/>
    <mergeCell ref="G215:G216"/>
    <mergeCell ref="G207:G208"/>
    <mergeCell ref="B185:F186"/>
    <mergeCell ref="B179:F180"/>
    <mergeCell ref="G285:G286"/>
    <mergeCell ref="B215:F216"/>
    <mergeCell ref="H259:H260"/>
    <mergeCell ref="H271:H272"/>
    <mergeCell ref="B213:F214"/>
    <mergeCell ref="G213:G214"/>
    <mergeCell ref="H213:H214"/>
    <mergeCell ref="B167:F168"/>
    <mergeCell ref="B137:F138"/>
    <mergeCell ref="H153:H154"/>
    <mergeCell ref="B139:F140"/>
    <mergeCell ref="J151:J152"/>
    <mergeCell ref="G143:G144"/>
    <mergeCell ref="B163:F164"/>
    <mergeCell ref="B149:F150"/>
    <mergeCell ref="J261:J262"/>
    <mergeCell ref="I223:I224"/>
    <mergeCell ref="J223:J224"/>
    <mergeCell ref="J243:J244"/>
    <mergeCell ref="J213:J214"/>
    <mergeCell ref="B153:F154"/>
    <mergeCell ref="B145:F146"/>
    <mergeCell ref="B141:F142"/>
    <mergeCell ref="H143:H144"/>
    <mergeCell ref="B169:F170"/>
    <mergeCell ref="B201:F202"/>
    <mergeCell ref="I189:I190"/>
    <mergeCell ref="I187:I188"/>
    <mergeCell ref="B147:F148"/>
    <mergeCell ref="B151:F152"/>
    <mergeCell ref="B165:F166"/>
    <mergeCell ref="B143:F144"/>
    <mergeCell ref="H187:H188"/>
    <mergeCell ref="B199:F200"/>
    <mergeCell ref="H191:H192"/>
    <mergeCell ref="B187:F188"/>
    <mergeCell ref="I195:I196"/>
    <mergeCell ref="G193:G194"/>
    <mergeCell ref="G189:G190"/>
    <mergeCell ref="H119:H120"/>
    <mergeCell ref="G125:G126"/>
    <mergeCell ref="G113:G114"/>
    <mergeCell ref="G115:G116"/>
    <mergeCell ref="K113:K114"/>
    <mergeCell ref="G107:G108"/>
    <mergeCell ref="I115:I116"/>
    <mergeCell ref="H117:H118"/>
    <mergeCell ref="G111:G112"/>
    <mergeCell ref="K111:K112"/>
    <mergeCell ref="H161:H162"/>
    <mergeCell ref="G171:G172"/>
    <mergeCell ref="G183:G184"/>
    <mergeCell ref="I191:I192"/>
    <mergeCell ref="J209:J210"/>
    <mergeCell ref="J117:J118"/>
    <mergeCell ref="K115:K116"/>
    <mergeCell ref="I119:I120"/>
    <mergeCell ref="I109:I110"/>
    <mergeCell ref="K133:K134"/>
    <mergeCell ref="G117:G118"/>
    <mergeCell ref="H147:H148"/>
    <mergeCell ref="H209:H210"/>
    <mergeCell ref="G163:G164"/>
    <mergeCell ref="I203:I204"/>
    <mergeCell ref="H171:H172"/>
    <mergeCell ref="G141:G142"/>
    <mergeCell ref="G145:G146"/>
    <mergeCell ref="I163:I164"/>
    <mergeCell ref="H151:H152"/>
    <mergeCell ref="J159:J160"/>
    <mergeCell ref="H155:H156"/>
    <mergeCell ref="H167:H168"/>
    <mergeCell ref="H165:H166"/>
    <mergeCell ref="G165:G166"/>
    <mergeCell ref="H163:H164"/>
    <mergeCell ref="G195:G196"/>
    <mergeCell ref="H185:H186"/>
    <mergeCell ref="G201:G202"/>
    <mergeCell ref="H201:H202"/>
    <mergeCell ref="I201:I202"/>
    <mergeCell ref="I177:I178"/>
    <mergeCell ref="I181:I182"/>
    <mergeCell ref="I171:I172"/>
    <mergeCell ref="I165:I166"/>
    <mergeCell ref="H181:H182"/>
    <mergeCell ref="H205:H206"/>
    <mergeCell ref="G177:G178"/>
    <mergeCell ref="G181:G182"/>
    <mergeCell ref="G203:G204"/>
    <mergeCell ref="I205:I206"/>
    <mergeCell ref="H169:H170"/>
    <mergeCell ref="G187:G188"/>
    <mergeCell ref="I193:I194"/>
    <mergeCell ref="H177:H178"/>
    <mergeCell ref="B189:F190"/>
    <mergeCell ref="B193:F194"/>
    <mergeCell ref="H195:H196"/>
    <mergeCell ref="B195:F196"/>
    <mergeCell ref="G155:G156"/>
    <mergeCell ref="I155:I156"/>
    <mergeCell ref="I137:I138"/>
    <mergeCell ref="G159:G160"/>
    <mergeCell ref="H135:H136"/>
    <mergeCell ref="G161:G162"/>
    <mergeCell ref="B183:F184"/>
    <mergeCell ref="I183:I184"/>
    <mergeCell ref="G169:G170"/>
    <mergeCell ref="H183:H184"/>
    <mergeCell ref="G191:G192"/>
    <mergeCell ref="H189:H190"/>
    <mergeCell ref="H193:H194"/>
    <mergeCell ref="B157:F158"/>
    <mergeCell ref="B175:F176"/>
    <mergeCell ref="B135:F136"/>
    <mergeCell ref="G157:G158"/>
    <mergeCell ref="B161:F162"/>
    <mergeCell ref="G139:G140"/>
    <mergeCell ref="B159:F160"/>
    <mergeCell ref="I157:I158"/>
    <mergeCell ref="I167:I168"/>
    <mergeCell ref="I169:I170"/>
    <mergeCell ref="B171:F172"/>
    <mergeCell ref="G151:G152"/>
    <mergeCell ref="H141:H142"/>
    <mergeCell ref="I159:I160"/>
    <mergeCell ref="G167:G168"/>
    <mergeCell ref="I215:I216"/>
    <mergeCell ref="H221:H222"/>
    <mergeCell ref="I231:I232"/>
    <mergeCell ref="I211:I212"/>
    <mergeCell ref="I225:I226"/>
    <mergeCell ref="G209:G210"/>
    <mergeCell ref="B211:F212"/>
    <mergeCell ref="H239:H240"/>
    <mergeCell ref="H237:H238"/>
    <mergeCell ref="B217:F218"/>
    <mergeCell ref="B245:F246"/>
    <mergeCell ref="G231:G232"/>
    <mergeCell ref="B219:F220"/>
    <mergeCell ref="B221:F222"/>
    <mergeCell ref="B235:F236"/>
    <mergeCell ref="B225:F226"/>
    <mergeCell ref="G219:G220"/>
    <mergeCell ref="G241:G242"/>
    <mergeCell ref="G245:G246"/>
    <mergeCell ref="I227:I228"/>
    <mergeCell ref="I229:I230"/>
    <mergeCell ref="I213:I214"/>
    <mergeCell ref="H225:H226"/>
    <mergeCell ref="G211:G212"/>
    <mergeCell ref="I217:I218"/>
    <mergeCell ref="H217:H218"/>
    <mergeCell ref="G217:G218"/>
    <mergeCell ref="B243:F244"/>
    <mergeCell ref="G243:G244"/>
    <mergeCell ref="H243:H244"/>
    <mergeCell ref="I241:I242"/>
    <mergeCell ref="G229:G230"/>
    <mergeCell ref="G265:G266"/>
    <mergeCell ref="H265:H266"/>
    <mergeCell ref="J297:J298"/>
    <mergeCell ref="K295:K296"/>
    <mergeCell ref="I261:I262"/>
    <mergeCell ref="J219:J220"/>
    <mergeCell ref="J241:J242"/>
    <mergeCell ref="I265:I266"/>
    <mergeCell ref="K227:K228"/>
    <mergeCell ref="J237:J238"/>
    <mergeCell ref="K231:K232"/>
    <mergeCell ref="K219:K220"/>
    <mergeCell ref="G227:G228"/>
    <mergeCell ref="H227:H228"/>
    <mergeCell ref="H229:H230"/>
    <mergeCell ref="J221:J222"/>
    <mergeCell ref="G233:G234"/>
    <mergeCell ref="H233:H234"/>
    <mergeCell ref="H273:H274"/>
    <mergeCell ref="H275:H276"/>
    <mergeCell ref="K245:K246"/>
    <mergeCell ref="J265:J266"/>
    <mergeCell ref="K229:K230"/>
    <mergeCell ref="K255:K256"/>
    <mergeCell ref="K247:K248"/>
    <mergeCell ref="I221:I222"/>
    <mergeCell ref="J255:J256"/>
    <mergeCell ref="G295:G296"/>
    <mergeCell ref="I233:I234"/>
    <mergeCell ref="K237:K238"/>
    <mergeCell ref="K243:K244"/>
    <mergeCell ref="I247:I248"/>
    <mergeCell ref="K267:K268"/>
    <mergeCell ref="K269:K270"/>
    <mergeCell ref="J269:J270"/>
    <mergeCell ref="J279:J280"/>
    <mergeCell ref="I317:I318"/>
    <mergeCell ref="K275:K276"/>
    <mergeCell ref="K281:K282"/>
    <mergeCell ref="J285:J286"/>
    <mergeCell ref="I289:I290"/>
    <mergeCell ref="I287:I288"/>
    <mergeCell ref="I269:I270"/>
    <mergeCell ref="I273:I274"/>
    <mergeCell ref="K285:K286"/>
    <mergeCell ref="K301:K302"/>
    <mergeCell ref="K283:K284"/>
    <mergeCell ref="J277:J278"/>
    <mergeCell ref="K311:K312"/>
    <mergeCell ref="I313:I314"/>
    <mergeCell ref="I307:I308"/>
    <mergeCell ref="K299:K300"/>
    <mergeCell ref="K297:K298"/>
    <mergeCell ref="K271:K272"/>
    <mergeCell ref="K273:K274"/>
    <mergeCell ref="I283:I284"/>
    <mergeCell ref="J295:J296"/>
    <mergeCell ref="K319:K320"/>
    <mergeCell ref="K315:K316"/>
    <mergeCell ref="K313:K314"/>
    <mergeCell ref="G313:G314"/>
    <mergeCell ref="J289:J290"/>
    <mergeCell ref="J299:J300"/>
    <mergeCell ref="J283:J284"/>
    <mergeCell ref="J287:J288"/>
    <mergeCell ref="I295:I296"/>
    <mergeCell ref="J315:J316"/>
    <mergeCell ref="I315:I316"/>
    <mergeCell ref="H317:H318"/>
    <mergeCell ref="H325:H326"/>
    <mergeCell ref="K327:K328"/>
    <mergeCell ref="J321:J322"/>
    <mergeCell ref="J305:J306"/>
    <mergeCell ref="I299:I300"/>
    <mergeCell ref="K289:K290"/>
    <mergeCell ref="K309:K310"/>
    <mergeCell ref="K287:K288"/>
    <mergeCell ref="K303:K304"/>
    <mergeCell ref="K291:K292"/>
    <mergeCell ref="I303:I304"/>
    <mergeCell ref="J301:J302"/>
    <mergeCell ref="G299:G300"/>
    <mergeCell ref="J267:J268"/>
    <mergeCell ref="I325:I326"/>
    <mergeCell ref="J325:J326"/>
    <mergeCell ref="I337:I338"/>
    <mergeCell ref="G281:G282"/>
    <mergeCell ref="I279:I280"/>
    <mergeCell ref="I297:I298"/>
    <mergeCell ref="I305:I306"/>
    <mergeCell ref="I309:I310"/>
    <mergeCell ref="I301:I302"/>
    <mergeCell ref="H267:H268"/>
    <mergeCell ref="G273:G274"/>
    <mergeCell ref="H269:H270"/>
    <mergeCell ref="H299:H300"/>
    <mergeCell ref="G297:G298"/>
    <mergeCell ref="I341:I342"/>
    <mergeCell ref="H339:H340"/>
    <mergeCell ref="H337:H338"/>
    <mergeCell ref="G337:G338"/>
    <mergeCell ref="J317:J318"/>
    <mergeCell ref="J329:J330"/>
    <mergeCell ref="J313:J314"/>
    <mergeCell ref="I339:I340"/>
    <mergeCell ref="G331:G332"/>
    <mergeCell ref="J303:J304"/>
    <mergeCell ref="J271:J272"/>
    <mergeCell ref="J319:J320"/>
    <mergeCell ref="J341:J342"/>
    <mergeCell ref="J335:J336"/>
    <mergeCell ref="J273:J274"/>
    <mergeCell ref="J343:J344"/>
    <mergeCell ref="G345:G346"/>
    <mergeCell ref="G349:G350"/>
    <mergeCell ref="J351:J352"/>
    <mergeCell ref="G367:G368"/>
    <mergeCell ref="I343:I344"/>
    <mergeCell ref="J365:J366"/>
    <mergeCell ref="B361:F362"/>
    <mergeCell ref="B359:F360"/>
    <mergeCell ref="G365:G366"/>
    <mergeCell ref="I371:I372"/>
    <mergeCell ref="I345:I346"/>
    <mergeCell ref="I351:I352"/>
    <mergeCell ref="J359:J360"/>
    <mergeCell ref="H365:H366"/>
    <mergeCell ref="I355:I356"/>
    <mergeCell ref="B353:F354"/>
    <mergeCell ref="H357:H358"/>
    <mergeCell ref="B349:F350"/>
    <mergeCell ref="G361:G362"/>
    <mergeCell ref="J363:J364"/>
    <mergeCell ref="G351:G352"/>
    <mergeCell ref="H349:H350"/>
    <mergeCell ref="B347:F348"/>
    <mergeCell ref="K363:K364"/>
    <mergeCell ref="K367:K368"/>
    <mergeCell ref="H373:H374"/>
    <mergeCell ref="I359:I360"/>
    <mergeCell ref="K361:K362"/>
    <mergeCell ref="J361:J362"/>
    <mergeCell ref="B369:F370"/>
    <mergeCell ref="B357:F358"/>
    <mergeCell ref="B355:F356"/>
    <mergeCell ref="H359:H360"/>
    <mergeCell ref="G357:G358"/>
    <mergeCell ref="H361:H362"/>
    <mergeCell ref="H351:H352"/>
    <mergeCell ref="G353:G354"/>
    <mergeCell ref="J367:J368"/>
    <mergeCell ref="J355:J356"/>
    <mergeCell ref="B365:F366"/>
    <mergeCell ref="I365:I366"/>
    <mergeCell ref="B363:F364"/>
    <mergeCell ref="B367:F368"/>
    <mergeCell ref="G363:G364"/>
    <mergeCell ref="I357:I358"/>
    <mergeCell ref="J353:J354"/>
    <mergeCell ref="H353:H354"/>
    <mergeCell ref="B351:F352"/>
    <mergeCell ref="G355:G356"/>
    <mergeCell ref="H355:H356"/>
    <mergeCell ref="K373:K374"/>
    <mergeCell ref="K375:K376"/>
    <mergeCell ref="H363:H364"/>
    <mergeCell ref="H371:H372"/>
    <mergeCell ref="J375:J376"/>
    <mergeCell ref="B443:F444"/>
    <mergeCell ref="G443:G444"/>
    <mergeCell ref="H441:H442"/>
    <mergeCell ref="H415:H416"/>
    <mergeCell ref="H417:H418"/>
    <mergeCell ref="G417:G418"/>
    <mergeCell ref="B419:F420"/>
    <mergeCell ref="G419:G420"/>
    <mergeCell ref="G427:G428"/>
    <mergeCell ref="B427:F428"/>
    <mergeCell ref="G433:G434"/>
    <mergeCell ref="H425:H426"/>
    <mergeCell ref="I419:I420"/>
    <mergeCell ref="B417:F418"/>
    <mergeCell ref="B415:F416"/>
    <mergeCell ref="B429:F430"/>
    <mergeCell ref="B437:F438"/>
    <mergeCell ref="B433:F434"/>
    <mergeCell ref="B435:F436"/>
    <mergeCell ref="I437:I438"/>
    <mergeCell ref="H435:H436"/>
    <mergeCell ref="I429:I430"/>
    <mergeCell ref="J427:J428"/>
    <mergeCell ref="J377:J378"/>
    <mergeCell ref="I409:I410"/>
    <mergeCell ref="H409:H410"/>
    <mergeCell ref="K371:K372"/>
    <mergeCell ref="B407:F408"/>
    <mergeCell ref="G409:G410"/>
    <mergeCell ref="J409:J410"/>
    <mergeCell ref="B411:F412"/>
    <mergeCell ref="G423:G424"/>
    <mergeCell ref="H429:H430"/>
    <mergeCell ref="J425:J426"/>
    <mergeCell ref="G413:G414"/>
    <mergeCell ref="J421:J422"/>
    <mergeCell ref="G415:G416"/>
    <mergeCell ref="G429:G430"/>
    <mergeCell ref="H419:H420"/>
    <mergeCell ref="I415:I416"/>
    <mergeCell ref="J413:J414"/>
    <mergeCell ref="H411:H412"/>
    <mergeCell ref="I411:I412"/>
    <mergeCell ref="H423:H424"/>
    <mergeCell ref="J411:J412"/>
    <mergeCell ref="J417:J418"/>
    <mergeCell ref="G421:G422"/>
    <mergeCell ref="I423:I424"/>
    <mergeCell ref="I413:I414"/>
    <mergeCell ref="I427:I428"/>
    <mergeCell ref="I421:I422"/>
    <mergeCell ref="I417:I418"/>
    <mergeCell ref="B397:F398"/>
    <mergeCell ref="H387:H388"/>
    <mergeCell ref="H385:H386"/>
    <mergeCell ref="G399:G400"/>
    <mergeCell ref="I377:I378"/>
    <mergeCell ref="B413:F414"/>
    <mergeCell ref="H421:H422"/>
    <mergeCell ref="G411:G412"/>
    <mergeCell ref="H427:H428"/>
    <mergeCell ref="I363:I364"/>
    <mergeCell ref="G381:G382"/>
    <mergeCell ref="I367:I368"/>
    <mergeCell ref="I361:I362"/>
    <mergeCell ref="H405:H406"/>
    <mergeCell ref="I381:I382"/>
    <mergeCell ref="G395:G396"/>
    <mergeCell ref="I373:I374"/>
    <mergeCell ref="B377:F378"/>
    <mergeCell ref="H377:H378"/>
    <mergeCell ref="B381:F382"/>
    <mergeCell ref="G369:G370"/>
    <mergeCell ref="G383:G384"/>
    <mergeCell ref="B403:F404"/>
    <mergeCell ref="H401:H402"/>
    <mergeCell ref="B401:F402"/>
    <mergeCell ref="B405:F406"/>
    <mergeCell ref="I389:I390"/>
    <mergeCell ref="H379:H380"/>
    <mergeCell ref="B393:F394"/>
    <mergeCell ref="B399:F400"/>
    <mergeCell ref="G387:G388"/>
    <mergeCell ref="I369:I370"/>
    <mergeCell ref="B337:F338"/>
    <mergeCell ref="B383:F384"/>
    <mergeCell ref="B375:F376"/>
    <mergeCell ref="B379:F380"/>
    <mergeCell ref="H375:H376"/>
    <mergeCell ref="H367:H368"/>
    <mergeCell ref="G359:G360"/>
    <mergeCell ref="B343:F344"/>
    <mergeCell ref="G343:G344"/>
    <mergeCell ref="I349:I350"/>
    <mergeCell ref="G341:G342"/>
    <mergeCell ref="G339:G340"/>
    <mergeCell ref="B371:F372"/>
    <mergeCell ref="G375:G376"/>
    <mergeCell ref="B341:F342"/>
    <mergeCell ref="B391:F392"/>
    <mergeCell ref="G377:G378"/>
    <mergeCell ref="H389:H390"/>
    <mergeCell ref="G371:G372"/>
    <mergeCell ref="G379:G380"/>
    <mergeCell ref="I375:I376"/>
    <mergeCell ref="G373:G374"/>
    <mergeCell ref="B389:F390"/>
    <mergeCell ref="B387:F388"/>
    <mergeCell ref="B385:F386"/>
    <mergeCell ref="B373:F374"/>
    <mergeCell ref="H345:H346"/>
    <mergeCell ref="H343:H344"/>
    <mergeCell ref="H341:H342"/>
    <mergeCell ref="G391:G392"/>
    <mergeCell ref="G393:G394"/>
    <mergeCell ref="H393:H394"/>
    <mergeCell ref="H399:H400"/>
    <mergeCell ref="I399:I400"/>
    <mergeCell ref="I397:I398"/>
    <mergeCell ref="I391:I392"/>
    <mergeCell ref="G389:G390"/>
    <mergeCell ref="H391:H392"/>
    <mergeCell ref="G407:G408"/>
    <mergeCell ref="H407:H408"/>
    <mergeCell ref="J399:J400"/>
    <mergeCell ref="I379:I380"/>
    <mergeCell ref="H395:H396"/>
    <mergeCell ref="H397:H398"/>
    <mergeCell ref="G397:G398"/>
    <mergeCell ref="G385:G386"/>
    <mergeCell ref="H381:H382"/>
    <mergeCell ref="I383:I384"/>
    <mergeCell ref="H383:H384"/>
    <mergeCell ref="I395:I396"/>
    <mergeCell ref="I393:I394"/>
    <mergeCell ref="K407:K408"/>
    <mergeCell ref="I405:I406"/>
    <mergeCell ref="J407:J408"/>
    <mergeCell ref="K401:K402"/>
    <mergeCell ref="I385:I386"/>
    <mergeCell ref="J397:J398"/>
    <mergeCell ref="K393:K394"/>
    <mergeCell ref="K383:K384"/>
    <mergeCell ref="K399:K400"/>
    <mergeCell ref="I401:I402"/>
    <mergeCell ref="I407:I408"/>
    <mergeCell ref="K381:K382"/>
    <mergeCell ref="J381:J382"/>
    <mergeCell ref="K385:K386"/>
    <mergeCell ref="J379:J380"/>
    <mergeCell ref="J383:J384"/>
    <mergeCell ref="J401:J402"/>
    <mergeCell ref="K379:K380"/>
    <mergeCell ref="K355:K356"/>
    <mergeCell ref="K359:K360"/>
    <mergeCell ref="J349:J350"/>
    <mergeCell ref="J263:J264"/>
    <mergeCell ref="J259:J260"/>
    <mergeCell ref="K353:K354"/>
    <mergeCell ref="J311:J312"/>
    <mergeCell ref="J309:J310"/>
    <mergeCell ref="K347:K348"/>
    <mergeCell ref="K331:K332"/>
    <mergeCell ref="K337:K338"/>
    <mergeCell ref="K321:K322"/>
    <mergeCell ref="L173:L174"/>
    <mergeCell ref="L197:L198"/>
    <mergeCell ref="K203:K204"/>
    <mergeCell ref="K177:K178"/>
    <mergeCell ref="J185:J186"/>
    <mergeCell ref="K241:K242"/>
    <mergeCell ref="K235:K236"/>
    <mergeCell ref="K261:K262"/>
    <mergeCell ref="K263:K264"/>
    <mergeCell ref="J233:J234"/>
    <mergeCell ref="K253:K254"/>
    <mergeCell ref="K217:K218"/>
    <mergeCell ref="K221:K222"/>
    <mergeCell ref="J247:J248"/>
    <mergeCell ref="J245:J246"/>
    <mergeCell ref="K249:K250"/>
    <mergeCell ref="J187:J188"/>
    <mergeCell ref="J191:J192"/>
    <mergeCell ref="J345:J346"/>
    <mergeCell ref="K351:K352"/>
    <mergeCell ref="L453:L454"/>
    <mergeCell ref="L507:L508"/>
    <mergeCell ref="L505:L506"/>
    <mergeCell ref="J461:J462"/>
    <mergeCell ref="K505:K506"/>
    <mergeCell ref="J445:J446"/>
    <mergeCell ref="K423:K424"/>
    <mergeCell ref="K409:K410"/>
    <mergeCell ref="K431:K432"/>
    <mergeCell ref="K445:K446"/>
    <mergeCell ref="K415:K416"/>
    <mergeCell ref="K411:K412"/>
    <mergeCell ref="K405:K406"/>
    <mergeCell ref="J393:J394"/>
    <mergeCell ref="K357:K358"/>
    <mergeCell ref="K499:K500"/>
    <mergeCell ref="K485:K486"/>
    <mergeCell ref="K453:K454"/>
    <mergeCell ref="K465:K466"/>
    <mergeCell ref="K403:K404"/>
    <mergeCell ref="K455:K456"/>
    <mergeCell ref="K443:K444"/>
    <mergeCell ref="J369:J370"/>
    <mergeCell ref="K369:K370"/>
    <mergeCell ref="K433:K434"/>
    <mergeCell ref="K441:K442"/>
    <mergeCell ref="J419:J420"/>
    <mergeCell ref="K377:K378"/>
    <mergeCell ref="K389:K390"/>
    <mergeCell ref="J391:J392"/>
    <mergeCell ref="J389:J390"/>
    <mergeCell ref="J373:J374"/>
    <mergeCell ref="K333:K334"/>
    <mergeCell ref="K323:K324"/>
    <mergeCell ref="J371:J372"/>
    <mergeCell ref="J385:J386"/>
    <mergeCell ref="J405:J406"/>
    <mergeCell ref="J423:J424"/>
    <mergeCell ref="K429:K430"/>
    <mergeCell ref="K425:K426"/>
    <mergeCell ref="J439:J440"/>
    <mergeCell ref="K341:K342"/>
    <mergeCell ref="J337:J338"/>
    <mergeCell ref="K387:K388"/>
    <mergeCell ref="J331:J332"/>
    <mergeCell ref="J327:J328"/>
    <mergeCell ref="K391:K392"/>
    <mergeCell ref="K349:K350"/>
    <mergeCell ref="J395:J396"/>
    <mergeCell ref="J357:J358"/>
    <mergeCell ref="K365:K366"/>
    <mergeCell ref="K427:K428"/>
    <mergeCell ref="K343:K344"/>
    <mergeCell ref="K345:K346"/>
    <mergeCell ref="K437:K438"/>
    <mergeCell ref="K395:K396"/>
    <mergeCell ref="K421:K422"/>
    <mergeCell ref="K413:K414"/>
    <mergeCell ref="K417:K418"/>
    <mergeCell ref="K419:K420"/>
    <mergeCell ref="K435:K436"/>
    <mergeCell ref="K439:K440"/>
    <mergeCell ref="J387:J388"/>
    <mergeCell ref="J415:J416"/>
    <mergeCell ref="J465:J466"/>
    <mergeCell ref="I527:I528"/>
    <mergeCell ref="I505:I506"/>
    <mergeCell ref="K527:K528"/>
    <mergeCell ref="K529:K530"/>
    <mergeCell ref="K549:K550"/>
    <mergeCell ref="K513:K514"/>
    <mergeCell ref="K493:K494"/>
    <mergeCell ref="K497:K498"/>
    <mergeCell ref="K481:K482"/>
    <mergeCell ref="I475:I476"/>
    <mergeCell ref="I499:I500"/>
    <mergeCell ref="J519:J520"/>
    <mergeCell ref="I535:I536"/>
    <mergeCell ref="K533:K534"/>
    <mergeCell ref="I519:I520"/>
    <mergeCell ref="K469:K470"/>
    <mergeCell ref="K495:K496"/>
    <mergeCell ref="I539:I540"/>
    <mergeCell ref="H539:H540"/>
    <mergeCell ref="K547:K548"/>
    <mergeCell ref="I537:I538"/>
    <mergeCell ref="K503:K504"/>
    <mergeCell ref="K507:K508"/>
    <mergeCell ref="K551:K552"/>
    <mergeCell ref="K539:K540"/>
    <mergeCell ref="K531:K532"/>
    <mergeCell ref="H549:H550"/>
    <mergeCell ref="H545:H546"/>
    <mergeCell ref="I545:I546"/>
    <mergeCell ref="I525:I526"/>
    <mergeCell ref="H519:H520"/>
    <mergeCell ref="J503:J504"/>
    <mergeCell ref="I549:I550"/>
    <mergeCell ref="K525:K526"/>
    <mergeCell ref="L557:L558"/>
    <mergeCell ref="K555:K556"/>
    <mergeCell ref="J499:J500"/>
    <mergeCell ref="H503:H504"/>
    <mergeCell ref="H499:H500"/>
    <mergeCell ref="I501:I502"/>
    <mergeCell ref="H501:H502"/>
    <mergeCell ref="H525:H526"/>
    <mergeCell ref="H521:H522"/>
    <mergeCell ref="I521:I522"/>
    <mergeCell ref="K553:K554"/>
    <mergeCell ref="L555:L556"/>
    <mergeCell ref="I541:I542"/>
    <mergeCell ref="J541:J542"/>
    <mergeCell ref="K541:K542"/>
    <mergeCell ref="L551:L552"/>
    <mergeCell ref="H551:H552"/>
    <mergeCell ref="H543:H544"/>
    <mergeCell ref="K537:K538"/>
    <mergeCell ref="K535:K536"/>
    <mergeCell ref="J543:J544"/>
    <mergeCell ref="H541:H542"/>
    <mergeCell ref="I543:I544"/>
    <mergeCell ref="J501:J502"/>
    <mergeCell ref="J545:J546"/>
    <mergeCell ref="I529:I530"/>
    <mergeCell ref="H535:H536"/>
    <mergeCell ref="I551:I552"/>
    <mergeCell ref="J533:J534"/>
    <mergeCell ref="H513:H514"/>
    <mergeCell ref="H533:H534"/>
    <mergeCell ref="I517:I518"/>
    <mergeCell ref="B507:F508"/>
    <mergeCell ref="B547:F548"/>
    <mergeCell ref="G547:G548"/>
    <mergeCell ref="G505:G506"/>
    <mergeCell ref="G503:G504"/>
    <mergeCell ref="K509:K510"/>
    <mergeCell ref="I547:I548"/>
    <mergeCell ref="K519:K520"/>
    <mergeCell ref="H531:H532"/>
    <mergeCell ref="I531:I532"/>
    <mergeCell ref="K511:K512"/>
    <mergeCell ref="B561:F562"/>
    <mergeCell ref="B555:F556"/>
    <mergeCell ref="G551:G552"/>
    <mergeCell ref="G527:G528"/>
    <mergeCell ref="G557:G558"/>
    <mergeCell ref="B553:F554"/>
    <mergeCell ref="B509:F510"/>
    <mergeCell ref="H529:H530"/>
    <mergeCell ref="J535:J536"/>
    <mergeCell ref="H517:H518"/>
    <mergeCell ref="H523:H524"/>
    <mergeCell ref="H537:H538"/>
    <mergeCell ref="I533:I534"/>
    <mergeCell ref="J527:J528"/>
    <mergeCell ref="J531:J532"/>
    <mergeCell ref="K517:K518"/>
    <mergeCell ref="I523:I524"/>
    <mergeCell ref="K523:K524"/>
    <mergeCell ref="I511:I512"/>
    <mergeCell ref="K521:K522"/>
    <mergeCell ref="J525:J526"/>
    <mergeCell ref="B565:F566"/>
    <mergeCell ref="B519:F520"/>
    <mergeCell ref="B525:F526"/>
    <mergeCell ref="B517:F518"/>
    <mergeCell ref="G529:G530"/>
    <mergeCell ref="K561:K562"/>
    <mergeCell ref="K559:K560"/>
    <mergeCell ref="G513:G514"/>
    <mergeCell ref="G519:G520"/>
    <mergeCell ref="G511:G512"/>
    <mergeCell ref="B513:F514"/>
    <mergeCell ref="B527:F528"/>
    <mergeCell ref="B537:F538"/>
    <mergeCell ref="H511:H512"/>
    <mergeCell ref="G563:G564"/>
    <mergeCell ref="G539:G540"/>
    <mergeCell ref="G549:G550"/>
    <mergeCell ref="G559:G560"/>
    <mergeCell ref="G517:G518"/>
    <mergeCell ref="B523:F524"/>
    <mergeCell ref="G565:G566"/>
    <mergeCell ref="G561:G562"/>
    <mergeCell ref="B533:F534"/>
    <mergeCell ref="G533:G534"/>
    <mergeCell ref="G535:G536"/>
    <mergeCell ref="H527:H528"/>
    <mergeCell ref="G523:G524"/>
    <mergeCell ref="H547:H548"/>
    <mergeCell ref="J529:J530"/>
    <mergeCell ref="J523:J524"/>
    <mergeCell ref="K515:K516"/>
    <mergeCell ref="K545:K546"/>
    <mergeCell ref="B87:F88"/>
    <mergeCell ref="B101:F102"/>
    <mergeCell ref="I95:I96"/>
    <mergeCell ref="G127:G128"/>
    <mergeCell ref="B107:F108"/>
    <mergeCell ref="H99:H100"/>
    <mergeCell ref="H91:H92"/>
    <mergeCell ref="H89:H90"/>
    <mergeCell ref="I387:I388"/>
    <mergeCell ref="B129:F130"/>
    <mergeCell ref="B511:F512"/>
    <mergeCell ref="B563:F564"/>
    <mergeCell ref="B531:F532"/>
    <mergeCell ref="G531:G532"/>
    <mergeCell ref="B541:F542"/>
    <mergeCell ref="G541:G542"/>
    <mergeCell ref="B545:F546"/>
    <mergeCell ref="G545:G546"/>
    <mergeCell ref="B543:F544"/>
    <mergeCell ref="G543:G544"/>
    <mergeCell ref="B535:F536"/>
    <mergeCell ref="B521:F522"/>
    <mergeCell ref="B515:F516"/>
    <mergeCell ref="B539:F540"/>
    <mergeCell ref="B557:F558"/>
    <mergeCell ref="B551:F552"/>
    <mergeCell ref="B559:F560"/>
    <mergeCell ref="G525:G526"/>
    <mergeCell ref="B529:F530"/>
    <mergeCell ref="B549:F550"/>
    <mergeCell ref="G537:G538"/>
    <mergeCell ref="B503:F504"/>
    <mergeCell ref="B85:F86"/>
    <mergeCell ref="G101:G102"/>
    <mergeCell ref="H145:H146"/>
    <mergeCell ref="I141:I142"/>
    <mergeCell ref="H137:H138"/>
    <mergeCell ref="H139:H140"/>
    <mergeCell ref="G135:G136"/>
    <mergeCell ref="H149:H150"/>
    <mergeCell ref="H107:H108"/>
    <mergeCell ref="H115:H116"/>
    <mergeCell ref="G97:G98"/>
    <mergeCell ref="H97:H98"/>
    <mergeCell ref="I147:I148"/>
    <mergeCell ref="I139:I140"/>
    <mergeCell ref="I145:I146"/>
    <mergeCell ref="I107:I108"/>
    <mergeCell ref="B119:F120"/>
    <mergeCell ref="B91:F92"/>
    <mergeCell ref="B109:F110"/>
    <mergeCell ref="B93:F94"/>
    <mergeCell ref="G93:G94"/>
    <mergeCell ref="H93:H94"/>
    <mergeCell ref="B95:F96"/>
    <mergeCell ref="H101:H102"/>
    <mergeCell ref="G121:G122"/>
    <mergeCell ref="B97:F98"/>
    <mergeCell ref="B127:F128"/>
    <mergeCell ref="B133:F134"/>
    <mergeCell ref="B131:F132"/>
    <mergeCell ref="G149:G150"/>
    <mergeCell ref="G137:G138"/>
    <mergeCell ref="G147:G148"/>
    <mergeCell ref="G437:G438"/>
    <mergeCell ref="H443:H444"/>
    <mergeCell ref="B445:F446"/>
    <mergeCell ref="H451:H452"/>
    <mergeCell ref="G441:G442"/>
    <mergeCell ref="B441:F442"/>
    <mergeCell ref="B447:F448"/>
    <mergeCell ref="H445:H446"/>
    <mergeCell ref="B495:F496"/>
    <mergeCell ref="G499:G500"/>
    <mergeCell ref="B457:F458"/>
    <mergeCell ref="B409:F410"/>
    <mergeCell ref="B471:F472"/>
    <mergeCell ref="H479:H480"/>
    <mergeCell ref="G481:G482"/>
    <mergeCell ref="B461:F462"/>
    <mergeCell ref="B465:F466"/>
    <mergeCell ref="B451:F452"/>
    <mergeCell ref="B469:F470"/>
    <mergeCell ref="G445:G446"/>
    <mergeCell ref="H447:H448"/>
    <mergeCell ref="G425:G426"/>
    <mergeCell ref="B439:F440"/>
    <mergeCell ref="B425:F426"/>
    <mergeCell ref="B423:F424"/>
    <mergeCell ref="H413:H414"/>
    <mergeCell ref="B473:F474"/>
    <mergeCell ref="G451:G452"/>
    <mergeCell ref="B431:F432"/>
    <mergeCell ref="B501:F502"/>
    <mergeCell ref="G485:G486"/>
    <mergeCell ref="H437:H438"/>
    <mergeCell ref="B421:F422"/>
    <mergeCell ref="B467:F468"/>
    <mergeCell ref="B453:F454"/>
    <mergeCell ref="B505:F506"/>
    <mergeCell ref="B463:F464"/>
    <mergeCell ref="H439:H440"/>
    <mergeCell ref="B339:F340"/>
    <mergeCell ref="C3:J5"/>
    <mergeCell ref="J85:J86"/>
    <mergeCell ref="H71:H72"/>
    <mergeCell ref="G69:G70"/>
    <mergeCell ref="H69:H70"/>
    <mergeCell ref="B17:F18"/>
    <mergeCell ref="B31:F32"/>
    <mergeCell ref="H21:H22"/>
    <mergeCell ref="G15:G16"/>
    <mergeCell ref="I15:I16"/>
    <mergeCell ref="B39:F40"/>
    <mergeCell ref="H51:H52"/>
    <mergeCell ref="H39:H40"/>
    <mergeCell ref="G25:G26"/>
    <mergeCell ref="H45:H46"/>
    <mergeCell ref="H49:H50"/>
    <mergeCell ref="G39:G40"/>
    <mergeCell ref="B53:F54"/>
    <mergeCell ref="G9:G10"/>
    <mergeCell ref="B13:F14"/>
    <mergeCell ref="G13:G14"/>
    <mergeCell ref="B11:F12"/>
    <mergeCell ref="D6:J7"/>
    <mergeCell ref="B9:F10"/>
    <mergeCell ref="B15:F16"/>
    <mergeCell ref="H157:H158"/>
    <mergeCell ref="I425:I426"/>
    <mergeCell ref="G85:G86"/>
    <mergeCell ref="H75:H76"/>
    <mergeCell ref="K17:K18"/>
    <mergeCell ref="B41:F42"/>
    <mergeCell ref="B73:F74"/>
    <mergeCell ref="B21:F22"/>
    <mergeCell ref="G37:G38"/>
    <mergeCell ref="G55:G56"/>
    <mergeCell ref="H19:H20"/>
    <mergeCell ref="H77:H78"/>
    <mergeCell ref="B27:F28"/>
    <mergeCell ref="G29:G30"/>
    <mergeCell ref="H41:H42"/>
    <mergeCell ref="G71:G72"/>
    <mergeCell ref="B63:F64"/>
    <mergeCell ref="H85:H86"/>
    <mergeCell ref="H65:H66"/>
    <mergeCell ref="H61:H62"/>
    <mergeCell ref="G57:G58"/>
    <mergeCell ref="H63:H64"/>
    <mergeCell ref="H17:H18"/>
    <mergeCell ref="K67:K68"/>
    <mergeCell ref="H55:H56"/>
    <mergeCell ref="B59:F60"/>
    <mergeCell ref="B23:F24"/>
    <mergeCell ref="G153:G154"/>
    <mergeCell ref="B395:F396"/>
    <mergeCell ref="B335:F336"/>
    <mergeCell ref="G335:G336"/>
    <mergeCell ref="G17:G18"/>
    <mergeCell ref="I19:I20"/>
    <mergeCell ref="G43:G44"/>
    <mergeCell ref="H43:H44"/>
    <mergeCell ref="B25:F26"/>
    <mergeCell ref="B83:F84"/>
    <mergeCell ref="B65:F66"/>
    <mergeCell ref="G65:G66"/>
    <mergeCell ref="G63:G64"/>
    <mergeCell ref="B55:F56"/>
    <mergeCell ref="G61:G62"/>
    <mergeCell ref="B49:F50"/>
    <mergeCell ref="B37:F38"/>
    <mergeCell ref="G27:G28"/>
    <mergeCell ref="B45:F46"/>
    <mergeCell ref="G45:G46"/>
    <mergeCell ref="H53:H54"/>
    <mergeCell ref="B61:F62"/>
    <mergeCell ref="G53:G54"/>
    <mergeCell ref="G31:G32"/>
    <mergeCell ref="B67:F68"/>
    <mergeCell ref="G73:G74"/>
    <mergeCell ref="B77:F78"/>
    <mergeCell ref="B81:F82"/>
    <mergeCell ref="B75:F76"/>
    <mergeCell ref="B79:F80"/>
    <mergeCell ref="B51:F52"/>
    <mergeCell ref="B57:F58"/>
    <mergeCell ref="B69:F70"/>
    <mergeCell ref="G83:G84"/>
    <mergeCell ref="B43:F44"/>
    <mergeCell ref="G79:G80"/>
    <mergeCell ref="B71:F72"/>
    <mergeCell ref="G81:G82"/>
    <mergeCell ref="B29:F30"/>
    <mergeCell ref="G21:G22"/>
    <mergeCell ref="H81:H82"/>
    <mergeCell ref="I9:I10"/>
    <mergeCell ref="J15:J16"/>
    <mergeCell ref="J47:J48"/>
    <mergeCell ref="H57:H58"/>
    <mergeCell ref="G49:G50"/>
    <mergeCell ref="H27:H28"/>
    <mergeCell ref="I21:I22"/>
    <mergeCell ref="J21:J22"/>
    <mergeCell ref="J27:J28"/>
    <mergeCell ref="J77:J78"/>
    <mergeCell ref="J71:J72"/>
    <mergeCell ref="J73:J74"/>
    <mergeCell ref="J39:J40"/>
    <mergeCell ref="J43:J44"/>
    <mergeCell ref="G77:G78"/>
    <mergeCell ref="H23:H24"/>
    <mergeCell ref="H25:H26"/>
    <mergeCell ref="J23:J24"/>
    <mergeCell ref="I25:I26"/>
    <mergeCell ref="I51:I52"/>
    <mergeCell ref="J51:J52"/>
    <mergeCell ref="I53:I54"/>
    <mergeCell ref="B19:F20"/>
    <mergeCell ref="G59:G60"/>
    <mergeCell ref="H59:H60"/>
    <mergeCell ref="G33:G34"/>
    <mergeCell ref="I55:I56"/>
    <mergeCell ref="G19:G20"/>
    <mergeCell ref="J55:J56"/>
    <mergeCell ref="J65:J66"/>
    <mergeCell ref="K31:K32"/>
    <mergeCell ref="K21:K22"/>
    <mergeCell ref="K63:K64"/>
    <mergeCell ref="K35:K36"/>
    <mergeCell ref="K59:K60"/>
    <mergeCell ref="J25:J26"/>
    <mergeCell ref="K27:K28"/>
    <mergeCell ref="G51:G52"/>
    <mergeCell ref="G35:G36"/>
    <mergeCell ref="G47:G48"/>
    <mergeCell ref="H37:H38"/>
    <mergeCell ref="G41:G42"/>
    <mergeCell ref="G23:G24"/>
    <mergeCell ref="B33:F34"/>
    <mergeCell ref="B47:F48"/>
    <mergeCell ref="B35:F36"/>
    <mergeCell ref="G75:G76"/>
    <mergeCell ref="H79:H80"/>
    <mergeCell ref="H83:H84"/>
    <mergeCell ref="H47:H48"/>
    <mergeCell ref="I59:I60"/>
    <mergeCell ref="I75:I76"/>
    <mergeCell ref="J57:J58"/>
    <mergeCell ref="J69:J70"/>
    <mergeCell ref="I27:I28"/>
    <mergeCell ref="I83:I84"/>
    <mergeCell ref="J81:J82"/>
    <mergeCell ref="K65:K66"/>
    <mergeCell ref="J45:J46"/>
    <mergeCell ref="K41:K42"/>
    <mergeCell ref="K39:K40"/>
    <mergeCell ref="K33:K34"/>
    <mergeCell ref="K49:K50"/>
    <mergeCell ref="K53:K54"/>
    <mergeCell ref="I77:I78"/>
    <mergeCell ref="K81:K82"/>
    <mergeCell ref="I47:I48"/>
    <mergeCell ref="J33:J34"/>
    <mergeCell ref="J41:J42"/>
    <mergeCell ref="K83:K84"/>
    <mergeCell ref="I81:I82"/>
    <mergeCell ref="J83:J84"/>
    <mergeCell ref="I69:I70"/>
    <mergeCell ref="H29:H30"/>
    <mergeCell ref="H73:H74"/>
    <mergeCell ref="I17:I18"/>
    <mergeCell ref="I37:I38"/>
    <mergeCell ref="K37:K38"/>
    <mergeCell ref="I73:I74"/>
    <mergeCell ref="I79:I80"/>
    <mergeCell ref="I39:I40"/>
    <mergeCell ref="I41:I42"/>
    <mergeCell ref="I35:I36"/>
    <mergeCell ref="I43:I44"/>
    <mergeCell ref="J49:J50"/>
    <mergeCell ref="K25:K26"/>
    <mergeCell ref="J59:J60"/>
    <mergeCell ref="K51:K52"/>
    <mergeCell ref="K77:K78"/>
    <mergeCell ref="J17:J18"/>
    <mergeCell ref="K45:K46"/>
    <mergeCell ref="I13:I14"/>
    <mergeCell ref="I49:I50"/>
    <mergeCell ref="K19:K20"/>
    <mergeCell ref="K87:K88"/>
    <mergeCell ref="K61:K62"/>
    <mergeCell ref="I61:I62"/>
    <mergeCell ref="G91:G92"/>
    <mergeCell ref="H9:H10"/>
    <mergeCell ref="I57:I58"/>
    <mergeCell ref="J75:J76"/>
    <mergeCell ref="I45:I46"/>
    <mergeCell ref="K15:K16"/>
    <mergeCell ref="K11:K12"/>
    <mergeCell ref="H33:H34"/>
    <mergeCell ref="K75:K76"/>
    <mergeCell ref="I29:I30"/>
    <mergeCell ref="G109:G110"/>
    <mergeCell ref="H109:H110"/>
    <mergeCell ref="K23:K24"/>
    <mergeCell ref="I31:I32"/>
    <mergeCell ref="J29:J30"/>
    <mergeCell ref="I71:I72"/>
    <mergeCell ref="I63:I64"/>
    <mergeCell ref="I65:I66"/>
    <mergeCell ref="J13:J14"/>
    <mergeCell ref="J53:J54"/>
    <mergeCell ref="J63:J64"/>
    <mergeCell ref="K69:K70"/>
    <mergeCell ref="K57:K58"/>
    <mergeCell ref="J37:J38"/>
    <mergeCell ref="K9:K10"/>
    <mergeCell ref="K29:K30"/>
    <mergeCell ref="J31:J32"/>
    <mergeCell ref="I33:I34"/>
    <mergeCell ref="H35:H36"/>
    <mergeCell ref="G105:G106"/>
    <mergeCell ref="H105:H106"/>
    <mergeCell ref="B113:F114"/>
    <mergeCell ref="B115:F116"/>
    <mergeCell ref="B117:F118"/>
    <mergeCell ref="G99:G100"/>
    <mergeCell ref="B99:F100"/>
    <mergeCell ref="B105:F106"/>
    <mergeCell ref="B121:F122"/>
    <mergeCell ref="H95:H96"/>
    <mergeCell ref="B89:F90"/>
    <mergeCell ref="G95:G96"/>
    <mergeCell ref="B123:F124"/>
    <mergeCell ref="G129:G130"/>
    <mergeCell ref="G133:G134"/>
    <mergeCell ref="J113:J114"/>
    <mergeCell ref="J111:J112"/>
    <mergeCell ref="J129:J130"/>
    <mergeCell ref="J105:J106"/>
    <mergeCell ref="H133:H134"/>
    <mergeCell ref="H125:H126"/>
    <mergeCell ref="H111:H112"/>
    <mergeCell ref="G119:G120"/>
    <mergeCell ref="H113:H114"/>
    <mergeCell ref="I117:I118"/>
    <mergeCell ref="B125:F126"/>
    <mergeCell ref="H121:H122"/>
    <mergeCell ref="J125:J126"/>
    <mergeCell ref="G131:G132"/>
    <mergeCell ref="I131:I132"/>
    <mergeCell ref="H131:H132"/>
    <mergeCell ref="H127:H128"/>
    <mergeCell ref="H129:H130"/>
    <mergeCell ref="H13:H14"/>
    <mergeCell ref="H15:H16"/>
    <mergeCell ref="J35:J36"/>
    <mergeCell ref="J145:J146"/>
    <mergeCell ref="K79:K80"/>
    <mergeCell ref="J61:J62"/>
    <mergeCell ref="J79:J80"/>
    <mergeCell ref="K89:K90"/>
    <mergeCell ref="I85:I86"/>
    <mergeCell ref="I87:I88"/>
    <mergeCell ref="K43:K44"/>
    <mergeCell ref="K73:K74"/>
    <mergeCell ref="K71:K72"/>
    <mergeCell ref="K55:K56"/>
    <mergeCell ref="K47:K48"/>
    <mergeCell ref="J143:J144"/>
    <mergeCell ref="J109:J110"/>
    <mergeCell ref="K99:K100"/>
    <mergeCell ref="H31:H32"/>
    <mergeCell ref="I23:I24"/>
    <mergeCell ref="K13:K14"/>
    <mergeCell ref="J19:J20"/>
    <mergeCell ref="K123:K124"/>
    <mergeCell ref="K119:K120"/>
    <mergeCell ref="K107:K108"/>
    <mergeCell ref="K117:K118"/>
    <mergeCell ref="H87:H88"/>
    <mergeCell ref="K101:K102"/>
    <mergeCell ref="K125:K126"/>
    <mergeCell ref="K105:K106"/>
    <mergeCell ref="K85:K86"/>
    <mergeCell ref="G89:G90"/>
    <mergeCell ref="G87:G88"/>
    <mergeCell ref="K139:K140"/>
    <mergeCell ref="K141:K142"/>
    <mergeCell ref="B111:F112"/>
    <mergeCell ref="J139:J140"/>
    <mergeCell ref="K147:K148"/>
    <mergeCell ref="K109:K110"/>
    <mergeCell ref="K137:K138"/>
    <mergeCell ref="I127:I128"/>
    <mergeCell ref="J93:J94"/>
    <mergeCell ref="I91:I92"/>
    <mergeCell ref="I101:I102"/>
    <mergeCell ref="I99:I100"/>
    <mergeCell ref="K95:K96"/>
    <mergeCell ref="J95:J96"/>
    <mergeCell ref="I93:I94"/>
    <mergeCell ref="I97:I98"/>
    <mergeCell ref="K91:K92"/>
    <mergeCell ref="J133:J134"/>
    <mergeCell ref="J107:J108"/>
    <mergeCell ref="K93:K94"/>
    <mergeCell ref="K97:K98"/>
    <mergeCell ref="J115:J116"/>
    <mergeCell ref="J141:J142"/>
    <mergeCell ref="I89:I90"/>
    <mergeCell ref="I125:I126"/>
    <mergeCell ref="J91:J92"/>
    <mergeCell ref="J99:J100"/>
    <mergeCell ref="J101:J102"/>
    <mergeCell ref="J121:J122"/>
    <mergeCell ref="K121:K122"/>
    <mergeCell ref="J157:J158"/>
    <mergeCell ref="J177:J178"/>
    <mergeCell ref="J189:J190"/>
    <mergeCell ref="K173:K174"/>
    <mergeCell ref="K199:K200"/>
    <mergeCell ref="J127:J128"/>
    <mergeCell ref="I133:I134"/>
    <mergeCell ref="K143:K144"/>
    <mergeCell ref="K127:K128"/>
    <mergeCell ref="K145:K146"/>
    <mergeCell ref="K131:K132"/>
    <mergeCell ref="I135:I136"/>
    <mergeCell ref="J155:J156"/>
    <mergeCell ref="I151:I152"/>
    <mergeCell ref="J153:J154"/>
    <mergeCell ref="K189:K190"/>
    <mergeCell ref="J165:J166"/>
    <mergeCell ref="K163:K164"/>
    <mergeCell ref="J183:J184"/>
    <mergeCell ref="I185:I186"/>
    <mergeCell ref="K195:K196"/>
    <mergeCell ref="K191:K192"/>
    <mergeCell ref="K181:K182"/>
    <mergeCell ref="J193:J194"/>
    <mergeCell ref="J161:J162"/>
    <mergeCell ref="K165:K166"/>
    <mergeCell ref="K161:K162"/>
    <mergeCell ref="K185:K186"/>
    <mergeCell ref="I161:I162"/>
    <mergeCell ref="I207:I208"/>
    <mergeCell ref="J171:J172"/>
    <mergeCell ref="K149:K150"/>
    <mergeCell ref="I153:I154"/>
    <mergeCell ref="I121:I122"/>
    <mergeCell ref="K135:K136"/>
    <mergeCell ref="J119:J120"/>
    <mergeCell ref="J137:J138"/>
    <mergeCell ref="I143:I144"/>
    <mergeCell ref="I105:I106"/>
    <mergeCell ref="I113:I114"/>
    <mergeCell ref="J87:J88"/>
    <mergeCell ref="J97:J98"/>
    <mergeCell ref="I111:I112"/>
    <mergeCell ref="I149:I150"/>
    <mergeCell ref="J89:J90"/>
    <mergeCell ref="J149:J150"/>
    <mergeCell ref="J131:J132"/>
    <mergeCell ref="I129:I130"/>
    <mergeCell ref="J195:J196"/>
    <mergeCell ref="J181:J182"/>
    <mergeCell ref="J169:J170"/>
    <mergeCell ref="J135:J136"/>
    <mergeCell ref="K183:K184"/>
    <mergeCell ref="J205:J206"/>
    <mergeCell ref="K179:K180"/>
    <mergeCell ref="K201:K202"/>
    <mergeCell ref="J201:J202"/>
    <mergeCell ref="J203:J204"/>
    <mergeCell ref="K187:K188"/>
    <mergeCell ref="K157:K158"/>
    <mergeCell ref="K155:K156"/>
    <mergeCell ref="K215:K216"/>
    <mergeCell ref="K169:K170"/>
    <mergeCell ref="K211:K212"/>
    <mergeCell ref="K129:K130"/>
    <mergeCell ref="K151:K152"/>
    <mergeCell ref="K159:K160"/>
    <mergeCell ref="K153:K154"/>
    <mergeCell ref="J147:J148"/>
    <mergeCell ref="J163:J164"/>
    <mergeCell ref="K167:K168"/>
    <mergeCell ref="K213:K214"/>
    <mergeCell ref="K197:K198"/>
    <mergeCell ref="K205:K206"/>
    <mergeCell ref="K279:K280"/>
    <mergeCell ref="K225:K226"/>
    <mergeCell ref="K171:K172"/>
    <mergeCell ref="J207:J208"/>
    <mergeCell ref="K193:K194"/>
    <mergeCell ref="J167:J168"/>
    <mergeCell ref="K239:K240"/>
    <mergeCell ref="J217:J218"/>
    <mergeCell ref="J225:J226"/>
    <mergeCell ref="K251:K252"/>
    <mergeCell ref="K209:K210"/>
    <mergeCell ref="K207:K208"/>
    <mergeCell ref="J215:J216"/>
    <mergeCell ref="J211:J212"/>
    <mergeCell ref="K233:K234"/>
    <mergeCell ref="J231:J232"/>
    <mergeCell ref="J227:J228"/>
    <mergeCell ref="K265:K266"/>
    <mergeCell ref="K259:K260"/>
    <mergeCell ref="G449:G450"/>
    <mergeCell ref="H449:H450"/>
    <mergeCell ref="I449:I450"/>
    <mergeCell ref="J449:J450"/>
    <mergeCell ref="K449:K450"/>
    <mergeCell ref="G471:G472"/>
    <mergeCell ref="H491:H492"/>
    <mergeCell ref="K459:K460"/>
    <mergeCell ref="K457:K458"/>
    <mergeCell ref="K447:K448"/>
    <mergeCell ref="K463:K464"/>
    <mergeCell ref="K451:K452"/>
    <mergeCell ref="K473:K474"/>
    <mergeCell ref="K483:K484"/>
    <mergeCell ref="K479:K480"/>
    <mergeCell ref="B477:F478"/>
    <mergeCell ref="H467:H468"/>
    <mergeCell ref="I467:I468"/>
    <mergeCell ref="B491:F492"/>
    <mergeCell ref="H469:H470"/>
    <mergeCell ref="B459:F460"/>
    <mergeCell ref="B485:F486"/>
    <mergeCell ref="G447:G448"/>
    <mergeCell ref="G457:G458"/>
    <mergeCell ref="G461:G462"/>
    <mergeCell ref="I469:I470"/>
    <mergeCell ref="K477:K478"/>
    <mergeCell ref="I465:I466"/>
    <mergeCell ref="I473:I474"/>
    <mergeCell ref="K475:K476"/>
    <mergeCell ref="K467:K468"/>
    <mergeCell ref="J469:J470"/>
    <mergeCell ref="G521:G522"/>
    <mergeCell ref="G491:G492"/>
    <mergeCell ref="K501:K502"/>
    <mergeCell ref="I495:I496"/>
    <mergeCell ref="G469:G470"/>
    <mergeCell ref="I489:I490"/>
    <mergeCell ref="I485:I486"/>
    <mergeCell ref="H487:H488"/>
    <mergeCell ref="I487:I488"/>
    <mergeCell ref="I483:I484"/>
    <mergeCell ref="H495:H496"/>
    <mergeCell ref="I491:I492"/>
    <mergeCell ref="J491:J492"/>
    <mergeCell ref="H489:H490"/>
    <mergeCell ref="I503:I504"/>
    <mergeCell ref="H493:H494"/>
    <mergeCell ref="J489:J490"/>
    <mergeCell ref="J511:J512"/>
    <mergeCell ref="I513:I514"/>
    <mergeCell ref="J521:J522"/>
    <mergeCell ref="G501:G502"/>
    <mergeCell ref="J505:J506"/>
    <mergeCell ref="H505:H506"/>
    <mergeCell ref="K491:K492"/>
    <mergeCell ref="J493:J494"/>
    <mergeCell ref="G489:G490"/>
    <mergeCell ref="J495:J496"/>
    <mergeCell ref="K471:K472"/>
    <mergeCell ref="K487:K488"/>
    <mergeCell ref="K489:K490"/>
    <mergeCell ref="I479:I480"/>
    <mergeCell ref="J485:J486"/>
    <mergeCell ref="H485:H486"/>
    <mergeCell ref="I497:I498"/>
    <mergeCell ref="J497:J498"/>
    <mergeCell ref="H483:H484"/>
    <mergeCell ref="G497:G498"/>
    <mergeCell ref="H497:H498"/>
    <mergeCell ref="B475:F476"/>
    <mergeCell ref="J487:J488"/>
    <mergeCell ref="J467:J468"/>
    <mergeCell ref="J481:J482"/>
    <mergeCell ref="J483:J484"/>
    <mergeCell ref="H477:H478"/>
    <mergeCell ref="J471:J472"/>
    <mergeCell ref="I477:I478"/>
    <mergeCell ref="I493:I494"/>
    <mergeCell ref="B481:F482"/>
    <mergeCell ref="B483:F484"/>
    <mergeCell ref="J477:J478"/>
    <mergeCell ref="G493:G494"/>
    <mergeCell ref="G479:G480"/>
    <mergeCell ref="G483:G484"/>
    <mergeCell ref="I471:I472"/>
    <mergeCell ref="H473:H474"/>
    <mergeCell ref="B479:F480"/>
    <mergeCell ref="B489:F490"/>
    <mergeCell ref="J479:J480"/>
    <mergeCell ref="J475:J476"/>
    <mergeCell ref="G431:G432"/>
    <mergeCell ref="H471:H472"/>
    <mergeCell ref="I461:I462"/>
    <mergeCell ref="H461:H462"/>
    <mergeCell ref="J435:J436"/>
    <mergeCell ref="J429:J430"/>
    <mergeCell ref="I443:I444"/>
    <mergeCell ref="J443:J444"/>
    <mergeCell ref="J431:J432"/>
    <mergeCell ref="J437:J438"/>
    <mergeCell ref="J441:J442"/>
    <mergeCell ref="I433:I434"/>
    <mergeCell ref="I441:I442"/>
    <mergeCell ref="B497:F498"/>
    <mergeCell ref="G475:G476"/>
    <mergeCell ref="H481:H482"/>
    <mergeCell ref="B487:F488"/>
    <mergeCell ref="H431:H432"/>
    <mergeCell ref="J457:J458"/>
    <mergeCell ref="I457:I458"/>
    <mergeCell ref="J447:J448"/>
    <mergeCell ref="J433:J434"/>
    <mergeCell ref="I463:I464"/>
    <mergeCell ref="I439:I440"/>
    <mergeCell ref="I431:I432"/>
    <mergeCell ref="I435:I436"/>
    <mergeCell ref="G439:G440"/>
    <mergeCell ref="B455:F456"/>
    <mergeCell ref="I445:I446"/>
    <mergeCell ref="B449:F450"/>
    <mergeCell ref="B103:F104"/>
    <mergeCell ref="G103:G104"/>
    <mergeCell ref="H103:H104"/>
    <mergeCell ref="I103:I104"/>
    <mergeCell ref="J103:J104"/>
    <mergeCell ref="K103:K104"/>
    <mergeCell ref="B499:F500"/>
    <mergeCell ref="B493:F494"/>
    <mergeCell ref="G495:G496"/>
    <mergeCell ref="G463:G464"/>
    <mergeCell ref="H463:H464"/>
    <mergeCell ref="G477:G478"/>
    <mergeCell ref="G467:G468"/>
    <mergeCell ref="G487:G488"/>
    <mergeCell ref="G401:G402"/>
    <mergeCell ref="G405:G406"/>
    <mergeCell ref="H465:H466"/>
    <mergeCell ref="G465:G466"/>
    <mergeCell ref="J473:J474"/>
    <mergeCell ref="H475:H476"/>
    <mergeCell ref="I447:I448"/>
    <mergeCell ref="I451:I452"/>
    <mergeCell ref="I481:I482"/>
    <mergeCell ref="J463:J464"/>
    <mergeCell ref="H335:H336"/>
    <mergeCell ref="I335:I336"/>
    <mergeCell ref="K335:K336"/>
    <mergeCell ref="G435:G436"/>
    <mergeCell ref="G473:G474"/>
    <mergeCell ref="H433:H434"/>
    <mergeCell ref="H457:H458"/>
    <mergeCell ref="J451:J452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1"/>
  <dimension ref="A1:L56"/>
  <sheetViews>
    <sheetView showGridLines="0" view="pageBreakPreview" zoomScaleNormal="100" workbookViewId="0"/>
  </sheetViews>
  <sheetFormatPr defaultColWidth="9.109375" defaultRowHeight="13.2" x14ac:dyDescent="0.25"/>
  <cols>
    <col min="1" max="1" width="9.109375" style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8.88671875" customWidth="1"/>
    <col min="13" max="16384" width="9.109375" style="1"/>
  </cols>
  <sheetData>
    <row r="1" spans="2:12" ht="12" customHeight="1" x14ac:dyDescent="0.25"/>
    <row r="2" spans="2:12" ht="12" customHeight="1" x14ac:dyDescent="0.25"/>
    <row r="3" spans="2:12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2:12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2:12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2:12" ht="12" customHeight="1" x14ac:dyDescent="0.25">
      <c r="D6" s="227" t="s">
        <v>432</v>
      </c>
      <c r="E6" s="227"/>
      <c r="F6" s="227"/>
      <c r="G6" s="227"/>
      <c r="H6" s="227"/>
      <c r="I6" s="227"/>
      <c r="J6" s="227"/>
    </row>
    <row r="7" spans="2:12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2:12" ht="12" customHeight="1" x14ac:dyDescent="0.25">
      <c r="B8" s="2"/>
    </row>
    <row r="9" spans="2:12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2:12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2:12" s="45" customFormat="1" ht="8.5500000000000007" customHeight="1" x14ac:dyDescent="0.2">
      <c r="B11" s="401" t="s">
        <v>588</v>
      </c>
      <c r="C11" s="156"/>
      <c r="D11" s="156"/>
      <c r="E11" s="156"/>
      <c r="F11" s="156"/>
      <c r="G11" s="251">
        <v>1970</v>
      </c>
      <c r="H11" s="167">
        <v>93</v>
      </c>
      <c r="I11" s="160"/>
      <c r="J11" s="56"/>
      <c r="K11" s="164">
        <v>2</v>
      </c>
      <c r="L11" s="43"/>
    </row>
    <row r="12" spans="2:12" s="45" customFormat="1" ht="8.5500000000000007" customHeight="1" x14ac:dyDescent="0.2">
      <c r="B12" s="158"/>
      <c r="C12" s="158"/>
      <c r="D12" s="158"/>
      <c r="E12" s="158"/>
      <c r="F12" s="158"/>
      <c r="G12" s="252"/>
      <c r="H12" s="168"/>
      <c r="I12" s="161"/>
      <c r="J12" s="57"/>
      <c r="K12" s="165"/>
      <c r="L12" s="43"/>
    </row>
    <row r="13" spans="2:12" s="45" customFormat="1" ht="8.5500000000000007" customHeight="1" x14ac:dyDescent="0.2">
      <c r="B13" s="401" t="s">
        <v>588</v>
      </c>
      <c r="C13" s="156"/>
      <c r="D13" s="156"/>
      <c r="E13" s="156"/>
      <c r="F13" s="156"/>
      <c r="G13" s="251">
        <v>1976</v>
      </c>
      <c r="H13" s="60"/>
      <c r="I13" s="160">
        <v>91</v>
      </c>
      <c r="J13" s="56"/>
      <c r="K13" s="164">
        <v>1</v>
      </c>
      <c r="L13" s="43"/>
    </row>
    <row r="14" spans="2:12" s="45" customFormat="1" ht="8.5500000000000007" customHeight="1" x14ac:dyDescent="0.2">
      <c r="B14" s="158"/>
      <c r="C14" s="158"/>
      <c r="D14" s="158"/>
      <c r="E14" s="158"/>
      <c r="F14" s="158"/>
      <c r="G14" s="252"/>
      <c r="H14" s="61"/>
      <c r="I14" s="161"/>
      <c r="J14" s="57"/>
      <c r="K14" s="165"/>
      <c r="L14" s="43"/>
    </row>
    <row r="15" spans="2:12" s="45" customFormat="1" ht="8.5500000000000007" customHeight="1" x14ac:dyDescent="0.2">
      <c r="B15" s="401" t="s">
        <v>588</v>
      </c>
      <c r="C15" s="156"/>
      <c r="D15" s="156"/>
      <c r="E15" s="156"/>
      <c r="F15" s="156"/>
      <c r="G15" s="251">
        <v>1991</v>
      </c>
      <c r="H15" s="167">
        <v>93</v>
      </c>
      <c r="I15" s="160">
        <v>93</v>
      </c>
      <c r="J15" s="56"/>
      <c r="K15" s="164">
        <v>1</v>
      </c>
      <c r="L15" s="43"/>
    </row>
    <row r="16" spans="2:12" s="45" customFormat="1" ht="8.5500000000000007" customHeight="1" x14ac:dyDescent="0.2">
      <c r="B16" s="158"/>
      <c r="C16" s="158"/>
      <c r="D16" s="158"/>
      <c r="E16" s="158"/>
      <c r="F16" s="158"/>
      <c r="G16" s="252"/>
      <c r="H16" s="168"/>
      <c r="I16" s="161"/>
      <c r="J16" s="57"/>
      <c r="K16" s="165"/>
      <c r="L16" s="43"/>
    </row>
    <row r="17" spans="2:12" s="45" customFormat="1" ht="8.5500000000000007" customHeight="1" x14ac:dyDescent="0.2">
      <c r="B17" s="401" t="s">
        <v>1316</v>
      </c>
      <c r="C17" s="156"/>
      <c r="D17" s="156"/>
      <c r="E17" s="156"/>
      <c r="F17" s="156"/>
      <c r="G17" s="251">
        <v>2003</v>
      </c>
      <c r="H17" s="167"/>
      <c r="I17" s="160"/>
      <c r="J17" s="56"/>
      <c r="K17" s="164">
        <v>1</v>
      </c>
      <c r="L17" s="43"/>
    </row>
    <row r="18" spans="2:12" s="45" customFormat="1" ht="8.5500000000000007" customHeight="1" x14ac:dyDescent="0.2">
      <c r="B18" s="158"/>
      <c r="C18" s="158"/>
      <c r="D18" s="158"/>
      <c r="E18" s="158"/>
      <c r="F18" s="158"/>
      <c r="G18" s="252"/>
      <c r="H18" s="168"/>
      <c r="I18" s="161"/>
      <c r="J18" s="57"/>
      <c r="K18" s="165"/>
      <c r="L18" s="43"/>
    </row>
    <row r="19" spans="2:12" s="45" customFormat="1" ht="8.5500000000000007" customHeight="1" x14ac:dyDescent="0.2">
      <c r="B19" s="401" t="s">
        <v>1316</v>
      </c>
      <c r="C19" s="156"/>
      <c r="D19" s="156"/>
      <c r="E19" s="156"/>
      <c r="F19" s="156"/>
      <c r="G19" s="251">
        <v>2005</v>
      </c>
      <c r="H19" s="167">
        <v>95</v>
      </c>
      <c r="I19" s="160"/>
      <c r="J19" s="56"/>
      <c r="K19" s="164">
        <v>1</v>
      </c>
      <c r="L19" s="43"/>
    </row>
    <row r="20" spans="2:12" s="45" customFormat="1" ht="8.5500000000000007" customHeight="1" x14ac:dyDescent="0.2">
      <c r="B20" s="158"/>
      <c r="C20" s="158"/>
      <c r="D20" s="158"/>
      <c r="E20" s="158"/>
      <c r="F20" s="158"/>
      <c r="G20" s="252"/>
      <c r="H20" s="168"/>
      <c r="I20" s="161"/>
      <c r="J20" s="57"/>
      <c r="K20" s="165"/>
      <c r="L20" s="43"/>
    </row>
    <row r="21" spans="2:12" s="45" customFormat="1" ht="8.5500000000000007" customHeight="1" x14ac:dyDescent="0.2">
      <c r="B21" s="401" t="s">
        <v>1316</v>
      </c>
      <c r="C21" s="156"/>
      <c r="D21" s="156"/>
      <c r="E21" s="156"/>
      <c r="F21" s="156"/>
      <c r="G21" s="251">
        <v>2006</v>
      </c>
      <c r="H21" s="167">
        <v>95</v>
      </c>
      <c r="I21" s="160"/>
      <c r="J21" s="209" t="s">
        <v>1591</v>
      </c>
      <c r="K21" s="164">
        <v>2</v>
      </c>
      <c r="L21" s="43"/>
    </row>
    <row r="22" spans="2:12" s="45" customFormat="1" ht="8.5500000000000007" customHeight="1" x14ac:dyDescent="0.2">
      <c r="B22" s="158"/>
      <c r="C22" s="158"/>
      <c r="D22" s="158"/>
      <c r="E22" s="158"/>
      <c r="F22" s="158"/>
      <c r="G22" s="252"/>
      <c r="H22" s="168"/>
      <c r="I22" s="161"/>
      <c r="J22" s="210"/>
      <c r="K22" s="165"/>
      <c r="L22" s="43"/>
    </row>
    <row r="23" spans="2:12" s="45" customFormat="1" ht="8.5500000000000007" customHeight="1" x14ac:dyDescent="0.2">
      <c r="B23" s="401" t="s">
        <v>392</v>
      </c>
      <c r="C23" s="401"/>
      <c r="D23" s="401"/>
      <c r="E23" s="401"/>
      <c r="F23" s="379"/>
      <c r="G23" s="251">
        <v>1986</v>
      </c>
      <c r="H23" s="167">
        <v>100</v>
      </c>
      <c r="I23" s="160"/>
      <c r="J23" s="209"/>
      <c r="K23" s="164">
        <v>1</v>
      </c>
      <c r="L23" s="43"/>
    </row>
    <row r="24" spans="2:12" s="45" customFormat="1" ht="8.5500000000000007" customHeight="1" x14ac:dyDescent="0.2">
      <c r="B24" s="380"/>
      <c r="C24" s="380"/>
      <c r="D24" s="380"/>
      <c r="E24" s="380"/>
      <c r="F24" s="381"/>
      <c r="G24" s="252"/>
      <c r="H24" s="168"/>
      <c r="I24" s="161"/>
      <c r="J24" s="210"/>
      <c r="K24" s="165"/>
      <c r="L24" s="43"/>
    </row>
    <row r="25" spans="2:12" s="45" customFormat="1" ht="8.5500000000000007" customHeight="1" x14ac:dyDescent="0.2">
      <c r="B25" s="401" t="s">
        <v>1321</v>
      </c>
      <c r="C25" s="401"/>
      <c r="D25" s="401"/>
      <c r="E25" s="401"/>
      <c r="F25" s="379"/>
      <c r="G25" s="251">
        <v>2009</v>
      </c>
      <c r="H25" s="167">
        <v>93</v>
      </c>
      <c r="I25" s="160"/>
      <c r="J25" s="209"/>
      <c r="K25" s="164">
        <v>4</v>
      </c>
      <c r="L25" s="43"/>
    </row>
    <row r="26" spans="2:12" s="45" customFormat="1" ht="8.5500000000000007" customHeight="1" x14ac:dyDescent="0.2">
      <c r="B26" s="380"/>
      <c r="C26" s="380"/>
      <c r="D26" s="380"/>
      <c r="E26" s="380"/>
      <c r="F26" s="381"/>
      <c r="G26" s="252"/>
      <c r="H26" s="168"/>
      <c r="I26" s="161"/>
      <c r="J26" s="210"/>
      <c r="K26" s="165"/>
      <c r="L26" s="43"/>
    </row>
    <row r="27" spans="2:12" s="45" customFormat="1" ht="8.5500000000000007" customHeight="1" x14ac:dyDescent="0.2">
      <c r="B27" s="401" t="s">
        <v>1350</v>
      </c>
      <c r="C27" s="401"/>
      <c r="D27" s="401"/>
      <c r="E27" s="401"/>
      <c r="F27" s="379"/>
      <c r="G27" s="251">
        <v>2012</v>
      </c>
      <c r="H27" s="167">
        <v>94</v>
      </c>
      <c r="I27" s="160"/>
      <c r="J27" s="209" t="s">
        <v>1592</v>
      </c>
      <c r="K27" s="164">
        <v>1</v>
      </c>
      <c r="L27" s="43"/>
    </row>
    <row r="28" spans="2:12" s="45" customFormat="1" ht="8.5500000000000007" customHeight="1" x14ac:dyDescent="0.2">
      <c r="B28" s="380"/>
      <c r="C28" s="380"/>
      <c r="D28" s="380"/>
      <c r="E28" s="380"/>
      <c r="F28" s="381"/>
      <c r="G28" s="252"/>
      <c r="H28" s="168"/>
      <c r="I28" s="161"/>
      <c r="J28" s="210"/>
      <c r="K28" s="165"/>
      <c r="L28" s="43"/>
    </row>
    <row r="29" spans="2:12" s="45" customFormat="1" ht="8.5500000000000007" customHeight="1" x14ac:dyDescent="0.2">
      <c r="B29" s="401" t="s">
        <v>1350</v>
      </c>
      <c r="C29" s="401"/>
      <c r="D29" s="401"/>
      <c r="E29" s="401"/>
      <c r="F29" s="379"/>
      <c r="G29" s="251">
        <v>2014</v>
      </c>
      <c r="H29" s="167" t="s">
        <v>1594</v>
      </c>
      <c r="I29" s="160"/>
      <c r="J29" s="209" t="s">
        <v>1593</v>
      </c>
      <c r="K29" s="164">
        <v>2</v>
      </c>
      <c r="L29" s="43"/>
    </row>
    <row r="30" spans="2:12" s="45" customFormat="1" ht="8.5500000000000007" customHeight="1" x14ac:dyDescent="0.2">
      <c r="B30" s="380"/>
      <c r="C30" s="380"/>
      <c r="D30" s="380"/>
      <c r="E30" s="380"/>
      <c r="F30" s="381"/>
      <c r="G30" s="252"/>
      <c r="H30" s="168"/>
      <c r="I30" s="161"/>
      <c r="J30" s="210"/>
      <c r="K30" s="165"/>
      <c r="L30" s="43"/>
    </row>
    <row r="31" spans="2:12" s="45" customFormat="1" ht="8.5500000000000007" customHeight="1" x14ac:dyDescent="0.2">
      <c r="B31" s="156" t="s">
        <v>1340</v>
      </c>
      <c r="C31" s="156"/>
      <c r="D31" s="156"/>
      <c r="E31" s="156"/>
      <c r="F31" s="157"/>
      <c r="G31" s="251">
        <v>2018</v>
      </c>
      <c r="H31" s="253"/>
      <c r="I31" s="284"/>
      <c r="J31" s="209"/>
      <c r="K31" s="164">
        <v>2</v>
      </c>
      <c r="L31" s="43"/>
    </row>
    <row r="32" spans="2:12" s="45" customFormat="1" ht="8.5500000000000007" customHeight="1" x14ac:dyDescent="0.2">
      <c r="B32" s="158"/>
      <c r="C32" s="158"/>
      <c r="D32" s="158"/>
      <c r="E32" s="158"/>
      <c r="F32" s="159"/>
      <c r="G32" s="252"/>
      <c r="H32" s="254"/>
      <c r="I32" s="285"/>
      <c r="J32" s="210"/>
      <c r="K32" s="165"/>
      <c r="L32" s="43"/>
    </row>
    <row r="33" spans="1:12" s="45" customFormat="1" ht="8.5500000000000007" customHeight="1" x14ac:dyDescent="0.2">
      <c r="B33" s="401"/>
      <c r="C33" s="156"/>
      <c r="D33" s="156"/>
      <c r="E33" s="156"/>
      <c r="F33" s="156"/>
      <c r="G33" s="251"/>
      <c r="H33" s="167"/>
      <c r="I33" s="160"/>
      <c r="J33" s="56"/>
      <c r="K33" s="234"/>
      <c r="L33" s="43"/>
    </row>
    <row r="34" spans="1:12" s="45" customFormat="1" ht="8.5500000000000007" customHeight="1" x14ac:dyDescent="0.2">
      <c r="B34" s="158"/>
      <c r="C34" s="158"/>
      <c r="D34" s="158"/>
      <c r="E34" s="158"/>
      <c r="F34" s="158"/>
      <c r="G34" s="252"/>
      <c r="H34" s="168"/>
      <c r="I34" s="161"/>
      <c r="J34" s="57"/>
      <c r="K34" s="235"/>
      <c r="L34" s="43"/>
    </row>
    <row r="35" spans="1:12" s="45" customFormat="1" ht="8.5500000000000007" customHeight="1" x14ac:dyDescent="0.2">
      <c r="A35" s="43"/>
      <c r="B35" s="170" t="s">
        <v>803</v>
      </c>
      <c r="C35" s="170"/>
      <c r="D35" s="170"/>
      <c r="E35" s="170"/>
      <c r="F35" s="170"/>
      <c r="G35" s="47"/>
      <c r="H35" s="47"/>
      <c r="I35" s="48"/>
      <c r="J35" s="48"/>
      <c r="K35" s="224">
        <v>18</v>
      </c>
      <c r="L35" s="43"/>
    </row>
    <row r="36" spans="1:12" s="45" customFormat="1" ht="8.5500000000000007" customHeight="1" x14ac:dyDescent="0.2">
      <c r="A36" s="43"/>
      <c r="B36" s="171"/>
      <c r="C36" s="171"/>
      <c r="D36" s="171"/>
      <c r="E36" s="171"/>
      <c r="F36" s="171"/>
      <c r="G36" s="54"/>
      <c r="H36" s="54"/>
      <c r="I36" s="49"/>
      <c r="J36" s="49"/>
      <c r="K36" s="225"/>
      <c r="L36" s="43"/>
    </row>
    <row r="37" spans="1:12" x14ac:dyDescent="0.25">
      <c r="B37" s="361"/>
      <c r="C37" s="355"/>
      <c r="D37" s="355"/>
      <c r="E37" s="355"/>
      <c r="F37" s="373"/>
      <c r="G37" s="352"/>
      <c r="H37" s="16"/>
      <c r="I37" s="26"/>
      <c r="J37" s="26"/>
      <c r="K37" s="350"/>
    </row>
    <row r="38" spans="1:12" x14ac:dyDescent="0.25">
      <c r="B38" s="356"/>
      <c r="C38" s="356"/>
      <c r="D38" s="356"/>
      <c r="E38" s="356"/>
      <c r="F38" s="374"/>
      <c r="G38" s="353"/>
      <c r="H38" s="17"/>
      <c r="I38" s="27"/>
      <c r="J38" s="27"/>
      <c r="K38" s="351"/>
    </row>
    <row r="39" spans="1:12" x14ac:dyDescent="0.25">
      <c r="B39" s="22"/>
      <c r="C39" s="22"/>
      <c r="D39" s="23"/>
      <c r="E39" s="18"/>
      <c r="F39" s="19"/>
      <c r="G39" s="16"/>
      <c r="H39" s="16"/>
      <c r="I39" s="26"/>
      <c r="J39" s="26"/>
      <c r="K39" s="42"/>
    </row>
    <row r="40" spans="1:12" x14ac:dyDescent="0.25">
      <c r="B40" s="24"/>
      <c r="C40" s="24"/>
      <c r="D40" s="25"/>
      <c r="E40" s="20"/>
      <c r="F40" s="21"/>
      <c r="G40" s="17"/>
      <c r="H40" s="17"/>
      <c r="I40" s="27"/>
      <c r="J40" s="27"/>
      <c r="K40" s="42"/>
    </row>
    <row r="41" spans="1:12" x14ac:dyDescent="0.25">
      <c r="H41" s="8"/>
      <c r="K41" s="7"/>
    </row>
    <row r="42" spans="1:12" x14ac:dyDescent="0.25">
      <c r="H42" s="8"/>
      <c r="K42" s="9"/>
    </row>
    <row r="43" spans="1:12" x14ac:dyDescent="0.25">
      <c r="H43" s="8"/>
    </row>
    <row r="44" spans="1:12" x14ac:dyDescent="0.25">
      <c r="H44" s="8"/>
    </row>
    <row r="45" spans="1:12" x14ac:dyDescent="0.25">
      <c r="H45" s="8"/>
    </row>
    <row r="46" spans="1:12" x14ac:dyDescent="0.25">
      <c r="H46" s="8"/>
    </row>
    <row r="47" spans="1:12" ht="12.6" x14ac:dyDescent="0.25">
      <c r="H47" s="8"/>
      <c r="L47" s="1"/>
    </row>
    <row r="48" spans="1:12" ht="12.6" x14ac:dyDescent="0.25">
      <c r="H48" s="8"/>
      <c r="L48" s="1"/>
    </row>
    <row r="49" spans="8:12" ht="12.6" x14ac:dyDescent="0.25">
      <c r="H49" s="8"/>
      <c r="L49" s="1"/>
    </row>
    <row r="50" spans="8:12" ht="12.6" x14ac:dyDescent="0.25">
      <c r="H50" s="8"/>
      <c r="L50" s="1"/>
    </row>
    <row r="51" spans="8:12" ht="12.6" x14ac:dyDescent="0.25">
      <c r="H51" s="8"/>
      <c r="L51" s="1"/>
    </row>
    <row r="52" spans="8:12" ht="12.6" x14ac:dyDescent="0.25">
      <c r="H52" s="8"/>
      <c r="L52" s="1"/>
    </row>
    <row r="53" spans="8:12" ht="12.6" x14ac:dyDescent="0.25">
      <c r="H53" s="8"/>
      <c r="L53" s="1"/>
    </row>
    <row r="54" spans="8:12" ht="12.6" x14ac:dyDescent="0.25">
      <c r="H54" s="8"/>
      <c r="L54" s="1"/>
    </row>
    <row r="55" spans="8:12" ht="12.6" x14ac:dyDescent="0.25">
      <c r="H55" s="8"/>
      <c r="L55" s="1"/>
    </row>
    <row r="56" spans="8:12" ht="12.6" x14ac:dyDescent="0.25">
      <c r="H56" s="8"/>
      <c r="L56" s="1"/>
    </row>
  </sheetData>
  <autoFilter ref="B3:L56" xr:uid="{00000000-0009-0000-0000-00000B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77">
    <mergeCell ref="H21:H22"/>
    <mergeCell ref="I21:I22"/>
    <mergeCell ref="J21:J22"/>
    <mergeCell ref="K19:K20"/>
    <mergeCell ref="H19:H20"/>
    <mergeCell ref="I19:I20"/>
    <mergeCell ref="B27:F28"/>
    <mergeCell ref="G27:G28"/>
    <mergeCell ref="H27:H28"/>
    <mergeCell ref="I27:I28"/>
    <mergeCell ref="J27:J28"/>
    <mergeCell ref="I25:I26"/>
    <mergeCell ref="J25:J26"/>
    <mergeCell ref="B23:F24"/>
    <mergeCell ref="G23:G24"/>
    <mergeCell ref="J23:J24"/>
    <mergeCell ref="K21:K22"/>
    <mergeCell ref="B21:F22"/>
    <mergeCell ref="G21:G22"/>
    <mergeCell ref="K13:K14"/>
    <mergeCell ref="G15:G16"/>
    <mergeCell ref="B17:F18"/>
    <mergeCell ref="G17:G18"/>
    <mergeCell ref="H17:H18"/>
    <mergeCell ref="K17:K18"/>
    <mergeCell ref="I17:I18"/>
    <mergeCell ref="K31:K32"/>
    <mergeCell ref="K27:K28"/>
    <mergeCell ref="C3:J5"/>
    <mergeCell ref="K11:K12"/>
    <mergeCell ref="D6:J7"/>
    <mergeCell ref="K9:K10"/>
    <mergeCell ref="G9:G10"/>
    <mergeCell ref="H9:H10"/>
    <mergeCell ref="I9:I10"/>
    <mergeCell ref="B11:F12"/>
    <mergeCell ref="B9:F10"/>
    <mergeCell ref="I11:I12"/>
    <mergeCell ref="G11:G12"/>
    <mergeCell ref="H11:H12"/>
    <mergeCell ref="I29:I30"/>
    <mergeCell ref="J29:J30"/>
    <mergeCell ref="K37:K38"/>
    <mergeCell ref="I13:I14"/>
    <mergeCell ref="K15:K16"/>
    <mergeCell ref="H33:H34"/>
    <mergeCell ref="I33:I34"/>
    <mergeCell ref="K33:K34"/>
    <mergeCell ref="H15:H16"/>
    <mergeCell ref="K35:K36"/>
    <mergeCell ref="K25:K26"/>
    <mergeCell ref="K23:K24"/>
    <mergeCell ref="H23:H24"/>
    <mergeCell ref="I23:I24"/>
    <mergeCell ref="I15:I16"/>
    <mergeCell ref="H25:H26"/>
    <mergeCell ref="K29:K30"/>
    <mergeCell ref="H29:H30"/>
    <mergeCell ref="B13:F14"/>
    <mergeCell ref="G13:G14"/>
    <mergeCell ref="B35:F36"/>
    <mergeCell ref="B15:F16"/>
    <mergeCell ref="B33:F34"/>
    <mergeCell ref="G33:G34"/>
    <mergeCell ref="B25:F26"/>
    <mergeCell ref="G25:G26"/>
    <mergeCell ref="B29:F30"/>
    <mergeCell ref="G29:G30"/>
    <mergeCell ref="B31:F32"/>
    <mergeCell ref="G31:G32"/>
    <mergeCell ref="B19:F20"/>
    <mergeCell ref="G19:G20"/>
    <mergeCell ref="H31:H32"/>
    <mergeCell ref="I31:I32"/>
    <mergeCell ref="J31:J32"/>
    <mergeCell ref="B37:F38"/>
    <mergeCell ref="G37:G38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2"/>
  <dimension ref="A1:M329"/>
  <sheetViews>
    <sheetView showGridLines="0" view="pageBreakPreview" topLeftCell="A106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9.109375" style="89"/>
    <col min="13" max="13" width="9.109375" style="90"/>
    <col min="14" max="16384" width="9.109375" style="1"/>
  </cols>
  <sheetData>
    <row r="1" spans="1:13" ht="12" customHeight="1" x14ac:dyDescent="0.25"/>
    <row r="2" spans="1:13" ht="12" customHeight="1" x14ac:dyDescent="0.25"/>
    <row r="3" spans="1:13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3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3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3" ht="12" customHeight="1" x14ac:dyDescent="0.25">
      <c r="D6" s="227" t="s">
        <v>431</v>
      </c>
      <c r="E6" s="227"/>
      <c r="F6" s="227"/>
      <c r="G6" s="227"/>
      <c r="H6" s="227"/>
      <c r="I6" s="227"/>
      <c r="J6" s="227"/>
    </row>
    <row r="7" spans="1:13" ht="12" customHeight="1" x14ac:dyDescent="0.25">
      <c r="B7" s="3" t="s">
        <v>85</v>
      </c>
      <c r="D7" s="227"/>
      <c r="E7" s="227"/>
      <c r="F7" s="227"/>
      <c r="G7" s="227"/>
      <c r="H7" s="227"/>
      <c r="I7" s="227"/>
      <c r="J7" s="227"/>
    </row>
    <row r="8" spans="1:13" ht="12" customHeight="1" x14ac:dyDescent="0.25">
      <c r="B8" s="2"/>
    </row>
    <row r="9" spans="1:13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3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3" s="45" customFormat="1" ht="8.5500000000000007" customHeight="1" x14ac:dyDescent="0.2">
      <c r="A11" s="43"/>
      <c r="B11" s="423" t="s">
        <v>93</v>
      </c>
      <c r="C11" s="423"/>
      <c r="D11" s="423"/>
      <c r="E11" s="423"/>
      <c r="F11" s="423"/>
      <c r="G11" s="178"/>
      <c r="H11" s="47"/>
      <c r="I11" s="48"/>
      <c r="J11" s="48"/>
      <c r="K11" s="222"/>
      <c r="L11" s="91"/>
      <c r="M11" s="92"/>
    </row>
    <row r="12" spans="1:13" s="45" customFormat="1" ht="8.5500000000000007" customHeight="1" x14ac:dyDescent="0.2">
      <c r="A12" s="43"/>
      <c r="B12" s="348"/>
      <c r="C12" s="348"/>
      <c r="D12" s="348"/>
      <c r="E12" s="348"/>
      <c r="F12" s="348"/>
      <c r="G12" s="178"/>
      <c r="H12" s="54"/>
      <c r="I12" s="49"/>
      <c r="J12" s="49"/>
      <c r="K12" s="165"/>
      <c r="L12" s="91"/>
      <c r="M12" s="92"/>
    </row>
    <row r="13" spans="1:13" s="45" customFormat="1" ht="8.5500000000000007" customHeight="1" x14ac:dyDescent="0.2">
      <c r="A13" s="43"/>
      <c r="B13" s="419" t="s">
        <v>555</v>
      </c>
      <c r="C13" s="420"/>
      <c r="D13" s="420"/>
      <c r="E13" s="420"/>
      <c r="F13" s="420"/>
      <c r="G13" s="417">
        <v>1965</v>
      </c>
      <c r="H13" s="406"/>
      <c r="I13" s="404"/>
      <c r="J13" s="424"/>
      <c r="K13" s="164">
        <v>1</v>
      </c>
      <c r="L13" s="91"/>
      <c r="M13" s="92"/>
    </row>
    <row r="14" spans="1:13" s="45" customFormat="1" ht="8.5500000000000007" customHeight="1" x14ac:dyDescent="0.2">
      <c r="A14" s="43"/>
      <c r="B14" s="421"/>
      <c r="C14" s="422"/>
      <c r="D14" s="422"/>
      <c r="E14" s="422"/>
      <c r="F14" s="422"/>
      <c r="G14" s="418"/>
      <c r="H14" s="407"/>
      <c r="I14" s="405"/>
      <c r="J14" s="407"/>
      <c r="K14" s="165"/>
      <c r="L14" s="91"/>
      <c r="M14" s="92"/>
    </row>
    <row r="15" spans="1:13" s="45" customFormat="1" ht="8.5500000000000007" customHeight="1" x14ac:dyDescent="0.2">
      <c r="A15" s="43"/>
      <c r="B15" s="419" t="s">
        <v>555</v>
      </c>
      <c r="C15" s="420"/>
      <c r="D15" s="420"/>
      <c r="E15" s="420"/>
      <c r="F15" s="420"/>
      <c r="G15" s="417">
        <v>1981</v>
      </c>
      <c r="H15" s="406">
        <v>90</v>
      </c>
      <c r="I15" s="404"/>
      <c r="J15" s="424"/>
      <c r="K15" s="164">
        <v>1</v>
      </c>
      <c r="L15" s="91"/>
      <c r="M15" s="92"/>
    </row>
    <row r="16" spans="1:13" s="45" customFormat="1" ht="8.5500000000000007" customHeight="1" x14ac:dyDescent="0.2">
      <c r="A16" s="43"/>
      <c r="B16" s="421"/>
      <c r="C16" s="422"/>
      <c r="D16" s="422"/>
      <c r="E16" s="422"/>
      <c r="F16" s="422"/>
      <c r="G16" s="418"/>
      <c r="H16" s="407"/>
      <c r="I16" s="405"/>
      <c r="J16" s="407"/>
      <c r="K16" s="165"/>
      <c r="L16" s="91"/>
      <c r="M16" s="92"/>
    </row>
    <row r="17" spans="1:13" s="45" customFormat="1" ht="8.5500000000000007" customHeight="1" x14ac:dyDescent="0.2">
      <c r="A17" s="43"/>
      <c r="B17" s="419" t="s">
        <v>555</v>
      </c>
      <c r="C17" s="420"/>
      <c r="D17" s="420"/>
      <c r="E17" s="420"/>
      <c r="F17" s="420"/>
      <c r="G17" s="417">
        <v>1982</v>
      </c>
      <c r="H17" s="406">
        <v>92</v>
      </c>
      <c r="I17" s="404"/>
      <c r="J17" s="424"/>
      <c r="K17" s="164">
        <v>1</v>
      </c>
      <c r="L17" s="91"/>
      <c r="M17" s="92"/>
    </row>
    <row r="18" spans="1:13" s="45" customFormat="1" ht="8.5500000000000007" customHeight="1" x14ac:dyDescent="0.2">
      <c r="A18" s="43"/>
      <c r="B18" s="421"/>
      <c r="C18" s="422"/>
      <c r="D18" s="422"/>
      <c r="E18" s="422"/>
      <c r="F18" s="422"/>
      <c r="G18" s="418"/>
      <c r="H18" s="407"/>
      <c r="I18" s="405"/>
      <c r="J18" s="407"/>
      <c r="K18" s="165"/>
      <c r="L18" s="91"/>
      <c r="M18" s="92"/>
    </row>
    <row r="19" spans="1:13" s="45" customFormat="1" ht="8.5500000000000007" customHeight="1" x14ac:dyDescent="0.2">
      <c r="A19" s="43"/>
      <c r="B19" s="419" t="s">
        <v>555</v>
      </c>
      <c r="C19" s="420"/>
      <c r="D19" s="420"/>
      <c r="E19" s="420"/>
      <c r="F19" s="420"/>
      <c r="G19" s="417">
        <v>1983</v>
      </c>
      <c r="H19" s="406"/>
      <c r="I19" s="404"/>
      <c r="J19" s="424"/>
      <c r="K19" s="164">
        <v>1</v>
      </c>
      <c r="L19" s="91"/>
      <c r="M19" s="92"/>
    </row>
    <row r="20" spans="1:13" s="45" customFormat="1" ht="8.5500000000000007" customHeight="1" x14ac:dyDescent="0.2">
      <c r="A20" s="43"/>
      <c r="B20" s="421"/>
      <c r="C20" s="422"/>
      <c r="D20" s="422"/>
      <c r="E20" s="422"/>
      <c r="F20" s="422"/>
      <c r="G20" s="418"/>
      <c r="H20" s="407"/>
      <c r="I20" s="405"/>
      <c r="J20" s="407"/>
      <c r="K20" s="165"/>
      <c r="L20" s="91"/>
      <c r="M20" s="92"/>
    </row>
    <row r="21" spans="1:13" s="45" customFormat="1" ht="8.5500000000000007" customHeight="1" x14ac:dyDescent="0.2">
      <c r="A21" s="43"/>
      <c r="B21" s="419" t="s">
        <v>555</v>
      </c>
      <c r="C21" s="420"/>
      <c r="D21" s="420"/>
      <c r="E21" s="420"/>
      <c r="F21" s="420"/>
      <c r="G21" s="417">
        <v>1995</v>
      </c>
      <c r="H21" s="406"/>
      <c r="I21" s="404">
        <v>89</v>
      </c>
      <c r="J21" s="424"/>
      <c r="K21" s="164">
        <v>2</v>
      </c>
      <c r="L21" s="91"/>
      <c r="M21" s="92"/>
    </row>
    <row r="22" spans="1:13" s="45" customFormat="1" ht="8.5500000000000007" customHeight="1" x14ac:dyDescent="0.2">
      <c r="A22" s="43"/>
      <c r="B22" s="421"/>
      <c r="C22" s="422"/>
      <c r="D22" s="422"/>
      <c r="E22" s="422"/>
      <c r="F22" s="422"/>
      <c r="G22" s="418"/>
      <c r="H22" s="407"/>
      <c r="I22" s="405"/>
      <c r="J22" s="407"/>
      <c r="K22" s="165"/>
      <c r="L22" s="91"/>
      <c r="M22" s="92"/>
    </row>
    <row r="23" spans="1:13" s="45" customFormat="1" ht="8.5500000000000007" customHeight="1" x14ac:dyDescent="0.2">
      <c r="A23" s="43"/>
      <c r="B23" s="419" t="s">
        <v>555</v>
      </c>
      <c r="C23" s="420"/>
      <c r="D23" s="420"/>
      <c r="E23" s="420"/>
      <c r="F23" s="420"/>
      <c r="G23" s="417">
        <v>1999</v>
      </c>
      <c r="H23" s="406">
        <v>94</v>
      </c>
      <c r="I23" s="404">
        <v>93</v>
      </c>
      <c r="J23" s="424" t="s">
        <v>254</v>
      </c>
      <c r="K23" s="164">
        <v>1</v>
      </c>
      <c r="L23" s="91"/>
      <c r="M23" s="92"/>
    </row>
    <row r="24" spans="1:13" s="45" customFormat="1" ht="8.5500000000000007" customHeight="1" x14ac:dyDescent="0.2">
      <c r="A24" s="43"/>
      <c r="B24" s="421"/>
      <c r="C24" s="422"/>
      <c r="D24" s="422"/>
      <c r="E24" s="422"/>
      <c r="F24" s="422"/>
      <c r="G24" s="418"/>
      <c r="H24" s="407"/>
      <c r="I24" s="405"/>
      <c r="J24" s="407"/>
      <c r="K24" s="165"/>
      <c r="L24" s="91"/>
      <c r="M24" s="92"/>
    </row>
    <row r="25" spans="1:13" s="45" customFormat="1" ht="8.5500000000000007" customHeight="1" x14ac:dyDescent="0.2">
      <c r="A25" s="43"/>
      <c r="B25" s="419" t="s">
        <v>555</v>
      </c>
      <c r="C25" s="420"/>
      <c r="D25" s="420"/>
      <c r="E25" s="420"/>
      <c r="F25" s="420"/>
      <c r="G25" s="417">
        <v>2000</v>
      </c>
      <c r="H25" s="406"/>
      <c r="I25" s="404"/>
      <c r="J25" s="424"/>
      <c r="K25" s="164">
        <v>3</v>
      </c>
      <c r="L25" s="91"/>
      <c r="M25" s="92"/>
    </row>
    <row r="26" spans="1:13" s="45" customFormat="1" ht="8.5500000000000007" customHeight="1" x14ac:dyDescent="0.2">
      <c r="A26" s="43"/>
      <c r="B26" s="421"/>
      <c r="C26" s="422"/>
      <c r="D26" s="422"/>
      <c r="E26" s="422"/>
      <c r="F26" s="422"/>
      <c r="G26" s="418"/>
      <c r="H26" s="407"/>
      <c r="I26" s="405"/>
      <c r="J26" s="407"/>
      <c r="K26" s="165"/>
      <c r="L26" s="91"/>
      <c r="M26" s="92"/>
    </row>
    <row r="27" spans="1:13" s="45" customFormat="1" ht="8.5500000000000007" customHeight="1" x14ac:dyDescent="0.2">
      <c r="A27" s="43"/>
      <c r="B27" s="419" t="s">
        <v>555</v>
      </c>
      <c r="C27" s="420"/>
      <c r="D27" s="420"/>
      <c r="E27" s="420"/>
      <c r="F27" s="420"/>
      <c r="G27" s="417">
        <v>2004</v>
      </c>
      <c r="H27" s="406"/>
      <c r="I27" s="404"/>
      <c r="J27" s="424"/>
      <c r="K27" s="164">
        <v>2</v>
      </c>
      <c r="L27" s="91"/>
      <c r="M27" s="92"/>
    </row>
    <row r="28" spans="1:13" s="45" customFormat="1" ht="8.5500000000000007" customHeight="1" x14ac:dyDescent="0.2">
      <c r="A28" s="43"/>
      <c r="B28" s="421"/>
      <c r="C28" s="422"/>
      <c r="D28" s="422"/>
      <c r="E28" s="422"/>
      <c r="F28" s="422"/>
      <c r="G28" s="418"/>
      <c r="H28" s="407"/>
      <c r="I28" s="405"/>
      <c r="J28" s="407"/>
      <c r="K28" s="165"/>
      <c r="L28" s="91"/>
      <c r="M28" s="92"/>
    </row>
    <row r="29" spans="1:13" s="45" customFormat="1" ht="8.5500000000000007" customHeight="1" x14ac:dyDescent="0.2">
      <c r="A29" s="43"/>
      <c r="B29" s="419" t="s">
        <v>555</v>
      </c>
      <c r="C29" s="420"/>
      <c r="D29" s="420"/>
      <c r="E29" s="420"/>
      <c r="F29" s="420"/>
      <c r="G29" s="417">
        <v>2011</v>
      </c>
      <c r="H29" s="406">
        <v>97</v>
      </c>
      <c r="I29" s="404"/>
      <c r="J29" s="424" t="s">
        <v>1595</v>
      </c>
      <c r="K29" s="164">
        <v>2</v>
      </c>
      <c r="L29" s="91"/>
      <c r="M29" s="92"/>
    </row>
    <row r="30" spans="1:13" s="45" customFormat="1" ht="8.5500000000000007" customHeight="1" x14ac:dyDescent="0.2">
      <c r="A30" s="43"/>
      <c r="B30" s="421"/>
      <c r="C30" s="422"/>
      <c r="D30" s="422"/>
      <c r="E30" s="422"/>
      <c r="F30" s="422"/>
      <c r="G30" s="418"/>
      <c r="H30" s="407"/>
      <c r="I30" s="405"/>
      <c r="J30" s="407"/>
      <c r="K30" s="165"/>
      <c r="L30" s="91"/>
      <c r="M30" s="92"/>
    </row>
    <row r="31" spans="1:13" s="45" customFormat="1" ht="8.5500000000000007" customHeight="1" x14ac:dyDescent="0.2">
      <c r="A31" s="43"/>
      <c r="B31" s="419" t="s">
        <v>552</v>
      </c>
      <c r="C31" s="420"/>
      <c r="D31" s="420"/>
      <c r="E31" s="420"/>
      <c r="F31" s="420"/>
      <c r="G31" s="417">
        <v>1989</v>
      </c>
      <c r="H31" s="406">
        <v>92</v>
      </c>
      <c r="I31" s="404">
        <v>87</v>
      </c>
      <c r="J31" s="424" t="s">
        <v>253</v>
      </c>
      <c r="K31" s="164">
        <v>1</v>
      </c>
      <c r="L31" s="91"/>
      <c r="M31" s="92"/>
    </row>
    <row r="32" spans="1:13" s="45" customFormat="1" ht="8.5500000000000007" customHeight="1" x14ac:dyDescent="0.2">
      <c r="A32" s="43"/>
      <c r="B32" s="421"/>
      <c r="C32" s="422"/>
      <c r="D32" s="422"/>
      <c r="E32" s="422"/>
      <c r="F32" s="422"/>
      <c r="G32" s="418"/>
      <c r="H32" s="407"/>
      <c r="I32" s="405"/>
      <c r="J32" s="440"/>
      <c r="K32" s="165"/>
      <c r="L32" s="91"/>
      <c r="M32" s="92"/>
    </row>
    <row r="33" spans="1:13" s="45" customFormat="1" ht="8.5500000000000007" customHeight="1" x14ac:dyDescent="0.2">
      <c r="A33" s="43"/>
      <c r="B33" s="419" t="s">
        <v>552</v>
      </c>
      <c r="C33" s="420"/>
      <c r="D33" s="420"/>
      <c r="E33" s="420"/>
      <c r="F33" s="420"/>
      <c r="G33" s="417">
        <v>1994</v>
      </c>
      <c r="H33" s="406">
        <v>93</v>
      </c>
      <c r="I33" s="404">
        <v>91</v>
      </c>
      <c r="J33" s="424" t="s">
        <v>132</v>
      </c>
      <c r="K33" s="164">
        <v>1</v>
      </c>
      <c r="L33" s="91"/>
      <c r="M33" s="92"/>
    </row>
    <row r="34" spans="1:13" s="45" customFormat="1" ht="8.5500000000000007" customHeight="1" x14ac:dyDescent="0.2">
      <c r="A34" s="43"/>
      <c r="B34" s="421"/>
      <c r="C34" s="422"/>
      <c r="D34" s="422"/>
      <c r="E34" s="422"/>
      <c r="F34" s="422"/>
      <c r="G34" s="418"/>
      <c r="H34" s="407"/>
      <c r="I34" s="405"/>
      <c r="J34" s="440"/>
      <c r="K34" s="165"/>
      <c r="L34" s="91"/>
      <c r="M34" s="92"/>
    </row>
    <row r="35" spans="1:13" s="45" customFormat="1" ht="8.5500000000000007" customHeight="1" x14ac:dyDescent="0.2">
      <c r="A35" s="43"/>
      <c r="B35" s="419" t="s">
        <v>552</v>
      </c>
      <c r="C35" s="420"/>
      <c r="D35" s="420"/>
      <c r="E35" s="420"/>
      <c r="F35" s="420"/>
      <c r="G35" s="417">
        <v>1996</v>
      </c>
      <c r="H35" s="406">
        <v>89</v>
      </c>
      <c r="I35" s="404">
        <v>91</v>
      </c>
      <c r="J35" s="424" t="s">
        <v>287</v>
      </c>
      <c r="K35" s="164">
        <v>1</v>
      </c>
      <c r="L35" s="91"/>
      <c r="M35" s="92"/>
    </row>
    <row r="36" spans="1:13" s="45" customFormat="1" ht="8.5500000000000007" customHeight="1" x14ac:dyDescent="0.2">
      <c r="A36" s="43"/>
      <c r="B36" s="421"/>
      <c r="C36" s="422"/>
      <c r="D36" s="422"/>
      <c r="E36" s="422"/>
      <c r="F36" s="422"/>
      <c r="G36" s="418"/>
      <c r="H36" s="407"/>
      <c r="I36" s="405"/>
      <c r="J36" s="440"/>
      <c r="K36" s="165"/>
      <c r="L36" s="91"/>
      <c r="M36" s="92"/>
    </row>
    <row r="37" spans="1:13" s="45" customFormat="1" ht="8.5500000000000007" customHeight="1" x14ac:dyDescent="0.2">
      <c r="A37" s="43"/>
      <c r="B37" s="419" t="s">
        <v>553</v>
      </c>
      <c r="C37" s="420"/>
      <c r="D37" s="420"/>
      <c r="E37" s="420"/>
      <c r="F37" s="420"/>
      <c r="G37" s="417">
        <v>1962</v>
      </c>
      <c r="H37" s="406"/>
      <c r="I37" s="404"/>
      <c r="J37" s="441"/>
      <c r="K37" s="164">
        <v>1</v>
      </c>
      <c r="L37" s="91"/>
      <c r="M37" s="92"/>
    </row>
    <row r="38" spans="1:13" s="45" customFormat="1" ht="8.5500000000000007" customHeight="1" x14ac:dyDescent="0.2">
      <c r="A38" s="43"/>
      <c r="B38" s="421"/>
      <c r="C38" s="422"/>
      <c r="D38" s="422"/>
      <c r="E38" s="422"/>
      <c r="F38" s="422"/>
      <c r="G38" s="418"/>
      <c r="H38" s="407"/>
      <c r="I38" s="405"/>
      <c r="J38" s="442"/>
      <c r="K38" s="165"/>
      <c r="L38" s="91"/>
      <c r="M38" s="92"/>
    </row>
    <row r="39" spans="1:13" s="45" customFormat="1" ht="8.5500000000000007" customHeight="1" x14ac:dyDescent="0.2">
      <c r="A39" s="43"/>
      <c r="B39" s="419" t="s">
        <v>553</v>
      </c>
      <c r="C39" s="420"/>
      <c r="D39" s="420"/>
      <c r="E39" s="420"/>
      <c r="F39" s="420"/>
      <c r="G39" s="417">
        <v>1997</v>
      </c>
      <c r="H39" s="406">
        <v>95</v>
      </c>
      <c r="I39" s="404"/>
      <c r="J39" s="439"/>
      <c r="K39" s="164">
        <v>1</v>
      </c>
      <c r="L39" s="91"/>
      <c r="M39" s="92"/>
    </row>
    <row r="40" spans="1:13" s="45" customFormat="1" ht="8.5500000000000007" customHeight="1" x14ac:dyDescent="0.2">
      <c r="A40" s="43"/>
      <c r="B40" s="421"/>
      <c r="C40" s="422"/>
      <c r="D40" s="422"/>
      <c r="E40" s="422"/>
      <c r="F40" s="422"/>
      <c r="G40" s="418"/>
      <c r="H40" s="407"/>
      <c r="I40" s="405"/>
      <c r="J40" s="403"/>
      <c r="K40" s="165"/>
      <c r="L40" s="91"/>
      <c r="M40" s="92"/>
    </row>
    <row r="41" spans="1:13" s="45" customFormat="1" ht="8.5500000000000007" customHeight="1" x14ac:dyDescent="0.2">
      <c r="A41" s="43"/>
      <c r="B41" s="419" t="s">
        <v>554</v>
      </c>
      <c r="C41" s="420"/>
      <c r="D41" s="420"/>
      <c r="E41" s="420"/>
      <c r="F41" s="420"/>
      <c r="G41" s="417">
        <v>2004</v>
      </c>
      <c r="H41" s="406">
        <v>90</v>
      </c>
      <c r="I41" s="404">
        <v>90</v>
      </c>
      <c r="J41" s="424" t="s">
        <v>296</v>
      </c>
      <c r="K41" s="164">
        <v>1</v>
      </c>
      <c r="L41" s="91"/>
      <c r="M41" s="92"/>
    </row>
    <row r="42" spans="1:13" s="45" customFormat="1" ht="8.5500000000000007" customHeight="1" x14ac:dyDescent="0.2">
      <c r="A42" s="43"/>
      <c r="B42" s="421"/>
      <c r="C42" s="422"/>
      <c r="D42" s="422"/>
      <c r="E42" s="422"/>
      <c r="F42" s="422"/>
      <c r="G42" s="418"/>
      <c r="H42" s="407"/>
      <c r="I42" s="405"/>
      <c r="J42" s="440"/>
      <c r="K42" s="165"/>
      <c r="L42" s="91"/>
      <c r="M42" s="92"/>
    </row>
    <row r="43" spans="1:13" s="45" customFormat="1" ht="8.5500000000000007" customHeight="1" x14ac:dyDescent="0.2">
      <c r="A43" s="43"/>
      <c r="B43" s="419" t="s">
        <v>554</v>
      </c>
      <c r="C43" s="420"/>
      <c r="D43" s="420"/>
      <c r="E43" s="420"/>
      <c r="F43" s="420"/>
      <c r="G43" s="417">
        <v>2007</v>
      </c>
      <c r="H43" s="406">
        <v>92</v>
      </c>
      <c r="I43" s="404">
        <v>92</v>
      </c>
      <c r="J43" s="439"/>
      <c r="K43" s="164">
        <v>1</v>
      </c>
      <c r="L43" s="91"/>
      <c r="M43" s="92"/>
    </row>
    <row r="44" spans="1:13" s="45" customFormat="1" ht="8.5500000000000007" customHeight="1" x14ac:dyDescent="0.2">
      <c r="A44" s="43"/>
      <c r="B44" s="421"/>
      <c r="C44" s="422"/>
      <c r="D44" s="422"/>
      <c r="E44" s="422"/>
      <c r="F44" s="422"/>
      <c r="G44" s="418"/>
      <c r="H44" s="407"/>
      <c r="I44" s="405"/>
      <c r="J44" s="403"/>
      <c r="K44" s="165"/>
      <c r="L44" s="91"/>
      <c r="M44" s="92"/>
    </row>
    <row r="45" spans="1:13" s="45" customFormat="1" ht="8.5500000000000007" customHeight="1" x14ac:dyDescent="0.2">
      <c r="A45" s="43"/>
      <c r="B45" s="419" t="s">
        <v>554</v>
      </c>
      <c r="C45" s="420"/>
      <c r="D45" s="420"/>
      <c r="E45" s="420"/>
      <c r="F45" s="420"/>
      <c r="G45" s="417">
        <v>2008</v>
      </c>
      <c r="H45" s="406"/>
      <c r="I45" s="404">
        <v>91</v>
      </c>
      <c r="J45" s="439"/>
      <c r="K45" s="164">
        <v>2</v>
      </c>
      <c r="L45" s="91"/>
      <c r="M45" s="92"/>
    </row>
    <row r="46" spans="1:13" s="45" customFormat="1" ht="8.5500000000000007" customHeight="1" x14ac:dyDescent="0.2">
      <c r="A46" s="43"/>
      <c r="B46" s="421"/>
      <c r="C46" s="422"/>
      <c r="D46" s="422"/>
      <c r="E46" s="422"/>
      <c r="F46" s="422"/>
      <c r="G46" s="418"/>
      <c r="H46" s="407"/>
      <c r="I46" s="405"/>
      <c r="J46" s="403"/>
      <c r="K46" s="165"/>
      <c r="L46" s="91"/>
      <c r="M46" s="92"/>
    </row>
    <row r="47" spans="1:13" s="45" customFormat="1" ht="8.5500000000000007" customHeight="1" x14ac:dyDescent="0.2">
      <c r="A47" s="43"/>
      <c r="B47" s="413" t="s">
        <v>1473</v>
      </c>
      <c r="C47" s="414"/>
      <c r="D47" s="414"/>
      <c r="E47" s="414"/>
      <c r="F47" s="414"/>
      <c r="G47" s="417">
        <v>2003</v>
      </c>
      <c r="H47" s="406">
        <v>94</v>
      </c>
      <c r="I47" s="404"/>
      <c r="J47" s="402" t="s">
        <v>263</v>
      </c>
      <c r="K47" s="164">
        <v>3</v>
      </c>
      <c r="L47" s="91"/>
      <c r="M47" s="92"/>
    </row>
    <row r="48" spans="1:13" s="45" customFormat="1" ht="8.5500000000000007" customHeight="1" x14ac:dyDescent="0.2">
      <c r="A48" s="43"/>
      <c r="B48" s="415"/>
      <c r="C48" s="416"/>
      <c r="D48" s="416"/>
      <c r="E48" s="416"/>
      <c r="F48" s="416"/>
      <c r="G48" s="418"/>
      <c r="H48" s="407"/>
      <c r="I48" s="405"/>
      <c r="J48" s="403"/>
      <c r="K48" s="165"/>
      <c r="L48" s="91"/>
      <c r="M48" s="92"/>
    </row>
    <row r="49" spans="1:13" s="45" customFormat="1" ht="8.5500000000000007" customHeight="1" x14ac:dyDescent="0.2">
      <c r="A49" s="43"/>
      <c r="B49" s="413" t="s">
        <v>1473</v>
      </c>
      <c r="C49" s="414"/>
      <c r="D49" s="414"/>
      <c r="E49" s="414"/>
      <c r="F49" s="414"/>
      <c r="G49" s="417">
        <v>2005</v>
      </c>
      <c r="H49" s="406">
        <v>94</v>
      </c>
      <c r="I49" s="404"/>
      <c r="J49" s="402" t="s">
        <v>124</v>
      </c>
      <c r="K49" s="164">
        <v>3</v>
      </c>
      <c r="L49" s="91"/>
      <c r="M49" s="92"/>
    </row>
    <row r="50" spans="1:13" s="45" customFormat="1" ht="8.5500000000000007" customHeight="1" x14ac:dyDescent="0.2">
      <c r="A50" s="43"/>
      <c r="B50" s="415"/>
      <c r="C50" s="416"/>
      <c r="D50" s="416"/>
      <c r="E50" s="416"/>
      <c r="F50" s="416"/>
      <c r="G50" s="418"/>
      <c r="H50" s="407"/>
      <c r="I50" s="405"/>
      <c r="J50" s="403"/>
      <c r="K50" s="165"/>
      <c r="L50" s="91"/>
      <c r="M50" s="92"/>
    </row>
    <row r="51" spans="1:13" s="45" customFormat="1" ht="8.5500000000000007" customHeight="1" x14ac:dyDescent="0.2">
      <c r="A51" s="43"/>
      <c r="B51" s="413" t="s">
        <v>202</v>
      </c>
      <c r="C51" s="414"/>
      <c r="D51" s="414"/>
      <c r="E51" s="414"/>
      <c r="F51" s="414"/>
      <c r="G51" s="417">
        <v>2005</v>
      </c>
      <c r="H51" s="406">
        <v>91</v>
      </c>
      <c r="I51" s="404">
        <v>94</v>
      </c>
      <c r="J51" s="402" t="s">
        <v>121</v>
      </c>
      <c r="K51" s="164">
        <v>1</v>
      </c>
      <c r="L51" s="91"/>
      <c r="M51" s="92"/>
    </row>
    <row r="52" spans="1:13" s="45" customFormat="1" ht="8.5500000000000007" customHeight="1" x14ac:dyDescent="0.2">
      <c r="A52" s="43"/>
      <c r="B52" s="415"/>
      <c r="C52" s="416"/>
      <c r="D52" s="416"/>
      <c r="E52" s="416"/>
      <c r="F52" s="416"/>
      <c r="G52" s="418"/>
      <c r="H52" s="407"/>
      <c r="I52" s="405"/>
      <c r="J52" s="403"/>
      <c r="K52" s="165"/>
      <c r="L52" s="91"/>
      <c r="M52" s="92"/>
    </row>
    <row r="53" spans="1:13" s="45" customFormat="1" ht="8.5500000000000007" customHeight="1" x14ac:dyDescent="0.2">
      <c r="A53" s="43"/>
      <c r="B53" s="413" t="s">
        <v>302</v>
      </c>
      <c r="C53" s="414"/>
      <c r="D53" s="414"/>
      <c r="E53" s="414"/>
      <c r="F53" s="414"/>
      <c r="G53" s="417">
        <v>2005</v>
      </c>
      <c r="H53" s="406">
        <v>91</v>
      </c>
      <c r="I53" s="404">
        <v>95</v>
      </c>
      <c r="J53" s="424" t="s">
        <v>255</v>
      </c>
      <c r="K53" s="164">
        <v>1</v>
      </c>
      <c r="L53" s="91"/>
      <c r="M53" s="92"/>
    </row>
    <row r="54" spans="1:13" s="45" customFormat="1" ht="8.5500000000000007" customHeight="1" x14ac:dyDescent="0.2">
      <c r="A54" s="43"/>
      <c r="B54" s="415"/>
      <c r="C54" s="416"/>
      <c r="D54" s="416"/>
      <c r="E54" s="416"/>
      <c r="F54" s="416"/>
      <c r="G54" s="418"/>
      <c r="H54" s="407"/>
      <c r="I54" s="405"/>
      <c r="J54" s="407"/>
      <c r="K54" s="165"/>
      <c r="L54" s="91"/>
      <c r="M54" s="92"/>
    </row>
    <row r="55" spans="1:13" s="45" customFormat="1" ht="8.5500000000000007" customHeight="1" x14ac:dyDescent="0.2">
      <c r="A55" s="43"/>
      <c r="B55" s="413" t="s">
        <v>302</v>
      </c>
      <c r="C55" s="414"/>
      <c r="D55" s="414"/>
      <c r="E55" s="414"/>
      <c r="F55" s="414"/>
      <c r="G55" s="417">
        <v>2022</v>
      </c>
      <c r="H55" s="406"/>
      <c r="I55" s="404"/>
      <c r="J55" s="424"/>
      <c r="K55" s="164">
        <v>4</v>
      </c>
      <c r="L55" s="91"/>
      <c r="M55" s="92"/>
    </row>
    <row r="56" spans="1:13" s="45" customFormat="1" ht="8.5500000000000007" customHeight="1" x14ac:dyDescent="0.2">
      <c r="A56" s="43"/>
      <c r="B56" s="415"/>
      <c r="C56" s="416"/>
      <c r="D56" s="416"/>
      <c r="E56" s="416"/>
      <c r="F56" s="416"/>
      <c r="G56" s="418"/>
      <c r="H56" s="407"/>
      <c r="I56" s="405"/>
      <c r="J56" s="407"/>
      <c r="K56" s="165"/>
      <c r="L56" s="91"/>
      <c r="M56" s="92"/>
    </row>
    <row r="57" spans="1:13" s="45" customFormat="1" ht="8.5500000000000007" customHeight="1" x14ac:dyDescent="0.2">
      <c r="A57" s="43"/>
      <c r="B57" s="419" t="s">
        <v>30</v>
      </c>
      <c r="C57" s="433"/>
      <c r="D57" s="433"/>
      <c r="E57" s="433"/>
      <c r="F57" s="433"/>
      <c r="G57" s="417">
        <v>2000</v>
      </c>
      <c r="H57" s="406">
        <v>95</v>
      </c>
      <c r="I57" s="404">
        <v>94</v>
      </c>
      <c r="J57" s="424" t="s">
        <v>133</v>
      </c>
      <c r="K57" s="164">
        <v>1</v>
      </c>
      <c r="L57" s="91"/>
      <c r="M57" s="92"/>
    </row>
    <row r="58" spans="1:13" s="45" customFormat="1" ht="8.5500000000000007" customHeight="1" x14ac:dyDescent="0.2">
      <c r="A58" s="43"/>
      <c r="B58" s="434"/>
      <c r="C58" s="435"/>
      <c r="D58" s="435"/>
      <c r="E58" s="435"/>
      <c r="F58" s="435"/>
      <c r="G58" s="418"/>
      <c r="H58" s="407"/>
      <c r="I58" s="405"/>
      <c r="J58" s="407"/>
      <c r="K58" s="165"/>
      <c r="L58" s="91"/>
      <c r="M58" s="92"/>
    </row>
    <row r="59" spans="1:13" s="45" customFormat="1" ht="8.5500000000000007" customHeight="1" x14ac:dyDescent="0.2">
      <c r="A59" s="43"/>
      <c r="B59" s="409" t="s">
        <v>203</v>
      </c>
      <c r="C59" s="410"/>
      <c r="D59" s="410"/>
      <c r="E59" s="410"/>
      <c r="F59" s="410"/>
      <c r="G59" s="417">
        <v>2001</v>
      </c>
      <c r="H59" s="406">
        <v>90</v>
      </c>
      <c r="I59" s="404"/>
      <c r="J59" s="424"/>
      <c r="K59" s="164">
        <v>1</v>
      </c>
      <c r="L59" s="91"/>
      <c r="M59" s="92"/>
    </row>
    <row r="60" spans="1:13" s="45" customFormat="1" ht="8.5500000000000007" customHeight="1" x14ac:dyDescent="0.2">
      <c r="A60" s="43"/>
      <c r="B60" s="411"/>
      <c r="C60" s="412"/>
      <c r="D60" s="412"/>
      <c r="E60" s="412"/>
      <c r="F60" s="412"/>
      <c r="G60" s="418"/>
      <c r="H60" s="407"/>
      <c r="I60" s="405"/>
      <c r="J60" s="407"/>
      <c r="K60" s="165"/>
      <c r="L60" s="91"/>
      <c r="M60" s="92"/>
    </row>
    <row r="61" spans="1:13" s="45" customFormat="1" ht="8.5500000000000007" customHeight="1" x14ac:dyDescent="0.2">
      <c r="A61" s="43"/>
      <c r="B61" s="409" t="s">
        <v>203</v>
      </c>
      <c r="C61" s="410"/>
      <c r="D61" s="410"/>
      <c r="E61" s="410"/>
      <c r="F61" s="410"/>
      <c r="G61" s="417">
        <v>2005</v>
      </c>
      <c r="H61" s="406">
        <v>92</v>
      </c>
      <c r="I61" s="404">
        <v>88</v>
      </c>
      <c r="J61" s="424" t="s">
        <v>133</v>
      </c>
      <c r="K61" s="164">
        <v>1</v>
      </c>
      <c r="L61" s="91"/>
      <c r="M61" s="92"/>
    </row>
    <row r="62" spans="1:13" s="45" customFormat="1" ht="8.5500000000000007" customHeight="1" x14ac:dyDescent="0.2">
      <c r="A62" s="43"/>
      <c r="B62" s="411"/>
      <c r="C62" s="412"/>
      <c r="D62" s="412"/>
      <c r="E62" s="412"/>
      <c r="F62" s="412"/>
      <c r="G62" s="418"/>
      <c r="H62" s="407"/>
      <c r="I62" s="405"/>
      <c r="J62" s="407"/>
      <c r="K62" s="165"/>
      <c r="L62" s="91"/>
      <c r="M62" s="92"/>
    </row>
    <row r="63" spans="1:13" s="45" customFormat="1" ht="8.5500000000000007" customHeight="1" x14ac:dyDescent="0.2">
      <c r="A63" s="43"/>
      <c r="B63" s="409" t="s">
        <v>203</v>
      </c>
      <c r="C63" s="410"/>
      <c r="D63" s="410"/>
      <c r="E63" s="410"/>
      <c r="F63" s="410"/>
      <c r="G63" s="417">
        <v>2006</v>
      </c>
      <c r="H63" s="406">
        <v>89</v>
      </c>
      <c r="I63" s="404"/>
      <c r="J63" s="424"/>
      <c r="K63" s="164">
        <v>1</v>
      </c>
      <c r="L63" s="91"/>
      <c r="M63" s="92"/>
    </row>
    <row r="64" spans="1:13" s="45" customFormat="1" ht="8.5500000000000007" customHeight="1" x14ac:dyDescent="0.2">
      <c r="A64" s="43"/>
      <c r="B64" s="411"/>
      <c r="C64" s="412"/>
      <c r="D64" s="412"/>
      <c r="E64" s="412"/>
      <c r="F64" s="412"/>
      <c r="G64" s="418"/>
      <c r="H64" s="407"/>
      <c r="I64" s="405"/>
      <c r="J64" s="407"/>
      <c r="K64" s="165"/>
      <c r="L64" s="91"/>
      <c r="M64" s="92"/>
    </row>
    <row r="65" spans="1:13" s="45" customFormat="1" ht="8.5500000000000007" customHeight="1" x14ac:dyDescent="0.2">
      <c r="A65" s="43"/>
      <c r="B65" s="419" t="s">
        <v>204</v>
      </c>
      <c r="C65" s="420"/>
      <c r="D65" s="420"/>
      <c r="E65" s="420"/>
      <c r="F65" s="420"/>
      <c r="G65" s="417">
        <v>1999</v>
      </c>
      <c r="H65" s="390" t="s">
        <v>246</v>
      </c>
      <c r="I65" s="404"/>
      <c r="J65" s="402"/>
      <c r="K65" s="164">
        <v>2</v>
      </c>
      <c r="L65" s="91"/>
      <c r="M65" s="92"/>
    </row>
    <row r="66" spans="1:13" s="45" customFormat="1" ht="8.5500000000000007" customHeight="1" x14ac:dyDescent="0.2">
      <c r="A66" s="43"/>
      <c r="B66" s="421"/>
      <c r="C66" s="422"/>
      <c r="D66" s="422"/>
      <c r="E66" s="422"/>
      <c r="F66" s="422"/>
      <c r="G66" s="418"/>
      <c r="H66" s="391"/>
      <c r="I66" s="405"/>
      <c r="J66" s="403"/>
      <c r="K66" s="165"/>
      <c r="L66" s="91"/>
      <c r="M66" s="92"/>
    </row>
    <row r="67" spans="1:13" s="45" customFormat="1" ht="8.5500000000000007" customHeight="1" x14ac:dyDescent="0.2">
      <c r="A67" s="43"/>
      <c r="B67" s="408" t="s">
        <v>191</v>
      </c>
      <c r="C67" s="408"/>
      <c r="D67" s="408"/>
      <c r="E67" s="408"/>
      <c r="F67" s="408"/>
      <c r="G67" s="47"/>
      <c r="H67" s="47"/>
      <c r="I67" s="48"/>
      <c r="J67" s="48"/>
      <c r="K67" s="164"/>
      <c r="L67" s="91"/>
      <c r="M67" s="92"/>
    </row>
    <row r="68" spans="1:13" s="45" customFormat="1" ht="8.5500000000000007" customHeight="1" x14ac:dyDescent="0.2">
      <c r="A68" s="43"/>
      <c r="B68" s="340"/>
      <c r="C68" s="340"/>
      <c r="D68" s="340"/>
      <c r="E68" s="340"/>
      <c r="F68" s="340"/>
      <c r="G68" s="54"/>
      <c r="H68" s="54"/>
      <c r="I68" s="49"/>
      <c r="J68" s="49"/>
      <c r="K68" s="165"/>
      <c r="L68" s="91"/>
      <c r="M68" s="92"/>
    </row>
    <row r="69" spans="1:13" s="45" customFormat="1" ht="8.5500000000000007" customHeight="1" x14ac:dyDescent="0.2">
      <c r="A69" s="43"/>
      <c r="B69" s="419" t="s">
        <v>204</v>
      </c>
      <c r="C69" s="420"/>
      <c r="D69" s="420"/>
      <c r="E69" s="420"/>
      <c r="F69" s="420"/>
      <c r="G69" s="417">
        <v>2000</v>
      </c>
      <c r="H69" s="406">
        <v>91</v>
      </c>
      <c r="I69" s="404"/>
      <c r="J69" s="402"/>
      <c r="K69" s="164">
        <v>2</v>
      </c>
      <c r="L69" s="91"/>
      <c r="M69" s="92"/>
    </row>
    <row r="70" spans="1:13" s="45" customFormat="1" ht="8.5500000000000007" customHeight="1" x14ac:dyDescent="0.2">
      <c r="A70" s="43"/>
      <c r="B70" s="421"/>
      <c r="C70" s="422"/>
      <c r="D70" s="422"/>
      <c r="E70" s="422"/>
      <c r="F70" s="422"/>
      <c r="G70" s="418"/>
      <c r="H70" s="407"/>
      <c r="I70" s="405"/>
      <c r="J70" s="403"/>
      <c r="K70" s="165"/>
      <c r="L70" s="91"/>
      <c r="M70" s="92"/>
    </row>
    <row r="71" spans="1:13" s="45" customFormat="1" ht="8.5500000000000007" customHeight="1" x14ac:dyDescent="0.2">
      <c r="A71" s="43"/>
      <c r="B71" s="419" t="s">
        <v>204</v>
      </c>
      <c r="C71" s="420"/>
      <c r="D71" s="420"/>
      <c r="E71" s="420"/>
      <c r="F71" s="420"/>
      <c r="G71" s="417">
        <v>2001</v>
      </c>
      <c r="H71" s="406">
        <v>91</v>
      </c>
      <c r="I71" s="404">
        <v>93</v>
      </c>
      <c r="J71" s="402" t="s">
        <v>238</v>
      </c>
      <c r="K71" s="164">
        <v>1</v>
      </c>
      <c r="L71" s="91"/>
      <c r="M71" s="92"/>
    </row>
    <row r="72" spans="1:13" s="45" customFormat="1" ht="8.5500000000000007" customHeight="1" x14ac:dyDescent="0.2">
      <c r="A72" s="43"/>
      <c r="B72" s="421"/>
      <c r="C72" s="422"/>
      <c r="D72" s="422"/>
      <c r="E72" s="422"/>
      <c r="F72" s="422"/>
      <c r="G72" s="418"/>
      <c r="H72" s="407"/>
      <c r="I72" s="405"/>
      <c r="J72" s="403"/>
      <c r="K72" s="165"/>
      <c r="L72" s="91"/>
      <c r="M72" s="92"/>
    </row>
    <row r="73" spans="1:13" s="45" customFormat="1" ht="8.5500000000000007" customHeight="1" x14ac:dyDescent="0.2">
      <c r="A73" s="43"/>
      <c r="B73" s="419" t="s">
        <v>1353</v>
      </c>
      <c r="C73" s="420"/>
      <c r="D73" s="420"/>
      <c r="E73" s="420"/>
      <c r="F73" s="420"/>
      <c r="G73" s="417">
        <v>2011</v>
      </c>
      <c r="H73" s="406">
        <v>96</v>
      </c>
      <c r="I73" s="404"/>
      <c r="J73" s="424"/>
      <c r="K73" s="164">
        <v>3</v>
      </c>
      <c r="L73" s="91"/>
      <c r="M73" s="92"/>
    </row>
    <row r="74" spans="1:13" s="45" customFormat="1" ht="8.5500000000000007" customHeight="1" x14ac:dyDescent="0.2">
      <c r="A74" s="43"/>
      <c r="B74" s="421"/>
      <c r="C74" s="422"/>
      <c r="D74" s="422"/>
      <c r="E74" s="422"/>
      <c r="F74" s="422"/>
      <c r="G74" s="418"/>
      <c r="H74" s="407"/>
      <c r="I74" s="405"/>
      <c r="J74" s="407"/>
      <c r="K74" s="165"/>
      <c r="L74" s="91"/>
      <c r="M74" s="92"/>
    </row>
    <row r="75" spans="1:13" s="45" customFormat="1" ht="8.5500000000000007" customHeight="1" x14ac:dyDescent="0.2">
      <c r="A75" s="43"/>
      <c r="B75" s="419" t="s">
        <v>204</v>
      </c>
      <c r="C75" s="420"/>
      <c r="D75" s="420"/>
      <c r="E75" s="420"/>
      <c r="F75" s="420"/>
      <c r="G75" s="417">
        <v>2015</v>
      </c>
      <c r="H75" s="406" t="s">
        <v>637</v>
      </c>
      <c r="I75" s="404"/>
      <c r="J75" s="424"/>
      <c r="K75" s="164">
        <v>3</v>
      </c>
      <c r="L75" s="91"/>
      <c r="M75" s="92"/>
    </row>
    <row r="76" spans="1:13" s="45" customFormat="1" ht="8.5500000000000007" customHeight="1" x14ac:dyDescent="0.2">
      <c r="A76" s="43"/>
      <c r="B76" s="421"/>
      <c r="C76" s="422"/>
      <c r="D76" s="422"/>
      <c r="E76" s="422"/>
      <c r="F76" s="422"/>
      <c r="G76" s="418"/>
      <c r="H76" s="407"/>
      <c r="I76" s="405"/>
      <c r="J76" s="407"/>
      <c r="K76" s="165"/>
      <c r="L76" s="91"/>
      <c r="M76" s="92"/>
    </row>
    <row r="77" spans="1:13" s="45" customFormat="1" ht="8.5500000000000007" customHeight="1" x14ac:dyDescent="0.2">
      <c r="A77" s="43"/>
      <c r="B77" s="419" t="s">
        <v>1737</v>
      </c>
      <c r="C77" s="420"/>
      <c r="D77" s="420"/>
      <c r="E77" s="420"/>
      <c r="F77" s="420"/>
      <c r="G77" s="417">
        <v>2019</v>
      </c>
      <c r="H77" s="406"/>
      <c r="I77" s="404"/>
      <c r="J77" s="424"/>
      <c r="K77" s="164">
        <v>1</v>
      </c>
      <c r="L77" s="91"/>
      <c r="M77" s="92"/>
    </row>
    <row r="78" spans="1:13" s="45" customFormat="1" ht="8.5500000000000007" customHeight="1" x14ac:dyDescent="0.2">
      <c r="A78" s="43"/>
      <c r="B78" s="421"/>
      <c r="C78" s="422"/>
      <c r="D78" s="422"/>
      <c r="E78" s="422"/>
      <c r="F78" s="422"/>
      <c r="G78" s="418"/>
      <c r="H78" s="407"/>
      <c r="I78" s="405"/>
      <c r="J78" s="407"/>
      <c r="K78" s="165"/>
      <c r="L78" s="91"/>
      <c r="M78" s="92"/>
    </row>
    <row r="79" spans="1:13" s="45" customFormat="1" ht="8.5500000000000007" customHeight="1" x14ac:dyDescent="0.2">
      <c r="A79" s="43"/>
      <c r="B79" s="419" t="s">
        <v>1738</v>
      </c>
      <c r="C79" s="420"/>
      <c r="D79" s="420"/>
      <c r="E79" s="420"/>
      <c r="F79" s="420"/>
      <c r="G79" s="417">
        <v>2020</v>
      </c>
      <c r="H79" s="406">
        <v>93</v>
      </c>
      <c r="I79" s="404"/>
      <c r="J79" s="402" t="s">
        <v>1782</v>
      </c>
      <c r="K79" s="164">
        <v>1</v>
      </c>
      <c r="L79" s="91"/>
      <c r="M79" s="92"/>
    </row>
    <row r="80" spans="1:13" s="45" customFormat="1" ht="8.5500000000000007" customHeight="1" x14ac:dyDescent="0.2">
      <c r="A80" s="43"/>
      <c r="B80" s="421"/>
      <c r="C80" s="422"/>
      <c r="D80" s="422"/>
      <c r="E80" s="422"/>
      <c r="F80" s="422"/>
      <c r="G80" s="418"/>
      <c r="H80" s="407"/>
      <c r="I80" s="405"/>
      <c r="J80" s="403"/>
      <c r="K80" s="165"/>
      <c r="L80" s="91"/>
      <c r="M80" s="92"/>
    </row>
    <row r="81" spans="1:13" s="45" customFormat="1" ht="8.5500000000000007" customHeight="1" x14ac:dyDescent="0.2">
      <c r="A81" s="43"/>
      <c r="B81" s="419" t="s">
        <v>205</v>
      </c>
      <c r="C81" s="420"/>
      <c r="D81" s="420"/>
      <c r="E81" s="420"/>
      <c r="F81" s="420"/>
      <c r="G81" s="417">
        <v>1999</v>
      </c>
      <c r="H81" s="390" t="s">
        <v>246</v>
      </c>
      <c r="I81" s="404"/>
      <c r="J81" s="402"/>
      <c r="K81" s="164">
        <v>1</v>
      </c>
      <c r="L81" s="91"/>
      <c r="M81" s="92"/>
    </row>
    <row r="82" spans="1:13" s="45" customFormat="1" ht="8.5500000000000007" customHeight="1" x14ac:dyDescent="0.2">
      <c r="A82" s="43"/>
      <c r="B82" s="421"/>
      <c r="C82" s="422"/>
      <c r="D82" s="422"/>
      <c r="E82" s="422"/>
      <c r="F82" s="422"/>
      <c r="G82" s="418"/>
      <c r="H82" s="391"/>
      <c r="I82" s="405"/>
      <c r="J82" s="403"/>
      <c r="K82" s="165"/>
      <c r="L82" s="91"/>
      <c r="M82" s="92"/>
    </row>
    <row r="83" spans="1:13" s="45" customFormat="1" ht="8.5500000000000007" customHeight="1" x14ac:dyDescent="0.2">
      <c r="A83" s="43"/>
      <c r="B83" s="419" t="s">
        <v>205</v>
      </c>
      <c r="C83" s="420"/>
      <c r="D83" s="420"/>
      <c r="E83" s="420"/>
      <c r="F83" s="420"/>
      <c r="G83" s="417">
        <v>2004</v>
      </c>
      <c r="H83" s="406">
        <v>95</v>
      </c>
      <c r="I83" s="404">
        <v>91</v>
      </c>
      <c r="J83" s="402" t="s">
        <v>239</v>
      </c>
      <c r="K83" s="164">
        <v>1</v>
      </c>
      <c r="L83" s="91"/>
      <c r="M83" s="92"/>
    </row>
    <row r="84" spans="1:13" s="45" customFormat="1" ht="8.5500000000000007" customHeight="1" x14ac:dyDescent="0.2">
      <c r="A84" s="43"/>
      <c r="B84" s="421"/>
      <c r="C84" s="422"/>
      <c r="D84" s="422"/>
      <c r="E84" s="422"/>
      <c r="F84" s="422"/>
      <c r="G84" s="418"/>
      <c r="H84" s="407"/>
      <c r="I84" s="405"/>
      <c r="J84" s="403"/>
      <c r="K84" s="165"/>
      <c r="L84" s="91"/>
      <c r="M84" s="92"/>
    </row>
    <row r="85" spans="1:13" s="45" customFormat="1" ht="8.5500000000000007" customHeight="1" x14ac:dyDescent="0.2">
      <c r="A85" s="43"/>
      <c r="B85" s="419" t="s">
        <v>205</v>
      </c>
      <c r="C85" s="420"/>
      <c r="D85" s="420"/>
      <c r="E85" s="420"/>
      <c r="F85" s="420"/>
      <c r="G85" s="417">
        <v>2005</v>
      </c>
      <c r="H85" s="406">
        <v>92</v>
      </c>
      <c r="I85" s="404">
        <v>92</v>
      </c>
      <c r="J85" s="402" t="s">
        <v>121</v>
      </c>
      <c r="K85" s="164">
        <v>1</v>
      </c>
      <c r="L85" s="91"/>
      <c r="M85" s="92"/>
    </row>
    <row r="86" spans="1:13" s="45" customFormat="1" ht="8.5500000000000007" customHeight="1" x14ac:dyDescent="0.2">
      <c r="A86" s="43"/>
      <c r="B86" s="421"/>
      <c r="C86" s="422"/>
      <c r="D86" s="422"/>
      <c r="E86" s="422"/>
      <c r="F86" s="422"/>
      <c r="G86" s="418"/>
      <c r="H86" s="407"/>
      <c r="I86" s="405"/>
      <c r="J86" s="403"/>
      <c r="K86" s="165"/>
      <c r="L86" s="91"/>
      <c r="M86" s="92"/>
    </row>
    <row r="87" spans="1:13" s="45" customFormat="1" ht="8.5500000000000007" customHeight="1" x14ac:dyDescent="0.2">
      <c r="A87" s="43"/>
      <c r="B87" s="419" t="s">
        <v>391</v>
      </c>
      <c r="C87" s="420"/>
      <c r="D87" s="420"/>
      <c r="E87" s="420"/>
      <c r="F87" s="420"/>
      <c r="G87" s="417">
        <v>2004</v>
      </c>
      <c r="H87" s="406" t="s">
        <v>74</v>
      </c>
      <c r="I87" s="404"/>
      <c r="J87" s="402" t="s">
        <v>414</v>
      </c>
      <c r="K87" s="164">
        <v>1</v>
      </c>
      <c r="L87" s="91"/>
      <c r="M87" s="92"/>
    </row>
    <row r="88" spans="1:13" s="45" customFormat="1" ht="8.5500000000000007" customHeight="1" x14ac:dyDescent="0.2">
      <c r="A88" s="43"/>
      <c r="B88" s="421"/>
      <c r="C88" s="422"/>
      <c r="D88" s="422"/>
      <c r="E88" s="422"/>
      <c r="F88" s="422"/>
      <c r="G88" s="418"/>
      <c r="H88" s="407"/>
      <c r="I88" s="405"/>
      <c r="J88" s="403"/>
      <c r="K88" s="165"/>
      <c r="L88" s="91"/>
      <c r="M88" s="92"/>
    </row>
    <row r="89" spans="1:13" s="45" customFormat="1" ht="8.5500000000000007" customHeight="1" x14ac:dyDescent="0.2">
      <c r="A89" s="43"/>
      <c r="B89" s="419" t="s">
        <v>18</v>
      </c>
      <c r="C89" s="420"/>
      <c r="D89" s="420"/>
      <c r="E89" s="420"/>
      <c r="F89" s="420"/>
      <c r="G89" s="417">
        <v>2002</v>
      </c>
      <c r="H89" s="390" t="s">
        <v>246</v>
      </c>
      <c r="I89" s="404"/>
      <c r="J89" s="424"/>
      <c r="K89" s="164">
        <v>2</v>
      </c>
      <c r="L89" s="91"/>
      <c r="M89" s="92"/>
    </row>
    <row r="90" spans="1:13" s="45" customFormat="1" ht="8.5500000000000007" customHeight="1" x14ac:dyDescent="0.2">
      <c r="A90" s="43"/>
      <c r="B90" s="421"/>
      <c r="C90" s="422"/>
      <c r="D90" s="422"/>
      <c r="E90" s="422"/>
      <c r="F90" s="422"/>
      <c r="G90" s="418"/>
      <c r="H90" s="391"/>
      <c r="I90" s="405"/>
      <c r="J90" s="407"/>
      <c r="K90" s="165"/>
      <c r="L90" s="91"/>
      <c r="M90" s="92"/>
    </row>
    <row r="91" spans="1:13" s="45" customFormat="1" ht="8.5500000000000007" customHeight="1" x14ac:dyDescent="0.2">
      <c r="A91" s="43"/>
      <c r="B91" s="419" t="s">
        <v>18</v>
      </c>
      <c r="C91" s="420"/>
      <c r="D91" s="420"/>
      <c r="E91" s="420"/>
      <c r="F91" s="420"/>
      <c r="G91" s="417">
        <v>2004</v>
      </c>
      <c r="H91" s="406">
        <v>94</v>
      </c>
      <c r="I91" s="404">
        <v>89</v>
      </c>
      <c r="J91" s="424" t="s">
        <v>255</v>
      </c>
      <c r="K91" s="164">
        <v>1</v>
      </c>
      <c r="L91" s="91"/>
      <c r="M91" s="92"/>
    </row>
    <row r="92" spans="1:13" s="45" customFormat="1" ht="8.5500000000000007" customHeight="1" x14ac:dyDescent="0.2">
      <c r="A92" s="43"/>
      <c r="B92" s="421"/>
      <c r="C92" s="422"/>
      <c r="D92" s="422"/>
      <c r="E92" s="422"/>
      <c r="F92" s="422"/>
      <c r="G92" s="418"/>
      <c r="H92" s="407"/>
      <c r="I92" s="405"/>
      <c r="J92" s="407"/>
      <c r="K92" s="165"/>
      <c r="L92" s="91"/>
      <c r="M92" s="92"/>
    </row>
    <row r="93" spans="1:13" s="45" customFormat="1" ht="8.5500000000000007" customHeight="1" x14ac:dyDescent="0.2">
      <c r="A93" s="43"/>
      <c r="B93" s="409" t="s">
        <v>206</v>
      </c>
      <c r="C93" s="410"/>
      <c r="D93" s="410"/>
      <c r="E93" s="410"/>
      <c r="F93" s="410"/>
      <c r="G93" s="417">
        <v>2004</v>
      </c>
      <c r="H93" s="406">
        <v>93</v>
      </c>
      <c r="I93" s="404">
        <v>94</v>
      </c>
      <c r="J93" s="424" t="s">
        <v>252</v>
      </c>
      <c r="K93" s="164">
        <v>1</v>
      </c>
      <c r="L93" s="91"/>
      <c r="M93" s="92"/>
    </row>
    <row r="94" spans="1:13" s="45" customFormat="1" ht="8.5500000000000007" customHeight="1" x14ac:dyDescent="0.2">
      <c r="A94" s="43"/>
      <c r="B94" s="411"/>
      <c r="C94" s="412"/>
      <c r="D94" s="412"/>
      <c r="E94" s="412"/>
      <c r="F94" s="412"/>
      <c r="G94" s="418"/>
      <c r="H94" s="407"/>
      <c r="I94" s="405"/>
      <c r="J94" s="407"/>
      <c r="K94" s="165"/>
      <c r="L94" s="91"/>
      <c r="M94" s="92"/>
    </row>
    <row r="95" spans="1:13" s="45" customFormat="1" ht="8.5500000000000007" customHeight="1" x14ac:dyDescent="0.2">
      <c r="A95" s="43"/>
      <c r="B95" s="409" t="s">
        <v>206</v>
      </c>
      <c r="C95" s="410"/>
      <c r="D95" s="410"/>
      <c r="E95" s="410"/>
      <c r="F95" s="410"/>
      <c r="G95" s="417">
        <v>2006</v>
      </c>
      <c r="H95" s="406">
        <v>87</v>
      </c>
      <c r="I95" s="404">
        <v>92</v>
      </c>
      <c r="J95" s="424"/>
      <c r="K95" s="164">
        <v>2</v>
      </c>
      <c r="L95" s="91"/>
      <c r="M95" s="92"/>
    </row>
    <row r="96" spans="1:13" s="45" customFormat="1" ht="8.5500000000000007" customHeight="1" x14ac:dyDescent="0.2">
      <c r="A96" s="43"/>
      <c r="B96" s="411"/>
      <c r="C96" s="412"/>
      <c r="D96" s="412"/>
      <c r="E96" s="412"/>
      <c r="F96" s="412"/>
      <c r="G96" s="418"/>
      <c r="H96" s="407"/>
      <c r="I96" s="405"/>
      <c r="J96" s="407"/>
      <c r="K96" s="165"/>
      <c r="L96" s="91"/>
      <c r="M96" s="92"/>
    </row>
    <row r="97" spans="1:13" s="45" customFormat="1" ht="8.5500000000000007" customHeight="1" x14ac:dyDescent="0.2">
      <c r="A97" s="43"/>
      <c r="B97" s="409" t="s">
        <v>1745</v>
      </c>
      <c r="C97" s="410"/>
      <c r="D97" s="410"/>
      <c r="E97" s="410"/>
      <c r="F97" s="410"/>
      <c r="G97" s="417">
        <v>2018</v>
      </c>
      <c r="H97" s="406"/>
      <c r="I97" s="404"/>
      <c r="J97" s="424"/>
      <c r="K97" s="164">
        <v>2</v>
      </c>
      <c r="L97" s="91"/>
      <c r="M97" s="92"/>
    </row>
    <row r="98" spans="1:13" s="45" customFormat="1" ht="8.5500000000000007" customHeight="1" x14ac:dyDescent="0.2">
      <c r="A98" s="43"/>
      <c r="B98" s="411"/>
      <c r="C98" s="412"/>
      <c r="D98" s="412"/>
      <c r="E98" s="412"/>
      <c r="F98" s="412"/>
      <c r="G98" s="418"/>
      <c r="H98" s="407"/>
      <c r="I98" s="405"/>
      <c r="J98" s="407"/>
      <c r="K98" s="165"/>
      <c r="L98" s="91"/>
      <c r="M98" s="92"/>
    </row>
    <row r="99" spans="1:13" s="45" customFormat="1" ht="8.5500000000000007" customHeight="1" x14ac:dyDescent="0.2">
      <c r="A99" s="43"/>
      <c r="B99" s="409" t="s">
        <v>980</v>
      </c>
      <c r="C99" s="410"/>
      <c r="D99" s="410"/>
      <c r="E99" s="410"/>
      <c r="F99" s="410"/>
      <c r="G99" s="417">
        <v>2005</v>
      </c>
      <c r="H99" s="406">
        <v>86</v>
      </c>
      <c r="I99" s="404"/>
      <c r="J99" s="424"/>
      <c r="K99" s="164">
        <v>1</v>
      </c>
      <c r="L99" s="91"/>
      <c r="M99" s="92"/>
    </row>
    <row r="100" spans="1:13" s="45" customFormat="1" ht="8.5500000000000007" customHeight="1" x14ac:dyDescent="0.2">
      <c r="A100" s="43"/>
      <c r="B100" s="411"/>
      <c r="C100" s="412"/>
      <c r="D100" s="412"/>
      <c r="E100" s="412"/>
      <c r="F100" s="412"/>
      <c r="G100" s="418"/>
      <c r="H100" s="407"/>
      <c r="I100" s="405"/>
      <c r="J100" s="407"/>
      <c r="K100" s="165"/>
      <c r="L100" s="91"/>
      <c r="M100" s="92"/>
    </row>
    <row r="101" spans="1:13" s="45" customFormat="1" ht="8.5500000000000007" customHeight="1" x14ac:dyDescent="0.2">
      <c r="A101" s="43"/>
      <c r="B101" s="409" t="s">
        <v>1470</v>
      </c>
      <c r="C101" s="410"/>
      <c r="D101" s="410"/>
      <c r="E101" s="410"/>
      <c r="F101" s="410"/>
      <c r="G101" s="417">
        <v>2000</v>
      </c>
      <c r="H101" s="406"/>
      <c r="I101" s="404"/>
      <c r="J101" s="402"/>
      <c r="K101" s="164">
        <v>1</v>
      </c>
      <c r="L101" s="91"/>
      <c r="M101" s="92"/>
    </row>
    <row r="102" spans="1:13" s="45" customFormat="1" ht="8.5500000000000007" customHeight="1" x14ac:dyDescent="0.2">
      <c r="A102" s="43"/>
      <c r="B102" s="411"/>
      <c r="C102" s="412"/>
      <c r="D102" s="412"/>
      <c r="E102" s="412"/>
      <c r="F102" s="412"/>
      <c r="G102" s="418"/>
      <c r="H102" s="407"/>
      <c r="I102" s="405"/>
      <c r="J102" s="403"/>
      <c r="K102" s="165"/>
      <c r="L102" s="91"/>
      <c r="M102" s="92"/>
    </row>
    <row r="103" spans="1:13" s="45" customFormat="1" ht="8.5500000000000007" customHeight="1" x14ac:dyDescent="0.2">
      <c r="A103" s="43"/>
      <c r="B103" s="409" t="s">
        <v>1410</v>
      </c>
      <c r="C103" s="410"/>
      <c r="D103" s="410"/>
      <c r="E103" s="410"/>
      <c r="F103" s="410"/>
      <c r="G103" s="417">
        <v>2005</v>
      </c>
      <c r="H103" s="406">
        <v>94</v>
      </c>
      <c r="I103" s="404"/>
      <c r="J103" s="402" t="s">
        <v>1576</v>
      </c>
      <c r="K103" s="164">
        <v>1</v>
      </c>
      <c r="L103" s="91"/>
      <c r="M103" s="92"/>
    </row>
    <row r="104" spans="1:13" s="45" customFormat="1" ht="8.5500000000000007" customHeight="1" x14ac:dyDescent="0.2">
      <c r="A104" s="43"/>
      <c r="B104" s="411"/>
      <c r="C104" s="412"/>
      <c r="D104" s="412"/>
      <c r="E104" s="412"/>
      <c r="F104" s="412"/>
      <c r="G104" s="418"/>
      <c r="H104" s="407"/>
      <c r="I104" s="405"/>
      <c r="J104" s="403"/>
      <c r="K104" s="165"/>
      <c r="L104" s="91"/>
      <c r="M104" s="92"/>
    </row>
    <row r="105" spans="1:13" s="45" customFormat="1" ht="8.5500000000000007" customHeight="1" x14ac:dyDescent="0.2">
      <c r="A105" s="43"/>
      <c r="B105" s="409" t="s">
        <v>1410</v>
      </c>
      <c r="C105" s="410"/>
      <c r="D105" s="410"/>
      <c r="E105" s="410"/>
      <c r="F105" s="410"/>
      <c r="G105" s="417">
        <v>2007</v>
      </c>
      <c r="H105" s="406" t="s">
        <v>841</v>
      </c>
      <c r="I105" s="404"/>
      <c r="J105" s="402" t="s">
        <v>319</v>
      </c>
      <c r="K105" s="164">
        <v>1</v>
      </c>
      <c r="L105" s="91"/>
      <c r="M105" s="92"/>
    </row>
    <row r="106" spans="1:13" s="45" customFormat="1" ht="8.5500000000000007" customHeight="1" x14ac:dyDescent="0.2">
      <c r="A106" s="43"/>
      <c r="B106" s="411"/>
      <c r="C106" s="412"/>
      <c r="D106" s="412"/>
      <c r="E106" s="412"/>
      <c r="F106" s="412"/>
      <c r="G106" s="418"/>
      <c r="H106" s="407"/>
      <c r="I106" s="405"/>
      <c r="J106" s="403"/>
      <c r="K106" s="165"/>
      <c r="L106" s="91"/>
      <c r="M106" s="92"/>
    </row>
    <row r="107" spans="1:13" s="45" customFormat="1" ht="8.5500000000000007" customHeight="1" x14ac:dyDescent="0.2">
      <c r="A107" s="43"/>
      <c r="B107" s="409" t="s">
        <v>1410</v>
      </c>
      <c r="C107" s="410"/>
      <c r="D107" s="410"/>
      <c r="E107" s="410"/>
      <c r="F107" s="410"/>
      <c r="G107" s="417">
        <v>2009</v>
      </c>
      <c r="H107" s="406">
        <v>93</v>
      </c>
      <c r="I107" s="404"/>
      <c r="J107" s="402" t="s">
        <v>1315</v>
      </c>
      <c r="K107" s="164">
        <v>1</v>
      </c>
      <c r="L107" s="91"/>
      <c r="M107" s="92"/>
    </row>
    <row r="108" spans="1:13" s="45" customFormat="1" ht="8.5500000000000007" customHeight="1" x14ac:dyDescent="0.2">
      <c r="A108" s="43"/>
      <c r="B108" s="411"/>
      <c r="C108" s="412"/>
      <c r="D108" s="412"/>
      <c r="E108" s="412"/>
      <c r="F108" s="412"/>
      <c r="G108" s="418"/>
      <c r="H108" s="407"/>
      <c r="I108" s="405"/>
      <c r="J108" s="403"/>
      <c r="K108" s="165"/>
      <c r="L108" s="91"/>
      <c r="M108" s="92"/>
    </row>
    <row r="109" spans="1:13" s="45" customFormat="1" ht="8.5500000000000007" customHeight="1" x14ac:dyDescent="0.2">
      <c r="A109" s="43"/>
      <c r="B109" s="409" t="s">
        <v>1411</v>
      </c>
      <c r="C109" s="410"/>
      <c r="D109" s="410"/>
      <c r="E109" s="410"/>
      <c r="F109" s="410"/>
      <c r="G109" s="417">
        <v>2009</v>
      </c>
      <c r="H109" s="390" t="s">
        <v>246</v>
      </c>
      <c r="I109" s="404"/>
      <c r="J109" s="424"/>
      <c r="K109" s="164">
        <v>2</v>
      </c>
      <c r="L109" s="91"/>
      <c r="M109" s="92"/>
    </row>
    <row r="110" spans="1:13" s="45" customFormat="1" ht="8.5500000000000007" customHeight="1" x14ac:dyDescent="0.2">
      <c r="A110" s="43"/>
      <c r="B110" s="411"/>
      <c r="C110" s="412"/>
      <c r="D110" s="412"/>
      <c r="E110" s="412"/>
      <c r="F110" s="412"/>
      <c r="G110" s="418"/>
      <c r="H110" s="391"/>
      <c r="I110" s="405"/>
      <c r="J110" s="407"/>
      <c r="K110" s="165"/>
      <c r="L110" s="91"/>
      <c r="M110" s="92"/>
    </row>
    <row r="111" spans="1:13" s="45" customFormat="1" ht="8.5500000000000007" customHeight="1" x14ac:dyDescent="0.2">
      <c r="A111" s="43"/>
      <c r="B111" s="409" t="s">
        <v>988</v>
      </c>
      <c r="C111" s="410"/>
      <c r="D111" s="410"/>
      <c r="E111" s="410"/>
      <c r="F111" s="410"/>
      <c r="G111" s="417">
        <v>1999</v>
      </c>
      <c r="H111" s="406">
        <v>92</v>
      </c>
      <c r="I111" s="404"/>
      <c r="J111" s="424"/>
      <c r="K111" s="164">
        <v>2</v>
      </c>
      <c r="L111" s="91"/>
      <c r="M111" s="92"/>
    </row>
    <row r="112" spans="1:13" s="45" customFormat="1" ht="8.5500000000000007" customHeight="1" x14ac:dyDescent="0.2">
      <c r="A112" s="43"/>
      <c r="B112" s="411"/>
      <c r="C112" s="412"/>
      <c r="D112" s="412"/>
      <c r="E112" s="412"/>
      <c r="F112" s="412"/>
      <c r="G112" s="418"/>
      <c r="H112" s="407"/>
      <c r="I112" s="405"/>
      <c r="J112" s="407"/>
      <c r="K112" s="165"/>
      <c r="L112" s="91"/>
      <c r="M112" s="92"/>
    </row>
    <row r="113" spans="1:13" s="45" customFormat="1" ht="8.5500000000000007" customHeight="1" x14ac:dyDescent="0.2">
      <c r="A113" s="43"/>
      <c r="B113" s="409" t="s">
        <v>988</v>
      </c>
      <c r="C113" s="410"/>
      <c r="D113" s="410"/>
      <c r="E113" s="410"/>
      <c r="F113" s="410"/>
      <c r="G113" s="417">
        <v>2001</v>
      </c>
      <c r="H113" s="406">
        <v>95</v>
      </c>
      <c r="I113" s="404"/>
      <c r="J113" s="424"/>
      <c r="K113" s="164">
        <v>2</v>
      </c>
      <c r="L113" s="91"/>
      <c r="M113" s="92"/>
    </row>
    <row r="114" spans="1:13" s="45" customFormat="1" ht="8.5500000000000007" customHeight="1" x14ac:dyDescent="0.2">
      <c r="A114" s="43"/>
      <c r="B114" s="411"/>
      <c r="C114" s="412"/>
      <c r="D114" s="412"/>
      <c r="E114" s="412"/>
      <c r="F114" s="412"/>
      <c r="G114" s="418"/>
      <c r="H114" s="407"/>
      <c r="I114" s="405"/>
      <c r="J114" s="407"/>
      <c r="K114" s="165"/>
      <c r="L114" s="91"/>
      <c r="M114" s="92"/>
    </row>
    <row r="115" spans="1:13" s="45" customFormat="1" ht="8.5500000000000007" customHeight="1" x14ac:dyDescent="0.2">
      <c r="A115" s="43"/>
      <c r="B115" s="409" t="s">
        <v>1742</v>
      </c>
      <c r="C115" s="410"/>
      <c r="D115" s="410"/>
      <c r="E115" s="410"/>
      <c r="F115" s="410"/>
      <c r="G115" s="417">
        <v>2019</v>
      </c>
      <c r="H115" s="406">
        <v>94</v>
      </c>
      <c r="I115" s="404"/>
      <c r="J115" s="424"/>
      <c r="K115" s="164">
        <v>2</v>
      </c>
      <c r="L115" s="91"/>
      <c r="M115" s="92"/>
    </row>
    <row r="116" spans="1:13" s="45" customFormat="1" ht="8.5500000000000007" customHeight="1" x14ac:dyDescent="0.2">
      <c r="A116" s="43"/>
      <c r="B116" s="411"/>
      <c r="C116" s="412"/>
      <c r="D116" s="412"/>
      <c r="E116" s="412"/>
      <c r="F116" s="412"/>
      <c r="G116" s="418"/>
      <c r="H116" s="407"/>
      <c r="I116" s="405"/>
      <c r="J116" s="407"/>
      <c r="K116" s="165"/>
      <c r="L116" s="91"/>
      <c r="M116" s="92"/>
    </row>
    <row r="117" spans="1:13" s="45" customFormat="1" ht="8.5500000000000007" customHeight="1" x14ac:dyDescent="0.2">
      <c r="A117" s="43"/>
      <c r="B117" s="409" t="s">
        <v>976</v>
      </c>
      <c r="C117" s="410"/>
      <c r="D117" s="410"/>
      <c r="E117" s="410"/>
      <c r="F117" s="410"/>
      <c r="G117" s="417">
        <v>2010</v>
      </c>
      <c r="H117" s="406">
        <v>88</v>
      </c>
      <c r="I117" s="404"/>
      <c r="J117" s="424"/>
      <c r="K117" s="164">
        <v>2</v>
      </c>
      <c r="L117" s="91"/>
      <c r="M117" s="92"/>
    </row>
    <row r="118" spans="1:13" s="45" customFormat="1" ht="8.5500000000000007" customHeight="1" x14ac:dyDescent="0.2">
      <c r="A118" s="43"/>
      <c r="B118" s="411"/>
      <c r="C118" s="412"/>
      <c r="D118" s="412"/>
      <c r="E118" s="412"/>
      <c r="F118" s="412"/>
      <c r="G118" s="418"/>
      <c r="H118" s="407"/>
      <c r="I118" s="405"/>
      <c r="J118" s="407"/>
      <c r="K118" s="165"/>
      <c r="L118" s="91"/>
      <c r="M118" s="92"/>
    </row>
    <row r="119" spans="1:13" s="45" customFormat="1" ht="8.5500000000000007" customHeight="1" x14ac:dyDescent="0.2">
      <c r="A119" s="43"/>
      <c r="B119" s="409" t="s">
        <v>1124</v>
      </c>
      <c r="C119" s="410"/>
      <c r="D119" s="410"/>
      <c r="E119" s="410"/>
      <c r="F119" s="410"/>
      <c r="G119" s="417">
        <v>2015</v>
      </c>
      <c r="H119" s="406">
        <v>94</v>
      </c>
      <c r="I119" s="404"/>
      <c r="J119" s="402" t="s">
        <v>63</v>
      </c>
      <c r="K119" s="164">
        <v>2</v>
      </c>
      <c r="L119" s="91"/>
      <c r="M119" s="92"/>
    </row>
    <row r="120" spans="1:13" s="45" customFormat="1" ht="8.5500000000000007" customHeight="1" x14ac:dyDescent="0.2">
      <c r="A120" s="43"/>
      <c r="B120" s="411"/>
      <c r="C120" s="412"/>
      <c r="D120" s="412"/>
      <c r="E120" s="412"/>
      <c r="F120" s="412"/>
      <c r="G120" s="418"/>
      <c r="H120" s="407"/>
      <c r="I120" s="405"/>
      <c r="J120" s="403"/>
      <c r="K120" s="165"/>
      <c r="L120" s="91"/>
      <c r="M120" s="92"/>
    </row>
    <row r="121" spans="1:13" s="45" customFormat="1" ht="8.5500000000000007" customHeight="1" x14ac:dyDescent="0.2">
      <c r="A121" s="43"/>
      <c r="B121" s="409" t="s">
        <v>1388</v>
      </c>
      <c r="C121" s="410"/>
      <c r="D121" s="410"/>
      <c r="E121" s="410"/>
      <c r="F121" s="410"/>
      <c r="G121" s="417">
        <v>2017</v>
      </c>
      <c r="H121" s="406">
        <v>89</v>
      </c>
      <c r="I121" s="404"/>
      <c r="J121" s="402" t="s">
        <v>1625</v>
      </c>
      <c r="K121" s="164">
        <v>3</v>
      </c>
      <c r="L121" s="91"/>
      <c r="M121" s="92"/>
    </row>
    <row r="122" spans="1:13" s="45" customFormat="1" ht="8.5500000000000007" customHeight="1" x14ac:dyDescent="0.2">
      <c r="A122" s="43"/>
      <c r="B122" s="411"/>
      <c r="C122" s="412"/>
      <c r="D122" s="412"/>
      <c r="E122" s="412"/>
      <c r="F122" s="412"/>
      <c r="G122" s="418"/>
      <c r="H122" s="407"/>
      <c r="I122" s="405"/>
      <c r="J122" s="403"/>
      <c r="K122" s="165"/>
      <c r="L122" s="91"/>
      <c r="M122" s="92"/>
    </row>
    <row r="123" spans="1:13" s="45" customFormat="1" ht="8.5500000000000007" customHeight="1" x14ac:dyDescent="0.2">
      <c r="A123" s="43"/>
      <c r="B123" s="408" t="s">
        <v>191</v>
      </c>
      <c r="C123" s="408"/>
      <c r="D123" s="408"/>
      <c r="E123" s="408"/>
      <c r="F123" s="408"/>
      <c r="G123" s="47"/>
      <c r="H123" s="47"/>
      <c r="I123" s="48"/>
      <c r="J123" s="48"/>
      <c r="K123" s="164"/>
      <c r="L123" s="91"/>
      <c r="M123" s="92"/>
    </row>
    <row r="124" spans="1:13" s="45" customFormat="1" ht="8.5500000000000007" customHeight="1" x14ac:dyDescent="0.2">
      <c r="A124" s="43"/>
      <c r="B124" s="340"/>
      <c r="C124" s="340"/>
      <c r="D124" s="340"/>
      <c r="E124" s="340"/>
      <c r="F124" s="340"/>
      <c r="G124" s="54"/>
      <c r="H124" s="54"/>
      <c r="I124" s="49"/>
      <c r="J124" s="49"/>
      <c r="K124" s="165"/>
      <c r="L124" s="91"/>
      <c r="M124" s="92"/>
    </row>
    <row r="125" spans="1:13" s="45" customFormat="1" ht="8.5500000000000007" customHeight="1" x14ac:dyDescent="0.2">
      <c r="A125" s="43"/>
      <c r="B125" s="409" t="s">
        <v>1843</v>
      </c>
      <c r="C125" s="410"/>
      <c r="D125" s="410"/>
      <c r="E125" s="410"/>
      <c r="F125" s="410"/>
      <c r="G125" s="417">
        <v>2018</v>
      </c>
      <c r="H125" s="406">
        <v>89</v>
      </c>
      <c r="I125" s="404"/>
      <c r="J125" s="402" t="s">
        <v>1721</v>
      </c>
      <c r="K125" s="164">
        <v>2</v>
      </c>
      <c r="L125" s="91"/>
      <c r="M125" s="92"/>
    </row>
    <row r="126" spans="1:13" s="45" customFormat="1" ht="8.5500000000000007" customHeight="1" x14ac:dyDescent="0.2">
      <c r="A126" s="43"/>
      <c r="B126" s="411"/>
      <c r="C126" s="412"/>
      <c r="D126" s="412"/>
      <c r="E126" s="412"/>
      <c r="F126" s="412"/>
      <c r="G126" s="418"/>
      <c r="H126" s="407"/>
      <c r="I126" s="405"/>
      <c r="J126" s="403"/>
      <c r="K126" s="165"/>
      <c r="L126" s="91"/>
      <c r="M126" s="92"/>
    </row>
    <row r="127" spans="1:13" s="45" customFormat="1" ht="8.5500000000000007" customHeight="1" x14ac:dyDescent="0.2">
      <c r="A127" s="43"/>
      <c r="B127" s="409" t="s">
        <v>1840</v>
      </c>
      <c r="C127" s="410"/>
      <c r="D127" s="410"/>
      <c r="E127" s="410"/>
      <c r="F127" s="410"/>
      <c r="G127" s="417">
        <v>2018</v>
      </c>
      <c r="H127" s="406">
        <v>88</v>
      </c>
      <c r="I127" s="404"/>
      <c r="J127" s="402" t="s">
        <v>1875</v>
      </c>
      <c r="K127" s="164">
        <v>2</v>
      </c>
      <c r="L127" s="91"/>
      <c r="M127" s="92"/>
    </row>
    <row r="128" spans="1:13" s="45" customFormat="1" ht="8.5500000000000007" customHeight="1" x14ac:dyDescent="0.2">
      <c r="A128" s="43"/>
      <c r="B128" s="411"/>
      <c r="C128" s="412"/>
      <c r="D128" s="412"/>
      <c r="E128" s="412"/>
      <c r="F128" s="412"/>
      <c r="G128" s="418"/>
      <c r="H128" s="407"/>
      <c r="I128" s="405"/>
      <c r="J128" s="403"/>
      <c r="K128" s="165"/>
      <c r="L128" s="91"/>
      <c r="M128" s="92"/>
    </row>
    <row r="129" spans="1:13" s="45" customFormat="1" ht="8.5500000000000007" customHeight="1" x14ac:dyDescent="0.2">
      <c r="A129" s="43"/>
      <c r="B129" s="409" t="s">
        <v>1417</v>
      </c>
      <c r="C129" s="410"/>
      <c r="D129" s="410"/>
      <c r="E129" s="410"/>
      <c r="F129" s="410"/>
      <c r="G129" s="417">
        <v>2018</v>
      </c>
      <c r="H129" s="406"/>
      <c r="I129" s="404"/>
      <c r="J129" s="424"/>
      <c r="K129" s="164">
        <v>4</v>
      </c>
      <c r="L129" s="91"/>
      <c r="M129" s="92"/>
    </row>
    <row r="130" spans="1:13" s="45" customFormat="1" ht="8.5500000000000007" customHeight="1" x14ac:dyDescent="0.2">
      <c r="A130" s="43"/>
      <c r="B130" s="411"/>
      <c r="C130" s="412"/>
      <c r="D130" s="412"/>
      <c r="E130" s="412"/>
      <c r="F130" s="412"/>
      <c r="G130" s="418"/>
      <c r="H130" s="407"/>
      <c r="I130" s="405"/>
      <c r="J130" s="407"/>
      <c r="K130" s="165"/>
      <c r="L130" s="91"/>
      <c r="M130" s="92"/>
    </row>
    <row r="131" spans="1:13" s="45" customFormat="1" ht="8.5500000000000007" customHeight="1" x14ac:dyDescent="0.2">
      <c r="A131" s="43"/>
      <c r="B131" s="409" t="s">
        <v>1780</v>
      </c>
      <c r="C131" s="410"/>
      <c r="D131" s="410"/>
      <c r="E131" s="410"/>
      <c r="F131" s="410"/>
      <c r="G131" s="417">
        <v>2019</v>
      </c>
      <c r="H131" s="406" t="s">
        <v>841</v>
      </c>
      <c r="I131" s="404"/>
      <c r="J131" s="402" t="s">
        <v>1872</v>
      </c>
      <c r="K131" s="164">
        <v>1</v>
      </c>
      <c r="L131" s="91"/>
      <c r="M131" s="92"/>
    </row>
    <row r="132" spans="1:13" s="45" customFormat="1" ht="8.5500000000000007" customHeight="1" x14ac:dyDescent="0.2">
      <c r="A132" s="43"/>
      <c r="B132" s="411"/>
      <c r="C132" s="412"/>
      <c r="D132" s="412"/>
      <c r="E132" s="412"/>
      <c r="F132" s="412"/>
      <c r="G132" s="418"/>
      <c r="H132" s="407"/>
      <c r="I132" s="405"/>
      <c r="J132" s="403"/>
      <c r="K132" s="165"/>
      <c r="L132" s="91"/>
      <c r="M132" s="92"/>
    </row>
    <row r="133" spans="1:13" s="45" customFormat="1" ht="8.5500000000000007" customHeight="1" x14ac:dyDescent="0.2">
      <c r="A133" s="43"/>
      <c r="B133" s="409" t="s">
        <v>1839</v>
      </c>
      <c r="C133" s="410"/>
      <c r="D133" s="410"/>
      <c r="E133" s="410"/>
      <c r="F133" s="410"/>
      <c r="G133" s="417">
        <v>2019</v>
      </c>
      <c r="H133" s="406" t="s">
        <v>841</v>
      </c>
      <c r="I133" s="404"/>
      <c r="J133" s="402" t="s">
        <v>1872</v>
      </c>
      <c r="K133" s="164">
        <v>1</v>
      </c>
      <c r="L133" s="91"/>
      <c r="M133" s="92"/>
    </row>
    <row r="134" spans="1:13" s="45" customFormat="1" ht="8.5500000000000007" customHeight="1" x14ac:dyDescent="0.2">
      <c r="A134" s="43"/>
      <c r="B134" s="411"/>
      <c r="C134" s="412"/>
      <c r="D134" s="412"/>
      <c r="E134" s="412"/>
      <c r="F134" s="412"/>
      <c r="G134" s="418"/>
      <c r="H134" s="407"/>
      <c r="I134" s="405"/>
      <c r="J134" s="403"/>
      <c r="K134" s="165"/>
      <c r="L134" s="91"/>
      <c r="M134" s="92"/>
    </row>
    <row r="135" spans="1:13" s="45" customFormat="1" ht="8.5500000000000007" customHeight="1" x14ac:dyDescent="0.2">
      <c r="A135" s="43"/>
      <c r="B135" s="409" t="s">
        <v>1842</v>
      </c>
      <c r="C135" s="410"/>
      <c r="D135" s="410"/>
      <c r="E135" s="410"/>
      <c r="F135" s="410"/>
      <c r="G135" s="417">
        <v>2019</v>
      </c>
      <c r="H135" s="406">
        <v>87</v>
      </c>
      <c r="I135" s="404"/>
      <c r="J135" s="402" t="s">
        <v>1610</v>
      </c>
      <c r="K135" s="164">
        <v>2</v>
      </c>
      <c r="L135" s="91"/>
      <c r="M135" s="92"/>
    </row>
    <row r="136" spans="1:13" s="45" customFormat="1" ht="8.5500000000000007" customHeight="1" x14ac:dyDescent="0.2">
      <c r="A136" s="43"/>
      <c r="B136" s="411"/>
      <c r="C136" s="412"/>
      <c r="D136" s="412"/>
      <c r="E136" s="412"/>
      <c r="F136" s="412"/>
      <c r="G136" s="418"/>
      <c r="H136" s="407"/>
      <c r="I136" s="405"/>
      <c r="J136" s="403"/>
      <c r="K136" s="165"/>
      <c r="L136" s="91"/>
      <c r="M136" s="92"/>
    </row>
    <row r="137" spans="1:13" s="45" customFormat="1" ht="8.5500000000000007" customHeight="1" x14ac:dyDescent="0.2">
      <c r="A137" s="43"/>
      <c r="B137" s="409" t="s">
        <v>1841</v>
      </c>
      <c r="C137" s="410"/>
      <c r="D137" s="410"/>
      <c r="E137" s="410"/>
      <c r="F137" s="410"/>
      <c r="G137" s="417">
        <v>2020</v>
      </c>
      <c r="H137" s="406"/>
      <c r="I137" s="404"/>
      <c r="J137" s="424"/>
      <c r="K137" s="164">
        <v>3</v>
      </c>
      <c r="L137" s="91"/>
      <c r="M137" s="92"/>
    </row>
    <row r="138" spans="1:13" s="45" customFormat="1" ht="8.5500000000000007" customHeight="1" x14ac:dyDescent="0.2">
      <c r="A138" s="43"/>
      <c r="B138" s="411"/>
      <c r="C138" s="412"/>
      <c r="D138" s="412"/>
      <c r="E138" s="412"/>
      <c r="F138" s="412"/>
      <c r="G138" s="418"/>
      <c r="H138" s="407"/>
      <c r="I138" s="405"/>
      <c r="J138" s="407"/>
      <c r="K138" s="165"/>
      <c r="L138" s="91"/>
      <c r="M138" s="92"/>
    </row>
    <row r="139" spans="1:13" s="45" customFormat="1" ht="8.5500000000000007" customHeight="1" x14ac:dyDescent="0.2">
      <c r="A139" s="43"/>
      <c r="B139" s="409" t="s">
        <v>1816</v>
      </c>
      <c r="C139" s="410"/>
      <c r="D139" s="410"/>
      <c r="E139" s="410"/>
      <c r="F139" s="410"/>
      <c r="G139" s="417">
        <v>2021</v>
      </c>
      <c r="H139" s="406">
        <v>93</v>
      </c>
      <c r="I139" s="404"/>
      <c r="J139" s="402" t="s">
        <v>1876</v>
      </c>
      <c r="K139" s="164">
        <v>4</v>
      </c>
      <c r="L139" s="91"/>
      <c r="M139" s="92"/>
    </row>
    <row r="140" spans="1:13" s="45" customFormat="1" ht="8.5500000000000007" customHeight="1" x14ac:dyDescent="0.2">
      <c r="A140" s="43"/>
      <c r="B140" s="411"/>
      <c r="C140" s="412"/>
      <c r="D140" s="412"/>
      <c r="E140" s="412"/>
      <c r="F140" s="412"/>
      <c r="G140" s="418"/>
      <c r="H140" s="407"/>
      <c r="I140" s="405"/>
      <c r="J140" s="403"/>
      <c r="K140" s="165"/>
      <c r="L140" s="91"/>
      <c r="M140" s="92"/>
    </row>
    <row r="141" spans="1:13" s="45" customFormat="1" ht="8.5500000000000007" customHeight="1" x14ac:dyDescent="0.2">
      <c r="A141" s="43"/>
      <c r="B141" s="409" t="s">
        <v>1811</v>
      </c>
      <c r="C141" s="410"/>
      <c r="D141" s="410"/>
      <c r="E141" s="410"/>
      <c r="F141" s="410"/>
      <c r="G141" s="417">
        <v>2016</v>
      </c>
      <c r="H141" s="406"/>
      <c r="I141" s="404"/>
      <c r="J141" s="424"/>
      <c r="K141" s="164">
        <v>3</v>
      </c>
      <c r="L141" s="91"/>
      <c r="M141" s="92"/>
    </row>
    <row r="142" spans="1:13" s="45" customFormat="1" ht="8.5500000000000007" customHeight="1" x14ac:dyDescent="0.2">
      <c r="A142" s="43"/>
      <c r="B142" s="411"/>
      <c r="C142" s="412"/>
      <c r="D142" s="412"/>
      <c r="E142" s="412"/>
      <c r="F142" s="412"/>
      <c r="G142" s="418"/>
      <c r="H142" s="407"/>
      <c r="I142" s="405"/>
      <c r="J142" s="407"/>
      <c r="K142" s="165"/>
      <c r="L142" s="91"/>
      <c r="M142" s="92"/>
    </row>
    <row r="143" spans="1:13" s="45" customFormat="1" ht="8.5500000000000007" customHeight="1" x14ac:dyDescent="0.2">
      <c r="A143" s="43"/>
      <c r="B143" s="409" t="s">
        <v>1852</v>
      </c>
      <c r="C143" s="410"/>
      <c r="D143" s="410"/>
      <c r="E143" s="410"/>
      <c r="F143" s="410"/>
      <c r="G143" s="417">
        <v>2021</v>
      </c>
      <c r="H143" s="406">
        <v>91</v>
      </c>
      <c r="I143" s="404"/>
      <c r="J143" s="402" t="s">
        <v>1877</v>
      </c>
      <c r="K143" s="164">
        <v>14</v>
      </c>
      <c r="L143" s="91"/>
      <c r="M143" s="92"/>
    </row>
    <row r="144" spans="1:13" s="45" customFormat="1" ht="8.5500000000000007" customHeight="1" x14ac:dyDescent="0.2">
      <c r="A144" s="43"/>
      <c r="B144" s="411"/>
      <c r="C144" s="412"/>
      <c r="D144" s="412"/>
      <c r="E144" s="412"/>
      <c r="F144" s="412"/>
      <c r="G144" s="418"/>
      <c r="H144" s="407"/>
      <c r="I144" s="405"/>
      <c r="J144" s="403"/>
      <c r="K144" s="165"/>
      <c r="L144" s="91"/>
      <c r="M144" s="92"/>
    </row>
    <row r="145" spans="1:13" s="45" customFormat="1" ht="8.5500000000000007" customHeight="1" x14ac:dyDescent="0.2">
      <c r="A145" s="43"/>
      <c r="B145" s="419" t="s">
        <v>1978</v>
      </c>
      <c r="C145" s="420"/>
      <c r="D145" s="420"/>
      <c r="E145" s="420"/>
      <c r="F145" s="420"/>
      <c r="G145" s="417">
        <v>2022</v>
      </c>
      <c r="H145" s="406"/>
      <c r="I145" s="417"/>
      <c r="J145" s="402"/>
      <c r="K145" s="164">
        <v>3</v>
      </c>
      <c r="L145" s="91"/>
      <c r="M145" s="92"/>
    </row>
    <row r="146" spans="1:13" s="45" customFormat="1" ht="8.5500000000000007" customHeight="1" x14ac:dyDescent="0.2">
      <c r="A146" s="43"/>
      <c r="B146" s="421"/>
      <c r="C146" s="422"/>
      <c r="D146" s="422"/>
      <c r="E146" s="422"/>
      <c r="F146" s="422"/>
      <c r="G146" s="418"/>
      <c r="H146" s="407"/>
      <c r="I146" s="418"/>
      <c r="J146" s="403"/>
      <c r="K146" s="165"/>
      <c r="L146" s="91"/>
      <c r="M146" s="92"/>
    </row>
    <row r="147" spans="1:13" s="45" customFormat="1" ht="8.5500000000000007" customHeight="1" x14ac:dyDescent="0.2">
      <c r="A147" s="43"/>
      <c r="B147" s="170" t="s">
        <v>804</v>
      </c>
      <c r="C147" s="170"/>
      <c r="D147" s="170"/>
      <c r="E147" s="170"/>
      <c r="F147" s="170"/>
      <c r="G147" s="47"/>
      <c r="H147" s="47"/>
      <c r="I147" s="48"/>
      <c r="J147" s="48"/>
      <c r="K147" s="224">
        <v>123</v>
      </c>
      <c r="L147" s="447">
        <f>+K147</f>
        <v>123</v>
      </c>
      <c r="M147" s="92"/>
    </row>
    <row r="148" spans="1:13" s="45" customFormat="1" ht="8.5500000000000007" customHeight="1" x14ac:dyDescent="0.2">
      <c r="A148" s="43"/>
      <c r="B148" s="171"/>
      <c r="C148" s="171"/>
      <c r="D148" s="171"/>
      <c r="E148" s="171"/>
      <c r="F148" s="171"/>
      <c r="G148" s="54"/>
      <c r="H148" s="54"/>
      <c r="I148" s="49"/>
      <c r="J148" s="49"/>
      <c r="K148" s="225"/>
      <c r="L148" s="448"/>
      <c r="M148" s="92"/>
    </row>
    <row r="149" spans="1:13" s="45" customFormat="1" ht="8.5500000000000007" customHeight="1" x14ac:dyDescent="0.2">
      <c r="A149" s="43"/>
      <c r="B149" s="423" t="s">
        <v>92</v>
      </c>
      <c r="C149" s="423"/>
      <c r="D149" s="423"/>
      <c r="E149" s="423"/>
      <c r="F149" s="423"/>
      <c r="G149" s="47"/>
      <c r="H149" s="47"/>
      <c r="I149" s="48"/>
      <c r="J149" s="48"/>
      <c r="K149" s="222"/>
      <c r="L149" s="91"/>
      <c r="M149" s="92"/>
    </row>
    <row r="150" spans="1:13" s="45" customFormat="1" ht="8.5500000000000007" customHeight="1" x14ac:dyDescent="0.2">
      <c r="A150" s="43"/>
      <c r="B150" s="348"/>
      <c r="C150" s="348"/>
      <c r="D150" s="348"/>
      <c r="E150" s="348"/>
      <c r="F150" s="348"/>
      <c r="G150" s="54"/>
      <c r="H150" s="54"/>
      <c r="I150" s="49"/>
      <c r="J150" s="49"/>
      <c r="K150" s="165"/>
      <c r="L150" s="91"/>
      <c r="M150" s="92"/>
    </row>
    <row r="151" spans="1:13" s="45" customFormat="1" ht="8.5500000000000007" customHeight="1" x14ac:dyDescent="0.2">
      <c r="A151" s="43"/>
      <c r="B151" s="425" t="s">
        <v>195</v>
      </c>
      <c r="C151" s="410"/>
      <c r="D151" s="410"/>
      <c r="E151" s="410"/>
      <c r="F151" s="410"/>
      <c r="G151" s="417">
        <v>1994</v>
      </c>
      <c r="H151" s="406"/>
      <c r="I151" s="404"/>
      <c r="J151" s="402"/>
      <c r="K151" s="164">
        <v>1</v>
      </c>
      <c r="L151" s="91"/>
      <c r="M151" s="92"/>
    </row>
    <row r="152" spans="1:13" s="45" customFormat="1" ht="8.5500000000000007" customHeight="1" x14ac:dyDescent="0.2">
      <c r="A152" s="43"/>
      <c r="B152" s="411"/>
      <c r="C152" s="412"/>
      <c r="D152" s="412"/>
      <c r="E152" s="412"/>
      <c r="F152" s="412"/>
      <c r="G152" s="418"/>
      <c r="H152" s="407"/>
      <c r="I152" s="405"/>
      <c r="J152" s="403"/>
      <c r="K152" s="165"/>
      <c r="L152" s="91"/>
      <c r="M152" s="92"/>
    </row>
    <row r="153" spans="1:13" s="45" customFormat="1" ht="8.5500000000000007" customHeight="1" x14ac:dyDescent="0.2">
      <c r="A153" s="43"/>
      <c r="B153" s="425" t="s">
        <v>195</v>
      </c>
      <c r="C153" s="410"/>
      <c r="D153" s="410"/>
      <c r="E153" s="410"/>
      <c r="F153" s="410"/>
      <c r="G153" s="417">
        <v>1995</v>
      </c>
      <c r="H153" s="406"/>
      <c r="I153" s="404"/>
      <c r="J153" s="402"/>
      <c r="K153" s="164">
        <v>1</v>
      </c>
      <c r="L153" s="91"/>
      <c r="M153" s="92"/>
    </row>
    <row r="154" spans="1:13" s="45" customFormat="1" ht="8.5500000000000007" customHeight="1" x14ac:dyDescent="0.2">
      <c r="A154" s="43"/>
      <c r="B154" s="411"/>
      <c r="C154" s="412"/>
      <c r="D154" s="412"/>
      <c r="E154" s="412"/>
      <c r="F154" s="412"/>
      <c r="G154" s="418"/>
      <c r="H154" s="407"/>
      <c r="I154" s="405"/>
      <c r="J154" s="403"/>
      <c r="K154" s="165"/>
      <c r="L154" s="91"/>
      <c r="M154" s="92"/>
    </row>
    <row r="155" spans="1:13" s="45" customFormat="1" ht="8.5500000000000007" customHeight="1" x14ac:dyDescent="0.2">
      <c r="A155" s="43"/>
      <c r="B155" s="425" t="s">
        <v>195</v>
      </c>
      <c r="C155" s="410"/>
      <c r="D155" s="410"/>
      <c r="E155" s="410"/>
      <c r="F155" s="410"/>
      <c r="G155" s="417">
        <v>1997</v>
      </c>
      <c r="H155" s="406"/>
      <c r="I155" s="404"/>
      <c r="J155" s="402"/>
      <c r="K155" s="164">
        <v>1</v>
      </c>
      <c r="L155" s="91"/>
      <c r="M155" s="92"/>
    </row>
    <row r="156" spans="1:13" s="45" customFormat="1" ht="8.5500000000000007" customHeight="1" x14ac:dyDescent="0.2">
      <c r="A156" s="43"/>
      <c r="B156" s="411"/>
      <c r="C156" s="412"/>
      <c r="D156" s="412"/>
      <c r="E156" s="412"/>
      <c r="F156" s="412"/>
      <c r="G156" s="418"/>
      <c r="H156" s="407"/>
      <c r="I156" s="405"/>
      <c r="J156" s="403"/>
      <c r="K156" s="165"/>
      <c r="L156" s="91"/>
      <c r="M156" s="92"/>
    </row>
    <row r="157" spans="1:13" s="45" customFormat="1" ht="8.5500000000000007" customHeight="1" x14ac:dyDescent="0.2">
      <c r="A157" s="43"/>
      <c r="B157" s="425" t="s">
        <v>195</v>
      </c>
      <c r="C157" s="410"/>
      <c r="D157" s="410"/>
      <c r="E157" s="410"/>
      <c r="F157" s="410"/>
      <c r="G157" s="417">
        <v>1998</v>
      </c>
      <c r="H157" s="406">
        <v>86</v>
      </c>
      <c r="I157" s="404"/>
      <c r="J157" s="402" t="s">
        <v>129</v>
      </c>
      <c r="K157" s="164">
        <v>2</v>
      </c>
      <c r="L157" s="91"/>
      <c r="M157" s="92"/>
    </row>
    <row r="158" spans="1:13" s="45" customFormat="1" ht="8.5500000000000007" customHeight="1" x14ac:dyDescent="0.2">
      <c r="A158" s="43"/>
      <c r="B158" s="411"/>
      <c r="C158" s="412"/>
      <c r="D158" s="412"/>
      <c r="E158" s="412"/>
      <c r="F158" s="412"/>
      <c r="G158" s="418"/>
      <c r="H158" s="407"/>
      <c r="I158" s="405"/>
      <c r="J158" s="403"/>
      <c r="K158" s="165"/>
      <c r="L158" s="91"/>
      <c r="M158" s="92"/>
    </row>
    <row r="159" spans="1:13" s="45" customFormat="1" ht="8.5500000000000007" customHeight="1" x14ac:dyDescent="0.2">
      <c r="A159" s="43"/>
      <c r="B159" s="425" t="s">
        <v>195</v>
      </c>
      <c r="C159" s="410"/>
      <c r="D159" s="410"/>
      <c r="E159" s="410"/>
      <c r="F159" s="410"/>
      <c r="G159" s="417">
        <v>2001</v>
      </c>
      <c r="H159" s="406"/>
      <c r="I159" s="404"/>
      <c r="J159" s="402"/>
      <c r="K159" s="164">
        <v>1</v>
      </c>
      <c r="L159" s="91"/>
      <c r="M159" s="92"/>
    </row>
    <row r="160" spans="1:13" s="45" customFormat="1" ht="8.5500000000000007" customHeight="1" x14ac:dyDescent="0.2">
      <c r="A160" s="43"/>
      <c r="B160" s="411"/>
      <c r="C160" s="412"/>
      <c r="D160" s="412"/>
      <c r="E160" s="412"/>
      <c r="F160" s="412"/>
      <c r="G160" s="418"/>
      <c r="H160" s="407"/>
      <c r="I160" s="405"/>
      <c r="J160" s="403"/>
      <c r="K160" s="165"/>
      <c r="L160" s="91"/>
      <c r="M160" s="92"/>
    </row>
    <row r="161" spans="1:13" s="45" customFormat="1" ht="8.5500000000000007" customHeight="1" x14ac:dyDescent="0.2">
      <c r="A161" s="43"/>
      <c r="B161" s="425" t="s">
        <v>195</v>
      </c>
      <c r="C161" s="410"/>
      <c r="D161" s="410"/>
      <c r="E161" s="410"/>
      <c r="F161" s="410"/>
      <c r="G161" s="417">
        <v>2003</v>
      </c>
      <c r="H161" s="406">
        <v>92</v>
      </c>
      <c r="I161" s="404"/>
      <c r="J161" s="402" t="s">
        <v>121</v>
      </c>
      <c r="K161" s="164">
        <v>1</v>
      </c>
      <c r="L161" s="91"/>
      <c r="M161" s="92"/>
    </row>
    <row r="162" spans="1:13" s="45" customFormat="1" ht="8.5500000000000007" customHeight="1" x14ac:dyDescent="0.2">
      <c r="A162" s="43"/>
      <c r="B162" s="411"/>
      <c r="C162" s="412"/>
      <c r="D162" s="412"/>
      <c r="E162" s="412"/>
      <c r="F162" s="412"/>
      <c r="G162" s="418"/>
      <c r="H162" s="407"/>
      <c r="I162" s="405"/>
      <c r="J162" s="403"/>
      <c r="K162" s="165"/>
      <c r="L162" s="91"/>
      <c r="M162" s="92"/>
    </row>
    <row r="163" spans="1:13" s="45" customFormat="1" ht="8.5500000000000007" customHeight="1" x14ac:dyDescent="0.2">
      <c r="A163" s="43"/>
      <c r="B163" s="426" t="s">
        <v>195</v>
      </c>
      <c r="C163" s="426"/>
      <c r="D163" s="426"/>
      <c r="E163" s="426"/>
      <c r="F163" s="425"/>
      <c r="G163" s="417">
        <v>2005</v>
      </c>
      <c r="H163" s="406" t="s">
        <v>276</v>
      </c>
      <c r="I163" s="404"/>
      <c r="J163" s="449" t="s">
        <v>277</v>
      </c>
      <c r="K163" s="164">
        <v>1</v>
      </c>
      <c r="L163" s="91"/>
      <c r="M163" s="92"/>
    </row>
    <row r="164" spans="1:13" s="45" customFormat="1" ht="8.5500000000000007" customHeight="1" x14ac:dyDescent="0.2">
      <c r="A164" s="43"/>
      <c r="B164" s="427"/>
      <c r="C164" s="427"/>
      <c r="D164" s="427"/>
      <c r="E164" s="427"/>
      <c r="F164" s="428"/>
      <c r="G164" s="418"/>
      <c r="H164" s="407"/>
      <c r="I164" s="405"/>
      <c r="J164" s="450"/>
      <c r="K164" s="165"/>
      <c r="L164" s="91"/>
      <c r="M164" s="92"/>
    </row>
    <row r="165" spans="1:13" s="45" customFormat="1" ht="8.5500000000000007" customHeight="1" x14ac:dyDescent="0.2">
      <c r="A165" s="43"/>
      <c r="B165" s="425" t="s">
        <v>195</v>
      </c>
      <c r="C165" s="410"/>
      <c r="D165" s="410"/>
      <c r="E165" s="410"/>
      <c r="F165" s="410"/>
      <c r="G165" s="417">
        <v>2007</v>
      </c>
      <c r="H165" s="406">
        <v>93</v>
      </c>
      <c r="I165" s="404"/>
      <c r="J165" s="451"/>
      <c r="K165" s="164">
        <v>2</v>
      </c>
      <c r="L165" s="91"/>
      <c r="M165" s="92"/>
    </row>
    <row r="166" spans="1:13" s="45" customFormat="1" ht="8.5500000000000007" customHeight="1" x14ac:dyDescent="0.2">
      <c r="A166" s="43"/>
      <c r="B166" s="411"/>
      <c r="C166" s="412"/>
      <c r="D166" s="412"/>
      <c r="E166" s="412"/>
      <c r="F166" s="412"/>
      <c r="G166" s="418"/>
      <c r="H166" s="407"/>
      <c r="I166" s="405"/>
      <c r="J166" s="403"/>
      <c r="K166" s="165"/>
      <c r="L166" s="91"/>
      <c r="M166" s="92"/>
    </row>
    <row r="167" spans="1:13" s="45" customFormat="1" ht="8.5500000000000007" customHeight="1" x14ac:dyDescent="0.2">
      <c r="A167" s="43"/>
      <c r="B167" s="425" t="s">
        <v>195</v>
      </c>
      <c r="C167" s="410"/>
      <c r="D167" s="410"/>
      <c r="E167" s="410"/>
      <c r="F167" s="410"/>
      <c r="G167" s="417">
        <v>2016</v>
      </c>
      <c r="H167" s="406">
        <v>92</v>
      </c>
      <c r="I167" s="404"/>
      <c r="J167" s="402" t="s">
        <v>1578</v>
      </c>
      <c r="K167" s="164">
        <v>1</v>
      </c>
      <c r="L167" s="91"/>
      <c r="M167" s="92"/>
    </row>
    <row r="168" spans="1:13" s="45" customFormat="1" ht="8.5500000000000007" customHeight="1" x14ac:dyDescent="0.2">
      <c r="A168" s="43"/>
      <c r="B168" s="411"/>
      <c r="C168" s="412"/>
      <c r="D168" s="412"/>
      <c r="E168" s="412"/>
      <c r="F168" s="412"/>
      <c r="G168" s="418"/>
      <c r="H168" s="407"/>
      <c r="I168" s="405"/>
      <c r="J168" s="403"/>
      <c r="K168" s="165"/>
      <c r="L168" s="91"/>
      <c r="M168" s="92"/>
    </row>
    <row r="169" spans="1:13" s="45" customFormat="1" ht="8.5500000000000007" customHeight="1" x14ac:dyDescent="0.2">
      <c r="A169" s="43"/>
      <c r="B169" s="419" t="s">
        <v>301</v>
      </c>
      <c r="C169" s="420"/>
      <c r="D169" s="420"/>
      <c r="E169" s="420"/>
      <c r="F169" s="420"/>
      <c r="G169" s="417">
        <v>1996</v>
      </c>
      <c r="H169" s="406"/>
      <c r="I169" s="404"/>
      <c r="J169" s="402"/>
      <c r="K169" s="164">
        <v>1</v>
      </c>
      <c r="L169" s="91"/>
      <c r="M169" s="92"/>
    </row>
    <row r="170" spans="1:13" s="45" customFormat="1" ht="8.5500000000000007" customHeight="1" x14ac:dyDescent="0.2">
      <c r="A170" s="43"/>
      <c r="B170" s="421"/>
      <c r="C170" s="422"/>
      <c r="D170" s="422"/>
      <c r="E170" s="422"/>
      <c r="F170" s="422"/>
      <c r="G170" s="418"/>
      <c r="H170" s="407"/>
      <c r="I170" s="405"/>
      <c r="J170" s="403"/>
      <c r="K170" s="165"/>
      <c r="L170" s="91"/>
      <c r="M170" s="92"/>
    </row>
    <row r="171" spans="1:13" s="45" customFormat="1" ht="8.5500000000000007" customHeight="1" x14ac:dyDescent="0.2">
      <c r="A171" s="43"/>
      <c r="B171" s="419" t="s">
        <v>301</v>
      </c>
      <c r="C171" s="420"/>
      <c r="D171" s="420"/>
      <c r="E171" s="420"/>
      <c r="F171" s="420"/>
      <c r="G171" s="417">
        <v>2002</v>
      </c>
      <c r="H171" s="406"/>
      <c r="I171" s="404"/>
      <c r="J171" s="402"/>
      <c r="K171" s="164">
        <v>1</v>
      </c>
      <c r="L171" s="91"/>
      <c r="M171" s="92"/>
    </row>
    <row r="172" spans="1:13" s="45" customFormat="1" ht="8.5500000000000007" customHeight="1" x14ac:dyDescent="0.2">
      <c r="A172" s="43"/>
      <c r="B172" s="421"/>
      <c r="C172" s="422"/>
      <c r="D172" s="422"/>
      <c r="E172" s="422"/>
      <c r="F172" s="422"/>
      <c r="G172" s="418"/>
      <c r="H172" s="407"/>
      <c r="I172" s="405"/>
      <c r="J172" s="403"/>
      <c r="K172" s="165"/>
      <c r="L172" s="91"/>
      <c r="M172" s="92"/>
    </row>
    <row r="173" spans="1:13" s="45" customFormat="1" ht="8.5500000000000007" customHeight="1" x14ac:dyDescent="0.2">
      <c r="A173" s="43"/>
      <c r="B173" s="419" t="s">
        <v>301</v>
      </c>
      <c r="C173" s="420"/>
      <c r="D173" s="420"/>
      <c r="E173" s="420"/>
      <c r="F173" s="420"/>
      <c r="G173" s="417">
        <v>2011</v>
      </c>
      <c r="H173" s="406"/>
      <c r="I173" s="404"/>
      <c r="J173" s="402"/>
      <c r="K173" s="164">
        <v>1</v>
      </c>
      <c r="L173" s="91"/>
      <c r="M173" s="92"/>
    </row>
    <row r="174" spans="1:13" s="45" customFormat="1" ht="8.5500000000000007" customHeight="1" x14ac:dyDescent="0.2">
      <c r="A174" s="43"/>
      <c r="B174" s="421"/>
      <c r="C174" s="422"/>
      <c r="D174" s="422"/>
      <c r="E174" s="422"/>
      <c r="F174" s="422"/>
      <c r="G174" s="418"/>
      <c r="H174" s="407"/>
      <c r="I174" s="405"/>
      <c r="J174" s="403"/>
      <c r="K174" s="165"/>
      <c r="L174" s="91"/>
      <c r="M174" s="92"/>
    </row>
    <row r="175" spans="1:13" s="45" customFormat="1" ht="8.5500000000000007" customHeight="1" x14ac:dyDescent="0.2">
      <c r="A175" s="43"/>
      <c r="B175" s="419" t="s">
        <v>301</v>
      </c>
      <c r="C175" s="420"/>
      <c r="D175" s="420"/>
      <c r="E175" s="420"/>
      <c r="F175" s="420"/>
      <c r="G175" s="417">
        <v>2016</v>
      </c>
      <c r="H175" s="406">
        <v>90</v>
      </c>
      <c r="I175" s="404"/>
      <c r="J175" s="402" t="s">
        <v>1720</v>
      </c>
      <c r="K175" s="164">
        <v>1</v>
      </c>
      <c r="L175" s="91"/>
      <c r="M175" s="92"/>
    </row>
    <row r="176" spans="1:13" s="45" customFormat="1" ht="8.5500000000000007" customHeight="1" x14ac:dyDescent="0.2">
      <c r="A176" s="43"/>
      <c r="B176" s="421"/>
      <c r="C176" s="422"/>
      <c r="D176" s="422"/>
      <c r="E176" s="422"/>
      <c r="F176" s="422"/>
      <c r="G176" s="418"/>
      <c r="H176" s="407"/>
      <c r="I176" s="405"/>
      <c r="J176" s="403"/>
      <c r="K176" s="165"/>
      <c r="L176" s="91"/>
      <c r="M176" s="92"/>
    </row>
    <row r="177" spans="1:13" s="45" customFormat="1" ht="8.5500000000000007" customHeight="1" x14ac:dyDescent="0.2">
      <c r="A177" s="43"/>
      <c r="B177" s="419" t="s">
        <v>1151</v>
      </c>
      <c r="C177" s="420"/>
      <c r="D177" s="420"/>
      <c r="E177" s="420"/>
      <c r="F177" s="420"/>
      <c r="G177" s="417">
        <v>2002</v>
      </c>
      <c r="H177" s="406">
        <v>88</v>
      </c>
      <c r="I177" s="404"/>
      <c r="J177" s="402" t="s">
        <v>1596</v>
      </c>
      <c r="K177" s="164">
        <v>1</v>
      </c>
      <c r="L177" s="91"/>
      <c r="M177" s="92"/>
    </row>
    <row r="178" spans="1:13" s="45" customFormat="1" ht="8.5500000000000007" customHeight="1" x14ac:dyDescent="0.2">
      <c r="A178" s="43"/>
      <c r="B178" s="421"/>
      <c r="C178" s="422"/>
      <c r="D178" s="422"/>
      <c r="E178" s="422"/>
      <c r="F178" s="422"/>
      <c r="G178" s="418"/>
      <c r="H178" s="407"/>
      <c r="I178" s="405"/>
      <c r="J178" s="403"/>
      <c r="K178" s="165"/>
      <c r="L178" s="91"/>
      <c r="M178" s="92"/>
    </row>
    <row r="179" spans="1:13" s="45" customFormat="1" ht="8.5500000000000007" customHeight="1" x14ac:dyDescent="0.2">
      <c r="A179" s="43"/>
      <c r="B179" s="408" t="s">
        <v>1420</v>
      </c>
      <c r="C179" s="408"/>
      <c r="D179" s="408"/>
      <c r="E179" s="408"/>
      <c r="F179" s="408"/>
      <c r="G179" s="47"/>
      <c r="H179" s="47"/>
      <c r="I179" s="48"/>
      <c r="J179" s="48"/>
      <c r="K179" s="164"/>
      <c r="L179" s="91"/>
      <c r="M179" s="92"/>
    </row>
    <row r="180" spans="1:13" s="45" customFormat="1" ht="8.5500000000000007" customHeight="1" x14ac:dyDescent="0.2">
      <c r="A180" s="43"/>
      <c r="B180" s="340"/>
      <c r="C180" s="340"/>
      <c r="D180" s="340"/>
      <c r="E180" s="340"/>
      <c r="F180" s="340"/>
      <c r="G180" s="54"/>
      <c r="H180" s="54"/>
      <c r="I180" s="49"/>
      <c r="J180" s="49"/>
      <c r="K180" s="165"/>
      <c r="L180" s="91"/>
      <c r="M180" s="92"/>
    </row>
    <row r="181" spans="1:13" s="45" customFormat="1" ht="8.5500000000000007" customHeight="1" x14ac:dyDescent="0.2">
      <c r="A181" s="43"/>
      <c r="B181" s="419" t="s">
        <v>1708</v>
      </c>
      <c r="C181" s="420"/>
      <c r="D181" s="420"/>
      <c r="E181" s="420"/>
      <c r="F181" s="420"/>
      <c r="G181" s="417">
        <v>2014</v>
      </c>
      <c r="H181" s="406">
        <v>92</v>
      </c>
      <c r="I181" s="404"/>
      <c r="J181" s="402" t="s">
        <v>1709</v>
      </c>
      <c r="K181" s="164">
        <v>3</v>
      </c>
      <c r="L181" s="91"/>
      <c r="M181" s="92"/>
    </row>
    <row r="182" spans="1:13" s="45" customFormat="1" ht="8.5500000000000007" customHeight="1" x14ac:dyDescent="0.2">
      <c r="A182" s="43"/>
      <c r="B182" s="421"/>
      <c r="C182" s="422"/>
      <c r="D182" s="422"/>
      <c r="E182" s="422"/>
      <c r="F182" s="422"/>
      <c r="G182" s="418"/>
      <c r="H182" s="407"/>
      <c r="I182" s="405"/>
      <c r="J182" s="403"/>
      <c r="K182" s="165"/>
      <c r="L182" s="91"/>
      <c r="M182" s="92"/>
    </row>
    <row r="183" spans="1:13" s="45" customFormat="1" ht="8.5500000000000007" customHeight="1" x14ac:dyDescent="0.2">
      <c r="A183" s="43"/>
      <c r="B183" s="419" t="s">
        <v>196</v>
      </c>
      <c r="C183" s="420"/>
      <c r="D183" s="420"/>
      <c r="E183" s="420"/>
      <c r="F183" s="420"/>
      <c r="G183" s="417">
        <v>1997</v>
      </c>
      <c r="H183" s="406"/>
      <c r="I183" s="404"/>
      <c r="J183" s="402"/>
      <c r="K183" s="164">
        <v>1</v>
      </c>
      <c r="L183" s="91"/>
      <c r="M183" s="92"/>
    </row>
    <row r="184" spans="1:13" s="45" customFormat="1" ht="8.5500000000000007" customHeight="1" x14ac:dyDescent="0.2">
      <c r="A184" s="43"/>
      <c r="B184" s="421"/>
      <c r="C184" s="422"/>
      <c r="D184" s="422"/>
      <c r="E184" s="422"/>
      <c r="F184" s="422"/>
      <c r="G184" s="418"/>
      <c r="H184" s="407"/>
      <c r="I184" s="405"/>
      <c r="J184" s="403"/>
      <c r="K184" s="165"/>
      <c r="L184" s="91"/>
      <c r="M184" s="92"/>
    </row>
    <row r="185" spans="1:13" s="45" customFormat="1" ht="8.5500000000000007" customHeight="1" x14ac:dyDescent="0.2">
      <c r="A185" s="43"/>
      <c r="B185" s="419" t="s">
        <v>196</v>
      </c>
      <c r="C185" s="420"/>
      <c r="D185" s="420"/>
      <c r="E185" s="420"/>
      <c r="F185" s="420"/>
      <c r="G185" s="417">
        <v>2016</v>
      </c>
      <c r="H185" s="406"/>
      <c r="I185" s="404"/>
      <c r="J185" s="402"/>
      <c r="K185" s="164">
        <v>3</v>
      </c>
      <c r="L185" s="91"/>
      <c r="M185" s="92"/>
    </row>
    <row r="186" spans="1:13" s="45" customFormat="1" ht="8.5500000000000007" customHeight="1" x14ac:dyDescent="0.2">
      <c r="A186" s="43"/>
      <c r="B186" s="421"/>
      <c r="C186" s="422"/>
      <c r="D186" s="422"/>
      <c r="E186" s="422"/>
      <c r="F186" s="422"/>
      <c r="G186" s="418"/>
      <c r="H186" s="407"/>
      <c r="I186" s="405"/>
      <c r="J186" s="403"/>
      <c r="K186" s="165"/>
      <c r="L186" s="91"/>
      <c r="M186" s="92"/>
    </row>
    <row r="187" spans="1:13" s="45" customFormat="1" ht="8.5500000000000007" customHeight="1" x14ac:dyDescent="0.2">
      <c r="A187" s="43"/>
      <c r="B187" s="419" t="s">
        <v>906</v>
      </c>
      <c r="C187" s="420"/>
      <c r="D187" s="420"/>
      <c r="E187" s="420"/>
      <c r="F187" s="420"/>
      <c r="G187" s="417">
        <v>1992</v>
      </c>
      <c r="H187" s="406"/>
      <c r="I187" s="404"/>
      <c r="J187" s="424"/>
      <c r="K187" s="164">
        <v>1</v>
      </c>
      <c r="L187" s="91"/>
      <c r="M187" s="92"/>
    </row>
    <row r="188" spans="1:13" s="45" customFormat="1" ht="8.5500000000000007" customHeight="1" x14ac:dyDescent="0.2">
      <c r="A188" s="43"/>
      <c r="B188" s="421"/>
      <c r="C188" s="422"/>
      <c r="D188" s="422"/>
      <c r="E188" s="422"/>
      <c r="F188" s="422"/>
      <c r="G188" s="418"/>
      <c r="H188" s="407"/>
      <c r="I188" s="405"/>
      <c r="J188" s="407"/>
      <c r="K188" s="165"/>
      <c r="L188" s="91"/>
      <c r="M188" s="92"/>
    </row>
    <row r="189" spans="1:13" s="45" customFormat="1" ht="8.5500000000000007" customHeight="1" x14ac:dyDescent="0.2">
      <c r="A189" s="43"/>
      <c r="B189" s="419" t="s">
        <v>906</v>
      </c>
      <c r="C189" s="420"/>
      <c r="D189" s="420"/>
      <c r="E189" s="420"/>
      <c r="F189" s="420"/>
      <c r="G189" s="417">
        <v>1993</v>
      </c>
      <c r="H189" s="406"/>
      <c r="I189" s="404"/>
      <c r="J189" s="424"/>
      <c r="K189" s="164">
        <v>2</v>
      </c>
      <c r="L189" s="91"/>
      <c r="M189" s="92"/>
    </row>
    <row r="190" spans="1:13" s="45" customFormat="1" ht="8.5500000000000007" customHeight="1" x14ac:dyDescent="0.2">
      <c r="A190" s="43"/>
      <c r="B190" s="421"/>
      <c r="C190" s="422"/>
      <c r="D190" s="422"/>
      <c r="E190" s="422"/>
      <c r="F190" s="422"/>
      <c r="G190" s="418"/>
      <c r="H190" s="407"/>
      <c r="I190" s="405"/>
      <c r="J190" s="407"/>
      <c r="K190" s="165"/>
      <c r="L190" s="91"/>
      <c r="M190" s="92"/>
    </row>
    <row r="191" spans="1:13" s="45" customFormat="1" ht="8.5500000000000007" customHeight="1" x14ac:dyDescent="0.2">
      <c r="A191" s="43"/>
      <c r="B191" s="419" t="s">
        <v>906</v>
      </c>
      <c r="C191" s="420"/>
      <c r="D191" s="420"/>
      <c r="E191" s="420"/>
      <c r="F191" s="420"/>
      <c r="G191" s="417">
        <v>2015</v>
      </c>
      <c r="H191" s="406">
        <v>95</v>
      </c>
      <c r="I191" s="404"/>
      <c r="J191" s="424"/>
      <c r="K191" s="164">
        <v>3</v>
      </c>
      <c r="L191" s="91"/>
      <c r="M191" s="92"/>
    </row>
    <row r="192" spans="1:13" s="45" customFormat="1" ht="8.5500000000000007" customHeight="1" x14ac:dyDescent="0.2">
      <c r="A192" s="43"/>
      <c r="B192" s="421"/>
      <c r="C192" s="422"/>
      <c r="D192" s="422"/>
      <c r="E192" s="422"/>
      <c r="F192" s="422"/>
      <c r="G192" s="418"/>
      <c r="H192" s="407"/>
      <c r="I192" s="405"/>
      <c r="J192" s="407"/>
      <c r="K192" s="165"/>
      <c r="L192" s="91"/>
      <c r="M192" s="92"/>
    </row>
    <row r="193" spans="1:13" s="45" customFormat="1" ht="8.5500000000000007" customHeight="1" x14ac:dyDescent="0.2">
      <c r="A193" s="43"/>
      <c r="B193" s="419" t="s">
        <v>273</v>
      </c>
      <c r="C193" s="420"/>
      <c r="D193" s="420"/>
      <c r="E193" s="420"/>
      <c r="F193" s="420"/>
      <c r="G193" s="417">
        <v>2005</v>
      </c>
      <c r="H193" s="406"/>
      <c r="I193" s="404"/>
      <c r="J193" s="424"/>
      <c r="K193" s="164">
        <v>1</v>
      </c>
      <c r="L193" s="91"/>
      <c r="M193" s="92"/>
    </row>
    <row r="194" spans="1:13" s="45" customFormat="1" ht="8.5500000000000007" customHeight="1" x14ac:dyDescent="0.2">
      <c r="A194" s="43"/>
      <c r="B194" s="421"/>
      <c r="C194" s="422"/>
      <c r="D194" s="422"/>
      <c r="E194" s="422"/>
      <c r="F194" s="422"/>
      <c r="G194" s="418"/>
      <c r="H194" s="407"/>
      <c r="I194" s="405"/>
      <c r="J194" s="407"/>
      <c r="K194" s="165"/>
      <c r="L194" s="91"/>
      <c r="M194" s="92"/>
    </row>
    <row r="195" spans="1:13" s="45" customFormat="1" ht="8.5500000000000007" customHeight="1" x14ac:dyDescent="0.2">
      <c r="A195" s="43"/>
      <c r="B195" s="419" t="s">
        <v>273</v>
      </c>
      <c r="C195" s="420"/>
      <c r="D195" s="420"/>
      <c r="E195" s="420"/>
      <c r="F195" s="420"/>
      <c r="G195" s="417">
        <v>2011</v>
      </c>
      <c r="H195" s="406">
        <v>97</v>
      </c>
      <c r="I195" s="404"/>
      <c r="J195" s="424" t="s">
        <v>1597</v>
      </c>
      <c r="K195" s="164">
        <v>1</v>
      </c>
      <c r="L195" s="91"/>
      <c r="M195" s="92"/>
    </row>
    <row r="196" spans="1:13" s="45" customFormat="1" ht="8.5500000000000007" customHeight="1" x14ac:dyDescent="0.2">
      <c r="A196" s="43"/>
      <c r="B196" s="421"/>
      <c r="C196" s="422"/>
      <c r="D196" s="422"/>
      <c r="E196" s="422"/>
      <c r="F196" s="422"/>
      <c r="G196" s="418"/>
      <c r="H196" s="407"/>
      <c r="I196" s="405"/>
      <c r="J196" s="407"/>
      <c r="K196" s="165"/>
      <c r="L196" s="91"/>
      <c r="M196" s="92"/>
    </row>
    <row r="197" spans="1:13" s="45" customFormat="1" ht="8.5500000000000007" customHeight="1" x14ac:dyDescent="0.2">
      <c r="A197" s="43"/>
      <c r="B197" s="419" t="s">
        <v>1412</v>
      </c>
      <c r="C197" s="420"/>
      <c r="D197" s="420"/>
      <c r="E197" s="420"/>
      <c r="F197" s="420"/>
      <c r="G197" s="417">
        <v>2014</v>
      </c>
      <c r="H197" s="406">
        <v>92</v>
      </c>
      <c r="I197" s="404"/>
      <c r="J197" s="402" t="s">
        <v>1578</v>
      </c>
      <c r="K197" s="164">
        <v>2</v>
      </c>
      <c r="L197" s="91"/>
      <c r="M197" s="92"/>
    </row>
    <row r="198" spans="1:13" s="45" customFormat="1" ht="8.5500000000000007" customHeight="1" x14ac:dyDescent="0.2">
      <c r="A198" s="43"/>
      <c r="B198" s="421"/>
      <c r="C198" s="422"/>
      <c r="D198" s="422"/>
      <c r="E198" s="422"/>
      <c r="F198" s="422"/>
      <c r="G198" s="418"/>
      <c r="H198" s="407"/>
      <c r="I198" s="405"/>
      <c r="J198" s="403"/>
      <c r="K198" s="165"/>
      <c r="L198" s="91"/>
      <c r="M198" s="92"/>
    </row>
    <row r="199" spans="1:13" s="45" customFormat="1" ht="8.5500000000000007" customHeight="1" x14ac:dyDescent="0.2">
      <c r="A199" s="43"/>
      <c r="B199" s="419" t="s">
        <v>1121</v>
      </c>
      <c r="C199" s="420"/>
      <c r="D199" s="420"/>
      <c r="E199" s="420"/>
      <c r="F199" s="420"/>
      <c r="G199" s="417">
        <v>2014</v>
      </c>
      <c r="H199" s="406"/>
      <c r="I199" s="404"/>
      <c r="J199" s="402"/>
      <c r="K199" s="164">
        <v>3</v>
      </c>
      <c r="L199" s="91"/>
      <c r="M199" s="92"/>
    </row>
    <row r="200" spans="1:13" s="45" customFormat="1" ht="8.5500000000000007" customHeight="1" x14ac:dyDescent="0.2">
      <c r="A200" s="43"/>
      <c r="B200" s="421"/>
      <c r="C200" s="422"/>
      <c r="D200" s="422"/>
      <c r="E200" s="422"/>
      <c r="F200" s="422"/>
      <c r="G200" s="418"/>
      <c r="H200" s="407"/>
      <c r="I200" s="405"/>
      <c r="J200" s="403"/>
      <c r="K200" s="165"/>
      <c r="L200" s="91"/>
      <c r="M200" s="92"/>
    </row>
    <row r="201" spans="1:13" s="45" customFormat="1" ht="8.5500000000000007" customHeight="1" x14ac:dyDescent="0.2">
      <c r="A201" s="43"/>
      <c r="B201" s="429" t="s">
        <v>550</v>
      </c>
      <c r="C201" s="430"/>
      <c r="D201" s="430"/>
      <c r="E201" s="430"/>
      <c r="F201" s="430"/>
      <c r="G201" s="417">
        <v>2003</v>
      </c>
      <c r="H201" s="406"/>
      <c r="I201" s="404"/>
      <c r="J201" s="402"/>
      <c r="K201" s="164">
        <v>1</v>
      </c>
      <c r="L201" s="91"/>
      <c r="M201" s="92"/>
    </row>
    <row r="202" spans="1:13" s="45" customFormat="1" ht="8.5500000000000007" customHeight="1" x14ac:dyDescent="0.2">
      <c r="A202" s="43"/>
      <c r="B202" s="431"/>
      <c r="C202" s="432"/>
      <c r="D202" s="432"/>
      <c r="E202" s="432"/>
      <c r="F202" s="432"/>
      <c r="G202" s="418"/>
      <c r="H202" s="407"/>
      <c r="I202" s="405"/>
      <c r="J202" s="403"/>
      <c r="K202" s="165"/>
      <c r="L202" s="91"/>
      <c r="M202" s="92"/>
    </row>
    <row r="203" spans="1:13" s="45" customFormat="1" ht="8.5500000000000007" customHeight="1" x14ac:dyDescent="0.2">
      <c r="A203" s="43"/>
      <c r="B203" s="419" t="s">
        <v>551</v>
      </c>
      <c r="C203" s="420"/>
      <c r="D203" s="420"/>
      <c r="E203" s="420"/>
      <c r="F203" s="420"/>
      <c r="G203" s="417">
        <v>2007</v>
      </c>
      <c r="H203" s="406"/>
      <c r="I203" s="404"/>
      <c r="J203" s="402"/>
      <c r="K203" s="164">
        <v>2</v>
      </c>
      <c r="L203" s="91"/>
      <c r="M203" s="92"/>
    </row>
    <row r="204" spans="1:13" s="45" customFormat="1" ht="8.5500000000000007" customHeight="1" x14ac:dyDescent="0.2">
      <c r="A204" s="43"/>
      <c r="B204" s="421"/>
      <c r="C204" s="422"/>
      <c r="D204" s="422"/>
      <c r="E204" s="422"/>
      <c r="F204" s="422"/>
      <c r="G204" s="418"/>
      <c r="H204" s="407"/>
      <c r="I204" s="405"/>
      <c r="J204" s="403"/>
      <c r="K204" s="165"/>
      <c r="L204" s="91"/>
      <c r="M204" s="92"/>
    </row>
    <row r="205" spans="1:13" s="45" customFormat="1" ht="8.5500000000000007" customHeight="1" x14ac:dyDescent="0.2">
      <c r="A205" s="43"/>
      <c r="B205" s="419" t="s">
        <v>1710</v>
      </c>
      <c r="C205" s="420"/>
      <c r="D205" s="420"/>
      <c r="E205" s="420"/>
      <c r="F205" s="420"/>
      <c r="G205" s="417">
        <v>2016</v>
      </c>
      <c r="H205" s="406">
        <v>93</v>
      </c>
      <c r="I205" s="404"/>
      <c r="J205" s="402" t="s">
        <v>1712</v>
      </c>
      <c r="K205" s="164">
        <v>3</v>
      </c>
      <c r="L205" s="91"/>
      <c r="M205" s="92"/>
    </row>
    <row r="206" spans="1:13" s="45" customFormat="1" ht="8.5500000000000007" customHeight="1" x14ac:dyDescent="0.2">
      <c r="A206" s="43"/>
      <c r="B206" s="421"/>
      <c r="C206" s="422"/>
      <c r="D206" s="422"/>
      <c r="E206" s="422"/>
      <c r="F206" s="422"/>
      <c r="G206" s="418"/>
      <c r="H206" s="407"/>
      <c r="I206" s="405"/>
      <c r="J206" s="403"/>
      <c r="K206" s="165"/>
      <c r="L206" s="91"/>
      <c r="M206" s="92"/>
    </row>
    <row r="207" spans="1:13" s="45" customFormat="1" ht="8.5500000000000007" customHeight="1" x14ac:dyDescent="0.2">
      <c r="A207" s="43"/>
      <c r="B207" s="419" t="s">
        <v>100</v>
      </c>
      <c r="C207" s="420"/>
      <c r="D207" s="420"/>
      <c r="E207" s="420"/>
      <c r="F207" s="420"/>
      <c r="G207" s="417">
        <v>2007</v>
      </c>
      <c r="H207" s="406"/>
      <c r="I207" s="404"/>
      <c r="J207" s="402"/>
      <c r="K207" s="164">
        <v>2</v>
      </c>
      <c r="L207" s="91"/>
      <c r="M207" s="92"/>
    </row>
    <row r="208" spans="1:13" s="45" customFormat="1" ht="8.5500000000000007" customHeight="1" x14ac:dyDescent="0.2">
      <c r="A208" s="43"/>
      <c r="B208" s="421"/>
      <c r="C208" s="422"/>
      <c r="D208" s="422"/>
      <c r="E208" s="422"/>
      <c r="F208" s="422"/>
      <c r="G208" s="418"/>
      <c r="H208" s="407"/>
      <c r="I208" s="405"/>
      <c r="J208" s="403"/>
      <c r="K208" s="165"/>
      <c r="L208" s="91"/>
      <c r="M208" s="92"/>
    </row>
    <row r="209" spans="1:13" s="45" customFormat="1" ht="8.5500000000000007" customHeight="1" x14ac:dyDescent="0.2">
      <c r="A209" s="43"/>
      <c r="B209" s="419" t="s">
        <v>1116</v>
      </c>
      <c r="C209" s="420"/>
      <c r="D209" s="420"/>
      <c r="E209" s="420"/>
      <c r="F209" s="420"/>
      <c r="G209" s="417">
        <v>2009</v>
      </c>
      <c r="H209" s="406"/>
      <c r="I209" s="417"/>
      <c r="J209" s="402"/>
      <c r="K209" s="164">
        <v>1</v>
      </c>
      <c r="L209" s="91"/>
      <c r="M209" s="92"/>
    </row>
    <row r="210" spans="1:13" s="45" customFormat="1" ht="8.5500000000000007" customHeight="1" x14ac:dyDescent="0.2">
      <c r="A210" s="43"/>
      <c r="B210" s="421"/>
      <c r="C210" s="422"/>
      <c r="D210" s="422"/>
      <c r="E210" s="422"/>
      <c r="F210" s="422"/>
      <c r="G210" s="418"/>
      <c r="H210" s="407"/>
      <c r="I210" s="418"/>
      <c r="J210" s="403"/>
      <c r="K210" s="165"/>
      <c r="L210" s="91"/>
      <c r="M210" s="92"/>
    </row>
    <row r="211" spans="1:13" s="45" customFormat="1" ht="8.5500000000000007" customHeight="1" x14ac:dyDescent="0.2">
      <c r="A211" s="43"/>
      <c r="B211" s="419" t="s">
        <v>741</v>
      </c>
      <c r="C211" s="420"/>
      <c r="D211" s="420"/>
      <c r="E211" s="420"/>
      <c r="F211" s="420"/>
      <c r="G211" s="417">
        <v>1947</v>
      </c>
      <c r="H211" s="406"/>
      <c r="I211" s="417"/>
      <c r="J211" s="402"/>
      <c r="K211" s="164">
        <v>1</v>
      </c>
      <c r="L211" s="91"/>
      <c r="M211" s="92"/>
    </row>
    <row r="212" spans="1:13" s="45" customFormat="1" ht="8.5500000000000007" customHeight="1" x14ac:dyDescent="0.2">
      <c r="A212" s="43"/>
      <c r="B212" s="421"/>
      <c r="C212" s="422"/>
      <c r="D212" s="422"/>
      <c r="E212" s="422"/>
      <c r="F212" s="422"/>
      <c r="G212" s="418"/>
      <c r="H212" s="407"/>
      <c r="I212" s="418"/>
      <c r="J212" s="403"/>
      <c r="K212" s="165"/>
      <c r="L212" s="91"/>
      <c r="M212" s="92"/>
    </row>
    <row r="213" spans="1:13" s="45" customFormat="1" ht="8.5500000000000007" customHeight="1" x14ac:dyDescent="0.2">
      <c r="A213" s="43"/>
      <c r="B213" s="419" t="s">
        <v>1598</v>
      </c>
      <c r="C213" s="420"/>
      <c r="D213" s="420"/>
      <c r="E213" s="420"/>
      <c r="F213" s="420"/>
      <c r="G213" s="417">
        <v>2015</v>
      </c>
      <c r="H213" s="406">
        <v>90</v>
      </c>
      <c r="I213" s="417"/>
      <c r="J213" s="402" t="s">
        <v>1599</v>
      </c>
      <c r="K213" s="164">
        <v>1</v>
      </c>
      <c r="L213" s="91"/>
      <c r="M213" s="92"/>
    </row>
    <row r="214" spans="1:13" s="45" customFormat="1" ht="8.5500000000000007" customHeight="1" x14ac:dyDescent="0.2">
      <c r="A214" s="43"/>
      <c r="B214" s="421"/>
      <c r="C214" s="422"/>
      <c r="D214" s="422"/>
      <c r="E214" s="422"/>
      <c r="F214" s="422"/>
      <c r="G214" s="418"/>
      <c r="H214" s="407"/>
      <c r="I214" s="418"/>
      <c r="J214" s="403"/>
      <c r="K214" s="165"/>
      <c r="L214" s="91"/>
      <c r="M214" s="92"/>
    </row>
    <row r="215" spans="1:13" s="45" customFormat="1" ht="8.5500000000000007" customHeight="1" x14ac:dyDescent="0.2">
      <c r="A215" s="43"/>
      <c r="B215" s="419" t="s">
        <v>1739</v>
      </c>
      <c r="C215" s="420"/>
      <c r="D215" s="420"/>
      <c r="E215" s="420"/>
      <c r="F215" s="420"/>
      <c r="G215" s="417">
        <v>2016</v>
      </c>
      <c r="H215" s="406"/>
      <c r="I215" s="417"/>
      <c r="J215" s="402"/>
      <c r="K215" s="164">
        <v>3</v>
      </c>
      <c r="L215" s="91"/>
      <c r="M215" s="92"/>
    </row>
    <row r="216" spans="1:13" s="45" customFormat="1" ht="8.5500000000000007" customHeight="1" x14ac:dyDescent="0.2">
      <c r="A216" s="43"/>
      <c r="B216" s="421"/>
      <c r="C216" s="422"/>
      <c r="D216" s="422"/>
      <c r="E216" s="422"/>
      <c r="F216" s="422"/>
      <c r="G216" s="418"/>
      <c r="H216" s="407"/>
      <c r="I216" s="418"/>
      <c r="J216" s="403"/>
      <c r="K216" s="165"/>
      <c r="L216" s="91"/>
      <c r="M216" s="92"/>
    </row>
    <row r="217" spans="1:13" s="45" customFormat="1" ht="8.5500000000000007" customHeight="1" x14ac:dyDescent="0.2">
      <c r="A217" s="43"/>
      <c r="B217" s="419" t="s">
        <v>1977</v>
      </c>
      <c r="C217" s="420"/>
      <c r="D217" s="420"/>
      <c r="E217" s="420"/>
      <c r="F217" s="420"/>
      <c r="G217" s="417">
        <v>2017</v>
      </c>
      <c r="H217" s="406"/>
      <c r="I217" s="417"/>
      <c r="J217" s="402"/>
      <c r="K217" s="164">
        <v>3</v>
      </c>
      <c r="L217" s="91"/>
      <c r="M217" s="92"/>
    </row>
    <row r="218" spans="1:13" s="45" customFormat="1" ht="8.5500000000000007" customHeight="1" x14ac:dyDescent="0.2">
      <c r="A218" s="43"/>
      <c r="B218" s="421"/>
      <c r="C218" s="422"/>
      <c r="D218" s="422"/>
      <c r="E218" s="422"/>
      <c r="F218" s="422"/>
      <c r="G218" s="418"/>
      <c r="H218" s="407"/>
      <c r="I218" s="418"/>
      <c r="J218" s="403"/>
      <c r="K218" s="165"/>
      <c r="L218" s="91"/>
      <c r="M218" s="92"/>
    </row>
    <row r="219" spans="1:13" s="45" customFormat="1" ht="8.5500000000000007" customHeight="1" x14ac:dyDescent="0.2">
      <c r="A219" s="43"/>
      <c r="B219" s="419" t="s">
        <v>1740</v>
      </c>
      <c r="C219" s="420"/>
      <c r="D219" s="420"/>
      <c r="E219" s="420"/>
      <c r="F219" s="420"/>
      <c r="G219" s="417">
        <v>2018</v>
      </c>
      <c r="H219" s="406">
        <v>92</v>
      </c>
      <c r="I219" s="417"/>
      <c r="J219" s="402" t="s">
        <v>1878</v>
      </c>
      <c r="K219" s="164">
        <v>1</v>
      </c>
      <c r="L219" s="91"/>
      <c r="M219" s="92"/>
    </row>
    <row r="220" spans="1:13" s="45" customFormat="1" ht="8.5500000000000007" customHeight="1" x14ac:dyDescent="0.2">
      <c r="A220" s="43"/>
      <c r="B220" s="421"/>
      <c r="C220" s="422"/>
      <c r="D220" s="422"/>
      <c r="E220" s="422"/>
      <c r="F220" s="422"/>
      <c r="G220" s="418"/>
      <c r="H220" s="407"/>
      <c r="I220" s="418"/>
      <c r="J220" s="403"/>
      <c r="K220" s="165"/>
      <c r="L220" s="91"/>
      <c r="M220" s="92"/>
    </row>
    <row r="221" spans="1:13" s="45" customFormat="1" ht="8.5500000000000007" customHeight="1" x14ac:dyDescent="0.2">
      <c r="A221" s="43"/>
      <c r="B221" s="419" t="s">
        <v>1747</v>
      </c>
      <c r="C221" s="420"/>
      <c r="D221" s="420"/>
      <c r="E221" s="420"/>
      <c r="F221" s="420"/>
      <c r="G221" s="417">
        <v>2018</v>
      </c>
      <c r="H221" s="406">
        <v>95</v>
      </c>
      <c r="I221" s="417"/>
      <c r="J221" s="402" t="s">
        <v>1746</v>
      </c>
      <c r="K221" s="164">
        <v>1</v>
      </c>
      <c r="L221" s="91"/>
      <c r="M221" s="92"/>
    </row>
    <row r="222" spans="1:13" s="45" customFormat="1" ht="8.5500000000000007" customHeight="1" x14ac:dyDescent="0.2">
      <c r="A222" s="43"/>
      <c r="B222" s="421"/>
      <c r="C222" s="422"/>
      <c r="D222" s="422"/>
      <c r="E222" s="422"/>
      <c r="F222" s="422"/>
      <c r="G222" s="418"/>
      <c r="H222" s="407"/>
      <c r="I222" s="418"/>
      <c r="J222" s="403"/>
      <c r="K222" s="165"/>
      <c r="L222" s="91"/>
      <c r="M222" s="92"/>
    </row>
    <row r="223" spans="1:13" s="45" customFormat="1" ht="8.5500000000000007" customHeight="1" x14ac:dyDescent="0.2">
      <c r="A223" s="43"/>
      <c r="B223" s="419" t="s">
        <v>1741</v>
      </c>
      <c r="C223" s="420"/>
      <c r="D223" s="420"/>
      <c r="E223" s="420"/>
      <c r="F223" s="420"/>
      <c r="G223" s="417"/>
      <c r="H223" s="406">
        <v>94</v>
      </c>
      <c r="I223" s="417"/>
      <c r="J223" s="402"/>
      <c r="K223" s="164">
        <v>2</v>
      </c>
      <c r="L223" s="91"/>
      <c r="M223" s="92"/>
    </row>
    <row r="224" spans="1:13" s="45" customFormat="1" ht="8.5500000000000007" customHeight="1" x14ac:dyDescent="0.2">
      <c r="A224" s="43"/>
      <c r="B224" s="421"/>
      <c r="C224" s="422"/>
      <c r="D224" s="422"/>
      <c r="E224" s="422"/>
      <c r="F224" s="422"/>
      <c r="G224" s="418"/>
      <c r="H224" s="407"/>
      <c r="I224" s="418"/>
      <c r="J224" s="403"/>
      <c r="K224" s="165"/>
      <c r="L224" s="91"/>
      <c r="M224" s="92"/>
    </row>
    <row r="225" spans="1:13" s="45" customFormat="1" ht="8.5500000000000007" customHeight="1" x14ac:dyDescent="0.2">
      <c r="A225" s="43"/>
      <c r="B225" s="419" t="s">
        <v>1308</v>
      </c>
      <c r="C225" s="420"/>
      <c r="D225" s="420"/>
      <c r="E225" s="420"/>
      <c r="F225" s="420"/>
      <c r="G225" s="417">
        <v>2017</v>
      </c>
      <c r="H225" s="406"/>
      <c r="I225" s="417"/>
      <c r="J225" s="402"/>
      <c r="K225" s="164">
        <v>1</v>
      </c>
      <c r="L225" s="91"/>
      <c r="M225" s="92"/>
    </row>
    <row r="226" spans="1:13" s="45" customFormat="1" ht="8.5500000000000007" customHeight="1" x14ac:dyDescent="0.2">
      <c r="A226" s="43"/>
      <c r="B226" s="421"/>
      <c r="C226" s="422"/>
      <c r="D226" s="422"/>
      <c r="E226" s="422"/>
      <c r="F226" s="422"/>
      <c r="G226" s="418"/>
      <c r="H226" s="407"/>
      <c r="I226" s="418"/>
      <c r="J226" s="403"/>
      <c r="K226" s="165"/>
      <c r="L226" s="91"/>
      <c r="M226" s="92"/>
    </row>
    <row r="227" spans="1:13" s="45" customFormat="1" ht="8.5500000000000007" customHeight="1" x14ac:dyDescent="0.2">
      <c r="A227" s="43"/>
      <c r="B227" s="170" t="s">
        <v>805</v>
      </c>
      <c r="C227" s="170"/>
      <c r="D227" s="170"/>
      <c r="E227" s="170"/>
      <c r="F227" s="170"/>
      <c r="G227" s="47"/>
      <c r="H227" s="47"/>
      <c r="I227" s="48"/>
      <c r="J227" s="48"/>
      <c r="K227" s="224">
        <v>58</v>
      </c>
      <c r="L227" s="447">
        <f>+K227</f>
        <v>58</v>
      </c>
      <c r="M227" s="92"/>
    </row>
    <row r="228" spans="1:13" s="45" customFormat="1" ht="8.5500000000000007" customHeight="1" x14ac:dyDescent="0.2">
      <c r="A228" s="43"/>
      <c r="B228" s="171"/>
      <c r="C228" s="171"/>
      <c r="D228" s="171"/>
      <c r="E228" s="171"/>
      <c r="F228" s="171"/>
      <c r="G228" s="54"/>
      <c r="H228" s="54"/>
      <c r="I228" s="49"/>
      <c r="J228" s="49"/>
      <c r="K228" s="225"/>
      <c r="L228" s="448"/>
      <c r="M228" s="92"/>
    </row>
    <row r="229" spans="1:13" s="45" customFormat="1" ht="8.5500000000000007" customHeight="1" x14ac:dyDescent="0.2">
      <c r="A229" s="43"/>
      <c r="B229" s="423" t="s">
        <v>186</v>
      </c>
      <c r="C229" s="423"/>
      <c r="D229" s="423"/>
      <c r="E229" s="423"/>
      <c r="F229" s="423"/>
      <c r="G229" s="187"/>
      <c r="H229" s="47"/>
      <c r="I229" s="48"/>
      <c r="J229" s="48"/>
      <c r="K229" s="222"/>
      <c r="L229" s="91"/>
      <c r="M229" s="92"/>
    </row>
    <row r="230" spans="1:13" s="45" customFormat="1" ht="8.5500000000000007" customHeight="1" x14ac:dyDescent="0.2">
      <c r="A230" s="43"/>
      <c r="B230" s="348"/>
      <c r="C230" s="348"/>
      <c r="D230" s="348"/>
      <c r="E230" s="348"/>
      <c r="F230" s="348"/>
      <c r="G230" s="188"/>
      <c r="H230" s="54"/>
      <c r="I230" s="49"/>
      <c r="J230" s="49"/>
      <c r="K230" s="165"/>
      <c r="L230" s="91"/>
      <c r="M230" s="92"/>
    </row>
    <row r="231" spans="1:13" s="45" customFormat="1" ht="8.5500000000000007" customHeight="1" x14ac:dyDescent="0.2">
      <c r="A231" s="43"/>
      <c r="B231" s="419" t="s">
        <v>1050</v>
      </c>
      <c r="C231" s="420"/>
      <c r="D231" s="420"/>
      <c r="E231" s="420"/>
      <c r="F231" s="420"/>
      <c r="G231" s="417">
        <v>1947</v>
      </c>
      <c r="H231" s="406"/>
      <c r="I231" s="404"/>
      <c r="J231" s="402"/>
      <c r="K231" s="164">
        <v>1</v>
      </c>
      <c r="L231" s="91"/>
      <c r="M231" s="92"/>
    </row>
    <row r="232" spans="1:13" s="45" customFormat="1" ht="8.5500000000000007" customHeight="1" x14ac:dyDescent="0.2">
      <c r="A232" s="43"/>
      <c r="B232" s="421"/>
      <c r="C232" s="422"/>
      <c r="D232" s="422"/>
      <c r="E232" s="422"/>
      <c r="F232" s="422"/>
      <c r="G232" s="418"/>
      <c r="H232" s="407"/>
      <c r="I232" s="405"/>
      <c r="J232" s="403"/>
      <c r="K232" s="165"/>
      <c r="L232" s="91"/>
      <c r="M232" s="92"/>
    </row>
    <row r="233" spans="1:13" s="45" customFormat="1" ht="8.5500000000000007" customHeight="1" x14ac:dyDescent="0.2">
      <c r="A233" s="43"/>
      <c r="B233" s="419" t="s">
        <v>1051</v>
      </c>
      <c r="C233" s="420"/>
      <c r="D233" s="420"/>
      <c r="E233" s="420"/>
      <c r="F233" s="420"/>
      <c r="G233" s="417">
        <v>1962</v>
      </c>
      <c r="H233" s="406">
        <v>88</v>
      </c>
      <c r="I233" s="404"/>
      <c r="J233" s="402" t="s">
        <v>1600</v>
      </c>
      <c r="K233" s="164">
        <v>1</v>
      </c>
      <c r="L233" s="91"/>
      <c r="M233" s="92"/>
    </row>
    <row r="234" spans="1:13" s="45" customFormat="1" ht="8.5500000000000007" customHeight="1" x14ac:dyDescent="0.2">
      <c r="A234" s="43"/>
      <c r="B234" s="421"/>
      <c r="C234" s="422"/>
      <c r="D234" s="422"/>
      <c r="E234" s="422"/>
      <c r="F234" s="422"/>
      <c r="G234" s="418"/>
      <c r="H234" s="407"/>
      <c r="I234" s="405"/>
      <c r="J234" s="403"/>
      <c r="K234" s="165"/>
      <c r="L234" s="91"/>
      <c r="M234" s="92"/>
    </row>
    <row r="235" spans="1:13" s="45" customFormat="1" ht="8.5500000000000007" customHeight="1" x14ac:dyDescent="0.2">
      <c r="A235" s="43"/>
      <c r="B235" s="408" t="s">
        <v>1421</v>
      </c>
      <c r="C235" s="408"/>
      <c r="D235" s="408"/>
      <c r="E235" s="408"/>
      <c r="F235" s="408"/>
      <c r="G235" s="47"/>
      <c r="H235" s="47"/>
      <c r="I235" s="48"/>
      <c r="J235" s="48"/>
      <c r="K235" s="164"/>
      <c r="L235" s="91"/>
      <c r="M235" s="92"/>
    </row>
    <row r="236" spans="1:13" s="45" customFormat="1" ht="8.5500000000000007" customHeight="1" x14ac:dyDescent="0.2">
      <c r="A236" s="43"/>
      <c r="B236" s="340"/>
      <c r="C236" s="340"/>
      <c r="D236" s="340"/>
      <c r="E236" s="340"/>
      <c r="F236" s="340"/>
      <c r="G236" s="54"/>
      <c r="H236" s="54"/>
      <c r="I236" s="49"/>
      <c r="J236" s="49"/>
      <c r="K236" s="165"/>
      <c r="L236" s="91"/>
      <c r="M236" s="92"/>
    </row>
    <row r="237" spans="1:13" s="45" customFormat="1" ht="8.5500000000000007" customHeight="1" x14ac:dyDescent="0.2">
      <c r="A237" s="43"/>
      <c r="B237" s="419" t="s">
        <v>1049</v>
      </c>
      <c r="C237" s="420"/>
      <c r="D237" s="420"/>
      <c r="E237" s="420"/>
      <c r="F237" s="420"/>
      <c r="G237" s="417">
        <v>1940</v>
      </c>
      <c r="H237" s="406"/>
      <c r="I237" s="404"/>
      <c r="J237" s="402"/>
      <c r="K237" s="164">
        <v>1</v>
      </c>
      <c r="L237" s="91"/>
      <c r="M237" s="92"/>
    </row>
    <row r="238" spans="1:13" s="45" customFormat="1" ht="8.5500000000000007" customHeight="1" x14ac:dyDescent="0.2">
      <c r="A238" s="43"/>
      <c r="B238" s="421"/>
      <c r="C238" s="422"/>
      <c r="D238" s="422"/>
      <c r="E238" s="422"/>
      <c r="F238" s="422"/>
      <c r="G238" s="418"/>
      <c r="H238" s="407"/>
      <c r="I238" s="405"/>
      <c r="J238" s="403"/>
      <c r="K238" s="165"/>
      <c r="L238" s="91"/>
      <c r="M238" s="92"/>
    </row>
    <row r="239" spans="1:13" s="45" customFormat="1" ht="8.5500000000000007" customHeight="1" x14ac:dyDescent="0.2">
      <c r="A239" s="43"/>
      <c r="B239" s="419" t="s">
        <v>1049</v>
      </c>
      <c r="C239" s="420"/>
      <c r="D239" s="420"/>
      <c r="E239" s="420"/>
      <c r="F239" s="420"/>
      <c r="G239" s="417">
        <v>1967</v>
      </c>
      <c r="H239" s="406"/>
      <c r="I239" s="404"/>
      <c r="J239" s="402"/>
      <c r="K239" s="164">
        <v>1</v>
      </c>
      <c r="L239" s="91"/>
      <c r="M239" s="92"/>
    </row>
    <row r="240" spans="1:13" s="45" customFormat="1" ht="8.5500000000000007" customHeight="1" x14ac:dyDescent="0.2">
      <c r="A240" s="43"/>
      <c r="B240" s="421"/>
      <c r="C240" s="422"/>
      <c r="D240" s="422"/>
      <c r="E240" s="422"/>
      <c r="F240" s="422"/>
      <c r="G240" s="418"/>
      <c r="H240" s="407"/>
      <c r="I240" s="405"/>
      <c r="J240" s="403"/>
      <c r="K240" s="165"/>
      <c r="L240" s="91"/>
      <c r="M240" s="92"/>
    </row>
    <row r="241" spans="1:13" s="45" customFormat="1" ht="8.5500000000000007" customHeight="1" x14ac:dyDescent="0.2">
      <c r="A241" s="43"/>
      <c r="B241" s="419" t="s">
        <v>1052</v>
      </c>
      <c r="C241" s="420"/>
      <c r="D241" s="420"/>
      <c r="E241" s="420"/>
      <c r="F241" s="420"/>
      <c r="G241" s="417">
        <v>1962</v>
      </c>
      <c r="H241" s="406"/>
      <c r="I241" s="404"/>
      <c r="J241" s="402"/>
      <c r="K241" s="164">
        <v>1</v>
      </c>
      <c r="L241" s="91"/>
      <c r="M241" s="92"/>
    </row>
    <row r="242" spans="1:13" s="45" customFormat="1" ht="8.5500000000000007" customHeight="1" x14ac:dyDescent="0.2">
      <c r="A242" s="43"/>
      <c r="B242" s="421"/>
      <c r="C242" s="422"/>
      <c r="D242" s="422"/>
      <c r="E242" s="422"/>
      <c r="F242" s="422"/>
      <c r="G242" s="418"/>
      <c r="H242" s="407"/>
      <c r="I242" s="405"/>
      <c r="J242" s="403"/>
      <c r="K242" s="165"/>
      <c r="L242" s="91"/>
      <c r="M242" s="92"/>
    </row>
    <row r="243" spans="1:13" s="45" customFormat="1" ht="8.5500000000000007" customHeight="1" x14ac:dyDescent="0.2">
      <c r="A243" s="43"/>
      <c r="B243" s="419" t="s">
        <v>1052</v>
      </c>
      <c r="C243" s="420"/>
      <c r="D243" s="420"/>
      <c r="E243" s="420"/>
      <c r="F243" s="420"/>
      <c r="G243" s="417">
        <v>1965</v>
      </c>
      <c r="H243" s="406"/>
      <c r="I243" s="404"/>
      <c r="J243" s="402"/>
      <c r="K243" s="164">
        <v>1</v>
      </c>
      <c r="L243" s="91"/>
      <c r="M243" s="92"/>
    </row>
    <row r="244" spans="1:13" s="45" customFormat="1" ht="8.5500000000000007" customHeight="1" x14ac:dyDescent="0.2">
      <c r="A244" s="43"/>
      <c r="B244" s="421"/>
      <c r="C244" s="422"/>
      <c r="D244" s="422"/>
      <c r="E244" s="422"/>
      <c r="F244" s="422"/>
      <c r="G244" s="418"/>
      <c r="H244" s="407"/>
      <c r="I244" s="405"/>
      <c r="J244" s="403"/>
      <c r="K244" s="165"/>
      <c r="L244" s="91"/>
      <c r="M244" s="92"/>
    </row>
    <row r="245" spans="1:13" s="45" customFormat="1" ht="8.5500000000000007" customHeight="1" x14ac:dyDescent="0.2">
      <c r="A245" s="43"/>
      <c r="B245" s="419" t="s">
        <v>1052</v>
      </c>
      <c r="C245" s="420"/>
      <c r="D245" s="420"/>
      <c r="E245" s="420"/>
      <c r="F245" s="420"/>
      <c r="G245" s="417">
        <v>1966</v>
      </c>
      <c r="H245" s="406"/>
      <c r="I245" s="404"/>
      <c r="J245" s="402"/>
      <c r="K245" s="164">
        <v>1</v>
      </c>
      <c r="L245" s="91"/>
      <c r="M245" s="92"/>
    </row>
    <row r="246" spans="1:13" s="45" customFormat="1" ht="8.5500000000000007" customHeight="1" x14ac:dyDescent="0.2">
      <c r="A246" s="43"/>
      <c r="B246" s="421"/>
      <c r="C246" s="422"/>
      <c r="D246" s="422"/>
      <c r="E246" s="422"/>
      <c r="F246" s="422"/>
      <c r="G246" s="418"/>
      <c r="H246" s="407"/>
      <c r="I246" s="405"/>
      <c r="J246" s="403"/>
      <c r="K246" s="165"/>
      <c r="L246" s="91"/>
      <c r="M246" s="92"/>
    </row>
    <row r="247" spans="1:13" s="45" customFormat="1" ht="8.5500000000000007" customHeight="1" x14ac:dyDescent="0.2">
      <c r="A247" s="43"/>
      <c r="B247" s="419" t="s">
        <v>1117</v>
      </c>
      <c r="C247" s="420"/>
      <c r="D247" s="420"/>
      <c r="E247" s="420"/>
      <c r="F247" s="420"/>
      <c r="G247" s="417">
        <v>1934</v>
      </c>
      <c r="H247" s="406"/>
      <c r="I247" s="404"/>
      <c r="J247" s="402"/>
      <c r="K247" s="164">
        <v>1</v>
      </c>
      <c r="L247" s="91"/>
      <c r="M247" s="92"/>
    </row>
    <row r="248" spans="1:13" s="45" customFormat="1" ht="8.5500000000000007" customHeight="1" x14ac:dyDescent="0.2">
      <c r="A248" s="43"/>
      <c r="B248" s="421"/>
      <c r="C248" s="422"/>
      <c r="D248" s="422"/>
      <c r="E248" s="422"/>
      <c r="F248" s="422"/>
      <c r="G248" s="418"/>
      <c r="H248" s="407"/>
      <c r="I248" s="405"/>
      <c r="J248" s="403"/>
      <c r="K248" s="165"/>
      <c r="L248" s="91"/>
      <c r="M248" s="92"/>
    </row>
    <row r="249" spans="1:13" s="45" customFormat="1" ht="8.5500000000000007" customHeight="1" x14ac:dyDescent="0.2">
      <c r="A249" s="43"/>
      <c r="B249" s="419" t="s">
        <v>1118</v>
      </c>
      <c r="C249" s="420"/>
      <c r="D249" s="420"/>
      <c r="E249" s="420"/>
      <c r="F249" s="420"/>
      <c r="G249" s="417">
        <v>1967</v>
      </c>
      <c r="H249" s="406"/>
      <c r="I249" s="404"/>
      <c r="J249" s="402"/>
      <c r="K249" s="164">
        <v>1</v>
      </c>
      <c r="L249" s="91"/>
      <c r="M249" s="92"/>
    </row>
    <row r="250" spans="1:13" s="45" customFormat="1" ht="8.5500000000000007" customHeight="1" x14ac:dyDescent="0.2">
      <c r="A250" s="43"/>
      <c r="B250" s="421"/>
      <c r="C250" s="422"/>
      <c r="D250" s="422"/>
      <c r="E250" s="422"/>
      <c r="F250" s="422"/>
      <c r="G250" s="418"/>
      <c r="H250" s="407"/>
      <c r="I250" s="405"/>
      <c r="J250" s="403"/>
      <c r="K250" s="165"/>
      <c r="L250" s="91"/>
      <c r="M250" s="92"/>
    </row>
    <row r="251" spans="1:13" s="45" customFormat="1" ht="8.5500000000000007" customHeight="1" x14ac:dyDescent="0.2">
      <c r="A251" s="43"/>
      <c r="B251" s="419" t="s">
        <v>1118</v>
      </c>
      <c r="C251" s="420"/>
      <c r="D251" s="420"/>
      <c r="E251" s="420"/>
      <c r="F251" s="420"/>
      <c r="G251" s="417">
        <v>1969</v>
      </c>
      <c r="H251" s="406"/>
      <c r="I251" s="404"/>
      <c r="J251" s="402"/>
      <c r="K251" s="164">
        <v>1</v>
      </c>
      <c r="L251" s="91"/>
      <c r="M251" s="92"/>
    </row>
    <row r="252" spans="1:13" s="45" customFormat="1" ht="8.5500000000000007" customHeight="1" x14ac:dyDescent="0.2">
      <c r="A252" s="43"/>
      <c r="B252" s="421"/>
      <c r="C252" s="422"/>
      <c r="D252" s="422"/>
      <c r="E252" s="422"/>
      <c r="F252" s="422"/>
      <c r="G252" s="418"/>
      <c r="H252" s="407"/>
      <c r="I252" s="405"/>
      <c r="J252" s="403"/>
      <c r="K252" s="165"/>
      <c r="L252" s="91"/>
      <c r="M252" s="92"/>
    </row>
    <row r="253" spans="1:13" s="45" customFormat="1" ht="8.5500000000000007" customHeight="1" x14ac:dyDescent="0.2">
      <c r="A253" s="43"/>
      <c r="B253" s="419" t="s">
        <v>1326</v>
      </c>
      <c r="C253" s="420"/>
      <c r="D253" s="420"/>
      <c r="E253" s="420"/>
      <c r="F253" s="420"/>
      <c r="G253" s="417">
        <v>2011</v>
      </c>
      <c r="H253" s="406">
        <v>91</v>
      </c>
      <c r="I253" s="404"/>
      <c r="J253" s="402" t="s">
        <v>319</v>
      </c>
      <c r="K253" s="164">
        <v>1</v>
      </c>
      <c r="L253" s="91"/>
      <c r="M253" s="92"/>
    </row>
    <row r="254" spans="1:13" s="45" customFormat="1" ht="8.5500000000000007" customHeight="1" x14ac:dyDescent="0.2">
      <c r="A254" s="43"/>
      <c r="B254" s="421"/>
      <c r="C254" s="422"/>
      <c r="D254" s="422"/>
      <c r="E254" s="422"/>
      <c r="F254" s="422"/>
      <c r="G254" s="418"/>
      <c r="H254" s="407"/>
      <c r="I254" s="405"/>
      <c r="J254" s="403"/>
      <c r="K254" s="165"/>
      <c r="L254" s="91"/>
      <c r="M254" s="92"/>
    </row>
    <row r="255" spans="1:13" s="45" customFormat="1" ht="8.5500000000000007" customHeight="1" x14ac:dyDescent="0.2">
      <c r="A255" s="43"/>
      <c r="B255" s="419" t="s">
        <v>1744</v>
      </c>
      <c r="C255" s="420"/>
      <c r="D255" s="420"/>
      <c r="E255" s="420"/>
      <c r="F255" s="420"/>
      <c r="G255" s="417">
        <v>2016</v>
      </c>
      <c r="H255" s="406">
        <v>96</v>
      </c>
      <c r="I255" s="404"/>
      <c r="J255" s="402" t="s">
        <v>1743</v>
      </c>
      <c r="K255" s="164">
        <v>2</v>
      </c>
      <c r="L255" s="91"/>
      <c r="M255" s="92"/>
    </row>
    <row r="256" spans="1:13" s="45" customFormat="1" ht="8.5500000000000007" customHeight="1" x14ac:dyDescent="0.2">
      <c r="A256" s="43"/>
      <c r="B256" s="421"/>
      <c r="C256" s="422"/>
      <c r="D256" s="422"/>
      <c r="E256" s="422"/>
      <c r="F256" s="422"/>
      <c r="G256" s="418"/>
      <c r="H256" s="407"/>
      <c r="I256" s="405"/>
      <c r="J256" s="403"/>
      <c r="K256" s="165"/>
      <c r="L256" s="91"/>
      <c r="M256" s="92"/>
    </row>
    <row r="257" spans="1:13" s="45" customFormat="1" ht="8.5500000000000007" customHeight="1" x14ac:dyDescent="0.2">
      <c r="A257" s="43"/>
      <c r="B257" s="409" t="s">
        <v>831</v>
      </c>
      <c r="C257" s="410"/>
      <c r="D257" s="410"/>
      <c r="E257" s="410"/>
      <c r="F257" s="410"/>
      <c r="G257" s="417">
        <v>2005</v>
      </c>
      <c r="H257" s="406" t="s">
        <v>651</v>
      </c>
      <c r="I257" s="404"/>
      <c r="J257" s="402" t="s">
        <v>256</v>
      </c>
      <c r="K257" s="164">
        <v>1</v>
      </c>
      <c r="L257" s="91"/>
      <c r="M257" s="92"/>
    </row>
    <row r="258" spans="1:13" s="45" customFormat="1" ht="8.5500000000000007" customHeight="1" x14ac:dyDescent="0.2">
      <c r="A258" s="43"/>
      <c r="B258" s="411"/>
      <c r="C258" s="412"/>
      <c r="D258" s="412"/>
      <c r="E258" s="412"/>
      <c r="F258" s="412"/>
      <c r="G258" s="418"/>
      <c r="H258" s="407"/>
      <c r="I258" s="405"/>
      <c r="J258" s="403"/>
      <c r="K258" s="165"/>
      <c r="L258" s="91"/>
      <c r="M258" s="92"/>
    </row>
    <row r="259" spans="1:13" s="45" customFormat="1" ht="8.5500000000000007" customHeight="1" x14ac:dyDescent="0.2">
      <c r="A259" s="43"/>
      <c r="B259" s="409" t="s">
        <v>1796</v>
      </c>
      <c r="C259" s="410"/>
      <c r="D259" s="410"/>
      <c r="E259" s="410"/>
      <c r="F259" s="410"/>
      <c r="G259" s="417">
        <v>2021</v>
      </c>
      <c r="H259" s="406">
        <v>91</v>
      </c>
      <c r="I259" s="404"/>
      <c r="J259" s="402" t="s">
        <v>1792</v>
      </c>
      <c r="K259" s="164">
        <v>8</v>
      </c>
      <c r="L259" s="91"/>
      <c r="M259" s="92"/>
    </row>
    <row r="260" spans="1:13" s="45" customFormat="1" ht="8.5500000000000007" customHeight="1" x14ac:dyDescent="0.2">
      <c r="A260" s="43"/>
      <c r="B260" s="411"/>
      <c r="C260" s="412"/>
      <c r="D260" s="412"/>
      <c r="E260" s="412"/>
      <c r="F260" s="412"/>
      <c r="G260" s="418"/>
      <c r="H260" s="407"/>
      <c r="I260" s="405"/>
      <c r="J260" s="403"/>
      <c r="K260" s="165"/>
      <c r="L260" s="91"/>
      <c r="M260" s="92"/>
    </row>
    <row r="261" spans="1:13" s="45" customFormat="1" ht="8.5500000000000007" customHeight="1" x14ac:dyDescent="0.2">
      <c r="A261" s="43"/>
      <c r="B261" s="409" t="s">
        <v>1798</v>
      </c>
      <c r="C261" s="410"/>
      <c r="D261" s="410"/>
      <c r="E261" s="410"/>
      <c r="F261" s="410"/>
      <c r="G261" s="417">
        <v>2021</v>
      </c>
      <c r="H261" s="406">
        <v>91</v>
      </c>
      <c r="I261" s="404"/>
      <c r="J261" s="402" t="s">
        <v>1792</v>
      </c>
      <c r="K261" s="164">
        <v>3</v>
      </c>
      <c r="L261" s="91"/>
      <c r="M261" s="92"/>
    </row>
    <row r="262" spans="1:13" s="45" customFormat="1" ht="8.5500000000000007" customHeight="1" x14ac:dyDescent="0.2">
      <c r="A262" s="43"/>
      <c r="B262" s="411"/>
      <c r="C262" s="412"/>
      <c r="D262" s="412"/>
      <c r="E262" s="412"/>
      <c r="F262" s="412"/>
      <c r="G262" s="418"/>
      <c r="H262" s="407"/>
      <c r="I262" s="405"/>
      <c r="J262" s="403"/>
      <c r="K262" s="165"/>
      <c r="L262" s="91"/>
      <c r="M262" s="92"/>
    </row>
    <row r="263" spans="1:13" s="45" customFormat="1" ht="8.5500000000000007" customHeight="1" x14ac:dyDescent="0.2">
      <c r="A263" s="43"/>
      <c r="B263" s="409" t="s">
        <v>1795</v>
      </c>
      <c r="C263" s="410"/>
      <c r="D263" s="410"/>
      <c r="E263" s="410"/>
      <c r="F263" s="410"/>
      <c r="G263" s="417">
        <v>2021</v>
      </c>
      <c r="H263" s="406"/>
      <c r="I263" s="404"/>
      <c r="J263" s="402"/>
      <c r="K263" s="164">
        <v>9</v>
      </c>
      <c r="L263" s="91"/>
      <c r="M263" s="92"/>
    </row>
    <row r="264" spans="1:13" s="45" customFormat="1" ht="8.5500000000000007" customHeight="1" x14ac:dyDescent="0.2">
      <c r="A264" s="43"/>
      <c r="B264" s="411"/>
      <c r="C264" s="412"/>
      <c r="D264" s="412"/>
      <c r="E264" s="412"/>
      <c r="F264" s="412"/>
      <c r="G264" s="418"/>
      <c r="H264" s="407"/>
      <c r="I264" s="405"/>
      <c r="J264" s="403"/>
      <c r="K264" s="165"/>
      <c r="L264" s="91"/>
      <c r="M264" s="92"/>
    </row>
    <row r="265" spans="1:13" s="45" customFormat="1" ht="8.5500000000000007" customHeight="1" x14ac:dyDescent="0.2">
      <c r="A265" s="43"/>
      <c r="B265" s="409" t="s">
        <v>1991</v>
      </c>
      <c r="C265" s="410"/>
      <c r="D265" s="410"/>
      <c r="E265" s="410"/>
      <c r="F265" s="410"/>
      <c r="G265" s="417">
        <v>2022</v>
      </c>
      <c r="H265" s="406"/>
      <c r="I265" s="404"/>
      <c r="J265" s="402"/>
      <c r="K265" s="164">
        <v>16</v>
      </c>
      <c r="L265" s="91"/>
      <c r="M265" s="92"/>
    </row>
    <row r="266" spans="1:13" s="45" customFormat="1" ht="8.5500000000000007" customHeight="1" x14ac:dyDescent="0.2">
      <c r="A266" s="43"/>
      <c r="B266" s="411"/>
      <c r="C266" s="412"/>
      <c r="D266" s="412"/>
      <c r="E266" s="412"/>
      <c r="F266" s="412"/>
      <c r="G266" s="418"/>
      <c r="H266" s="407"/>
      <c r="I266" s="405"/>
      <c r="J266" s="403"/>
      <c r="K266" s="165"/>
      <c r="L266" s="91"/>
      <c r="M266" s="92"/>
    </row>
    <row r="267" spans="1:13" s="45" customFormat="1" ht="8.5500000000000007" customHeight="1" x14ac:dyDescent="0.2">
      <c r="A267" s="43"/>
      <c r="B267" s="409" t="s">
        <v>1992</v>
      </c>
      <c r="C267" s="410"/>
      <c r="D267" s="410"/>
      <c r="E267" s="410"/>
      <c r="F267" s="410"/>
      <c r="G267" s="417">
        <v>2022</v>
      </c>
      <c r="H267" s="406"/>
      <c r="I267" s="404"/>
      <c r="J267" s="402"/>
      <c r="K267" s="164">
        <v>5</v>
      </c>
      <c r="L267" s="91"/>
      <c r="M267" s="92"/>
    </row>
    <row r="268" spans="1:13" s="45" customFormat="1" ht="8.5500000000000007" customHeight="1" x14ac:dyDescent="0.2">
      <c r="A268" s="43"/>
      <c r="B268" s="411"/>
      <c r="C268" s="412"/>
      <c r="D268" s="412"/>
      <c r="E268" s="412"/>
      <c r="F268" s="412"/>
      <c r="G268" s="418"/>
      <c r="H268" s="407"/>
      <c r="I268" s="405"/>
      <c r="J268" s="403"/>
      <c r="K268" s="165"/>
      <c r="L268" s="91"/>
      <c r="M268" s="92"/>
    </row>
    <row r="269" spans="1:13" s="45" customFormat="1" ht="8.5500000000000007" customHeight="1" x14ac:dyDescent="0.2">
      <c r="A269" s="43"/>
      <c r="B269" s="409" t="s">
        <v>1989</v>
      </c>
      <c r="C269" s="410"/>
      <c r="D269" s="410"/>
      <c r="E269" s="410"/>
      <c r="F269" s="410"/>
      <c r="G269" s="417">
        <v>2023</v>
      </c>
      <c r="H269" s="406"/>
      <c r="I269" s="404"/>
      <c r="J269" s="402"/>
      <c r="K269" s="164">
        <v>1</v>
      </c>
      <c r="L269" s="91"/>
      <c r="M269" s="92"/>
    </row>
    <row r="270" spans="1:13" s="45" customFormat="1" ht="8.5500000000000007" customHeight="1" x14ac:dyDescent="0.2">
      <c r="A270" s="43"/>
      <c r="B270" s="411"/>
      <c r="C270" s="412"/>
      <c r="D270" s="412"/>
      <c r="E270" s="412"/>
      <c r="F270" s="412"/>
      <c r="G270" s="418"/>
      <c r="H270" s="407"/>
      <c r="I270" s="405"/>
      <c r="J270" s="403"/>
      <c r="K270" s="165"/>
      <c r="L270" s="91"/>
      <c r="M270" s="92"/>
    </row>
    <row r="271" spans="1:13" s="45" customFormat="1" ht="8.5500000000000007" customHeight="1" x14ac:dyDescent="0.2">
      <c r="A271" s="43"/>
      <c r="B271" s="409" t="s">
        <v>1990</v>
      </c>
      <c r="C271" s="410"/>
      <c r="D271" s="410"/>
      <c r="E271" s="410"/>
      <c r="F271" s="410"/>
      <c r="G271" s="417">
        <v>2023</v>
      </c>
      <c r="H271" s="406"/>
      <c r="I271" s="404"/>
      <c r="J271" s="402"/>
      <c r="K271" s="164">
        <v>1</v>
      </c>
      <c r="L271" s="91"/>
      <c r="M271" s="92"/>
    </row>
    <row r="272" spans="1:13" s="45" customFormat="1" ht="8.5500000000000007" customHeight="1" x14ac:dyDescent="0.2">
      <c r="A272" s="43"/>
      <c r="B272" s="411"/>
      <c r="C272" s="412"/>
      <c r="D272" s="412"/>
      <c r="E272" s="412"/>
      <c r="F272" s="412"/>
      <c r="G272" s="418"/>
      <c r="H272" s="407"/>
      <c r="I272" s="405"/>
      <c r="J272" s="403"/>
      <c r="K272" s="165"/>
      <c r="L272" s="91"/>
      <c r="M272" s="92"/>
    </row>
    <row r="273" spans="1:13" s="45" customFormat="1" ht="8.5500000000000007" customHeight="1" x14ac:dyDescent="0.2">
      <c r="A273" s="43"/>
      <c r="B273" s="409" t="s">
        <v>832</v>
      </c>
      <c r="C273" s="410"/>
      <c r="D273" s="410"/>
      <c r="E273" s="410"/>
      <c r="F273" s="410"/>
      <c r="G273" s="417">
        <v>1967</v>
      </c>
      <c r="H273" s="406"/>
      <c r="I273" s="404"/>
      <c r="J273" s="402"/>
      <c r="K273" s="164">
        <v>1</v>
      </c>
      <c r="L273" s="91"/>
      <c r="M273" s="92"/>
    </row>
    <row r="274" spans="1:13" s="45" customFormat="1" ht="8.5500000000000007" customHeight="1" x14ac:dyDescent="0.2">
      <c r="A274" s="43"/>
      <c r="B274" s="411"/>
      <c r="C274" s="412"/>
      <c r="D274" s="412"/>
      <c r="E274" s="412"/>
      <c r="F274" s="412"/>
      <c r="G274" s="418"/>
      <c r="H274" s="407"/>
      <c r="I274" s="405"/>
      <c r="J274" s="403"/>
      <c r="K274" s="165"/>
      <c r="L274" s="91"/>
      <c r="M274" s="92"/>
    </row>
    <row r="275" spans="1:13" s="45" customFormat="1" ht="8.5500000000000007" customHeight="1" x14ac:dyDescent="0.2">
      <c r="A275" s="43"/>
      <c r="B275" s="409" t="s">
        <v>833</v>
      </c>
      <c r="C275" s="410"/>
      <c r="D275" s="410"/>
      <c r="E275" s="410"/>
      <c r="F275" s="410"/>
      <c r="G275" s="417">
        <v>2005</v>
      </c>
      <c r="H275" s="406"/>
      <c r="I275" s="404"/>
      <c r="J275" s="402"/>
      <c r="K275" s="164">
        <v>1</v>
      </c>
      <c r="L275" s="91"/>
      <c r="M275" s="92"/>
    </row>
    <row r="276" spans="1:13" s="45" customFormat="1" ht="8.5500000000000007" customHeight="1" x14ac:dyDescent="0.2">
      <c r="A276" s="43"/>
      <c r="B276" s="411"/>
      <c r="C276" s="412"/>
      <c r="D276" s="412"/>
      <c r="E276" s="412"/>
      <c r="F276" s="412"/>
      <c r="G276" s="418"/>
      <c r="H276" s="407"/>
      <c r="I276" s="405"/>
      <c r="J276" s="403"/>
      <c r="K276" s="165"/>
      <c r="L276" s="91"/>
      <c r="M276" s="92"/>
    </row>
    <row r="277" spans="1:13" s="45" customFormat="1" ht="8.5500000000000007" customHeight="1" x14ac:dyDescent="0.2">
      <c r="A277" s="43"/>
      <c r="B277" s="409" t="s">
        <v>1136</v>
      </c>
      <c r="C277" s="410"/>
      <c r="D277" s="410"/>
      <c r="E277" s="410"/>
      <c r="F277" s="410"/>
      <c r="G277" s="417">
        <v>2005</v>
      </c>
      <c r="H277" s="406">
        <v>87</v>
      </c>
      <c r="I277" s="404"/>
      <c r="J277" s="402" t="s">
        <v>1601</v>
      </c>
      <c r="K277" s="164">
        <v>1</v>
      </c>
      <c r="L277" s="91"/>
      <c r="M277" s="92"/>
    </row>
    <row r="278" spans="1:13" s="45" customFormat="1" ht="8.5500000000000007" customHeight="1" x14ac:dyDescent="0.2">
      <c r="A278" s="43"/>
      <c r="B278" s="411"/>
      <c r="C278" s="412"/>
      <c r="D278" s="412"/>
      <c r="E278" s="412"/>
      <c r="F278" s="412"/>
      <c r="G278" s="418"/>
      <c r="H278" s="407"/>
      <c r="I278" s="405"/>
      <c r="J278" s="403"/>
      <c r="K278" s="165"/>
      <c r="L278" s="91"/>
      <c r="M278" s="92"/>
    </row>
    <row r="279" spans="1:13" s="45" customFormat="1" ht="8.5500000000000007" customHeight="1" x14ac:dyDescent="0.2">
      <c r="A279" s="43"/>
      <c r="B279" s="409" t="s">
        <v>979</v>
      </c>
      <c r="C279" s="410"/>
      <c r="D279" s="410"/>
      <c r="E279" s="410"/>
      <c r="F279" s="410"/>
      <c r="G279" s="417">
        <v>2009</v>
      </c>
      <c r="H279" s="406">
        <v>93</v>
      </c>
      <c r="I279" s="404"/>
      <c r="J279" s="402" t="s">
        <v>1315</v>
      </c>
      <c r="K279" s="164">
        <v>2</v>
      </c>
      <c r="L279" s="91"/>
      <c r="M279" s="92"/>
    </row>
    <row r="280" spans="1:13" s="45" customFormat="1" ht="8.5500000000000007" customHeight="1" x14ac:dyDescent="0.2">
      <c r="A280" s="43"/>
      <c r="B280" s="411"/>
      <c r="C280" s="412"/>
      <c r="D280" s="412"/>
      <c r="E280" s="412"/>
      <c r="F280" s="412"/>
      <c r="G280" s="418"/>
      <c r="H280" s="407"/>
      <c r="I280" s="405"/>
      <c r="J280" s="403"/>
      <c r="K280" s="165"/>
      <c r="L280" s="91"/>
      <c r="M280" s="92"/>
    </row>
    <row r="281" spans="1:13" s="45" customFormat="1" ht="8.5500000000000007" customHeight="1" x14ac:dyDescent="0.2">
      <c r="A281" s="43"/>
      <c r="B281" s="409" t="s">
        <v>1112</v>
      </c>
      <c r="C281" s="410"/>
      <c r="D281" s="410"/>
      <c r="E281" s="410"/>
      <c r="F281" s="410"/>
      <c r="G281" s="417">
        <v>2011</v>
      </c>
      <c r="H281" s="406">
        <v>90</v>
      </c>
      <c r="I281" s="404"/>
      <c r="J281" s="402" t="s">
        <v>1587</v>
      </c>
      <c r="K281" s="164">
        <v>2</v>
      </c>
      <c r="L281" s="91"/>
      <c r="M281" s="92"/>
    </row>
    <row r="282" spans="1:13" s="45" customFormat="1" ht="8.5500000000000007" customHeight="1" x14ac:dyDescent="0.2">
      <c r="A282" s="43"/>
      <c r="B282" s="411"/>
      <c r="C282" s="412"/>
      <c r="D282" s="412"/>
      <c r="E282" s="412"/>
      <c r="F282" s="412"/>
      <c r="G282" s="418"/>
      <c r="H282" s="407"/>
      <c r="I282" s="405"/>
      <c r="J282" s="403"/>
      <c r="K282" s="165"/>
      <c r="L282" s="91"/>
      <c r="M282" s="92"/>
    </row>
    <row r="283" spans="1:13" s="45" customFormat="1" ht="8.5500000000000007" customHeight="1" x14ac:dyDescent="0.2">
      <c r="A283" s="43"/>
      <c r="B283" s="409" t="s">
        <v>1716</v>
      </c>
      <c r="C283" s="410"/>
      <c r="D283" s="410"/>
      <c r="E283" s="410"/>
      <c r="F283" s="410"/>
      <c r="G283" s="417">
        <v>2017</v>
      </c>
      <c r="H283" s="406"/>
      <c r="I283" s="404"/>
      <c r="J283" s="402"/>
      <c r="K283" s="164">
        <v>2</v>
      </c>
      <c r="L283" s="91"/>
      <c r="M283" s="92"/>
    </row>
    <row r="284" spans="1:13" s="45" customFormat="1" ht="8.5500000000000007" customHeight="1" x14ac:dyDescent="0.2">
      <c r="A284" s="43"/>
      <c r="B284" s="411"/>
      <c r="C284" s="412"/>
      <c r="D284" s="412"/>
      <c r="E284" s="412"/>
      <c r="F284" s="412"/>
      <c r="G284" s="418"/>
      <c r="H284" s="407"/>
      <c r="I284" s="405"/>
      <c r="J284" s="403"/>
      <c r="K284" s="165"/>
      <c r="L284" s="91"/>
      <c r="M284" s="92"/>
    </row>
    <row r="285" spans="1:13" s="45" customFormat="1" ht="8.5500000000000007" customHeight="1" x14ac:dyDescent="0.2">
      <c r="A285" s="43"/>
      <c r="B285" s="409" t="s">
        <v>1716</v>
      </c>
      <c r="C285" s="410"/>
      <c r="D285" s="410"/>
      <c r="E285" s="410"/>
      <c r="F285" s="410"/>
      <c r="G285" s="417">
        <v>2020</v>
      </c>
      <c r="H285" s="406"/>
      <c r="I285" s="404"/>
      <c r="J285" s="402"/>
      <c r="K285" s="164">
        <v>3</v>
      </c>
      <c r="L285" s="91"/>
      <c r="M285" s="92"/>
    </row>
    <row r="286" spans="1:13" s="45" customFormat="1" ht="8.5500000000000007" customHeight="1" x14ac:dyDescent="0.2">
      <c r="A286" s="43"/>
      <c r="B286" s="411"/>
      <c r="C286" s="412"/>
      <c r="D286" s="412"/>
      <c r="E286" s="412"/>
      <c r="F286" s="412"/>
      <c r="G286" s="418"/>
      <c r="H286" s="407"/>
      <c r="I286" s="405"/>
      <c r="J286" s="403"/>
      <c r="K286" s="165"/>
      <c r="L286" s="91"/>
      <c r="M286" s="92"/>
    </row>
    <row r="287" spans="1:13" s="45" customFormat="1" ht="8.5500000000000007" customHeight="1" x14ac:dyDescent="0.2">
      <c r="A287" s="43"/>
      <c r="B287" s="409" t="s">
        <v>1783</v>
      </c>
      <c r="C287" s="410"/>
      <c r="D287" s="410"/>
      <c r="E287" s="410"/>
      <c r="F287" s="410"/>
      <c r="G287" s="417">
        <v>2020</v>
      </c>
      <c r="H287" s="406">
        <v>96</v>
      </c>
      <c r="I287" s="404"/>
      <c r="J287" s="402" t="s">
        <v>1879</v>
      </c>
      <c r="K287" s="164">
        <v>2</v>
      </c>
      <c r="L287" s="91"/>
      <c r="M287" s="92"/>
    </row>
    <row r="288" spans="1:13" s="45" customFormat="1" ht="8.5500000000000007" customHeight="1" x14ac:dyDescent="0.2">
      <c r="A288" s="43"/>
      <c r="B288" s="411"/>
      <c r="C288" s="412"/>
      <c r="D288" s="412"/>
      <c r="E288" s="412"/>
      <c r="F288" s="412"/>
      <c r="G288" s="418"/>
      <c r="H288" s="407"/>
      <c r="I288" s="405"/>
      <c r="J288" s="403"/>
      <c r="K288" s="165"/>
      <c r="L288" s="91"/>
      <c r="M288" s="92"/>
    </row>
    <row r="289" spans="1:13" s="45" customFormat="1" ht="8.5500000000000007" customHeight="1" x14ac:dyDescent="0.2">
      <c r="A289" s="43"/>
      <c r="B289" s="409" t="s">
        <v>1478</v>
      </c>
      <c r="C289" s="410"/>
      <c r="D289" s="410"/>
      <c r="E289" s="410"/>
      <c r="F289" s="410"/>
      <c r="G289" s="417">
        <v>1970</v>
      </c>
      <c r="H289" s="406"/>
      <c r="I289" s="404"/>
      <c r="J289" s="402"/>
      <c r="K289" s="164">
        <v>1</v>
      </c>
      <c r="L289" s="91"/>
      <c r="M289" s="92"/>
    </row>
    <row r="290" spans="1:13" s="45" customFormat="1" ht="8.5500000000000007" customHeight="1" x14ac:dyDescent="0.2">
      <c r="A290" s="43"/>
      <c r="B290" s="411"/>
      <c r="C290" s="412"/>
      <c r="D290" s="412"/>
      <c r="E290" s="412"/>
      <c r="F290" s="412"/>
      <c r="G290" s="418"/>
      <c r="H290" s="407"/>
      <c r="I290" s="405"/>
      <c r="J290" s="403"/>
      <c r="K290" s="165"/>
      <c r="L290" s="91"/>
      <c r="M290" s="92"/>
    </row>
    <row r="291" spans="1:13" s="45" customFormat="1" ht="8.5500000000000007" customHeight="1" x14ac:dyDescent="0.2">
      <c r="A291" s="43"/>
      <c r="B291" s="339" t="s">
        <v>1421</v>
      </c>
      <c r="C291" s="339"/>
      <c r="D291" s="339"/>
      <c r="E291" s="339"/>
      <c r="F291" s="339"/>
      <c r="G291" s="47"/>
      <c r="H291" s="47"/>
      <c r="I291" s="48"/>
      <c r="J291" s="48"/>
      <c r="K291" s="164"/>
      <c r="L291" s="91"/>
      <c r="M291" s="92"/>
    </row>
    <row r="292" spans="1:13" s="45" customFormat="1" ht="8.5500000000000007" customHeight="1" x14ac:dyDescent="0.2">
      <c r="A292" s="43"/>
      <c r="B292" s="340"/>
      <c r="C292" s="340"/>
      <c r="D292" s="340"/>
      <c r="E292" s="340"/>
      <c r="F292" s="340"/>
      <c r="G292" s="54"/>
      <c r="H292" s="54"/>
      <c r="I292" s="49"/>
      <c r="J292" s="49"/>
      <c r="K292" s="165"/>
      <c r="L292" s="91"/>
      <c r="M292" s="92"/>
    </row>
    <row r="293" spans="1:13" s="45" customFormat="1" ht="8.5500000000000007" customHeight="1" x14ac:dyDescent="0.2">
      <c r="A293" s="43"/>
      <c r="B293" s="409" t="s">
        <v>1478</v>
      </c>
      <c r="C293" s="410"/>
      <c r="D293" s="410"/>
      <c r="E293" s="410"/>
      <c r="F293" s="410"/>
      <c r="G293" s="417">
        <v>1980</v>
      </c>
      <c r="H293" s="406"/>
      <c r="I293" s="404"/>
      <c r="J293" s="402"/>
      <c r="K293" s="164">
        <v>1</v>
      </c>
      <c r="L293" s="91"/>
      <c r="M293" s="92"/>
    </row>
    <row r="294" spans="1:13" s="45" customFormat="1" ht="8.5500000000000007" customHeight="1" x14ac:dyDescent="0.2">
      <c r="A294" s="43"/>
      <c r="B294" s="411"/>
      <c r="C294" s="412"/>
      <c r="D294" s="412"/>
      <c r="E294" s="412"/>
      <c r="F294" s="412"/>
      <c r="G294" s="418"/>
      <c r="H294" s="407"/>
      <c r="I294" s="405"/>
      <c r="J294" s="403"/>
      <c r="K294" s="165"/>
      <c r="L294" s="91"/>
      <c r="M294" s="92"/>
    </row>
    <row r="295" spans="1:13" s="45" customFormat="1" ht="8.5500000000000007" customHeight="1" x14ac:dyDescent="0.2">
      <c r="A295" s="43"/>
      <c r="B295" s="409" t="s">
        <v>1474</v>
      </c>
      <c r="C295" s="410"/>
      <c r="D295" s="410"/>
      <c r="E295" s="410"/>
      <c r="F295" s="410"/>
      <c r="G295" s="417">
        <v>1980</v>
      </c>
      <c r="H295" s="406">
        <v>93</v>
      </c>
      <c r="I295" s="404"/>
      <c r="J295" s="402" t="s">
        <v>267</v>
      </c>
      <c r="K295" s="164">
        <v>2</v>
      </c>
      <c r="L295" s="91"/>
      <c r="M295" s="92"/>
    </row>
    <row r="296" spans="1:13" s="45" customFormat="1" ht="8.5500000000000007" customHeight="1" x14ac:dyDescent="0.2">
      <c r="A296" s="43"/>
      <c r="B296" s="411"/>
      <c r="C296" s="412"/>
      <c r="D296" s="412"/>
      <c r="E296" s="412"/>
      <c r="F296" s="412"/>
      <c r="G296" s="418"/>
      <c r="H296" s="407"/>
      <c r="I296" s="405"/>
      <c r="J296" s="403"/>
      <c r="K296" s="165"/>
      <c r="L296" s="91"/>
      <c r="M296" s="92"/>
    </row>
    <row r="297" spans="1:13" s="45" customFormat="1" ht="8.5500000000000007" customHeight="1" x14ac:dyDescent="0.2">
      <c r="A297" s="43"/>
      <c r="B297" s="409" t="s">
        <v>1474</v>
      </c>
      <c r="C297" s="410"/>
      <c r="D297" s="410"/>
      <c r="E297" s="410"/>
      <c r="F297" s="410"/>
      <c r="G297" s="417">
        <v>1990</v>
      </c>
      <c r="H297" s="406"/>
      <c r="I297" s="404"/>
      <c r="J297" s="402"/>
      <c r="K297" s="164">
        <v>1</v>
      </c>
      <c r="L297" s="91"/>
      <c r="M297" s="92"/>
    </row>
    <row r="298" spans="1:13" s="45" customFormat="1" ht="8.5500000000000007" customHeight="1" x14ac:dyDescent="0.2">
      <c r="A298" s="43"/>
      <c r="B298" s="411"/>
      <c r="C298" s="412"/>
      <c r="D298" s="412"/>
      <c r="E298" s="412"/>
      <c r="F298" s="412"/>
      <c r="G298" s="418"/>
      <c r="H298" s="407"/>
      <c r="I298" s="405"/>
      <c r="J298" s="403"/>
      <c r="K298" s="165"/>
      <c r="L298" s="91"/>
      <c r="M298" s="92"/>
    </row>
    <row r="299" spans="1:13" s="45" customFormat="1" ht="8.5500000000000007" customHeight="1" x14ac:dyDescent="0.2">
      <c r="A299" s="43"/>
      <c r="B299" s="409" t="s">
        <v>1602</v>
      </c>
      <c r="C299" s="410"/>
      <c r="D299" s="410"/>
      <c r="E299" s="410"/>
      <c r="F299" s="410"/>
      <c r="G299" s="417">
        <v>1996</v>
      </c>
      <c r="H299" s="406"/>
      <c r="I299" s="404"/>
      <c r="J299" s="402"/>
      <c r="K299" s="164">
        <v>1</v>
      </c>
      <c r="L299" s="91"/>
      <c r="M299" s="92"/>
    </row>
    <row r="300" spans="1:13" s="45" customFormat="1" ht="8.5500000000000007" customHeight="1" x14ac:dyDescent="0.2">
      <c r="A300" s="43"/>
      <c r="B300" s="411"/>
      <c r="C300" s="412"/>
      <c r="D300" s="412"/>
      <c r="E300" s="412"/>
      <c r="F300" s="412"/>
      <c r="G300" s="418"/>
      <c r="H300" s="407"/>
      <c r="I300" s="405"/>
      <c r="J300" s="403"/>
      <c r="K300" s="165"/>
      <c r="L300" s="91"/>
      <c r="M300" s="92"/>
    </row>
    <row r="301" spans="1:13" s="45" customFormat="1" ht="8.5500000000000007" customHeight="1" x14ac:dyDescent="0.2">
      <c r="A301" s="43"/>
      <c r="B301" s="409" t="s">
        <v>1603</v>
      </c>
      <c r="C301" s="410"/>
      <c r="D301" s="410"/>
      <c r="E301" s="410"/>
      <c r="F301" s="410"/>
      <c r="G301" s="417">
        <v>1996</v>
      </c>
      <c r="H301" s="406"/>
      <c r="I301" s="404"/>
      <c r="J301" s="402"/>
      <c r="K301" s="164">
        <v>1</v>
      </c>
      <c r="L301" s="91"/>
      <c r="M301" s="92"/>
    </row>
    <row r="302" spans="1:13" s="45" customFormat="1" ht="8.5500000000000007" customHeight="1" x14ac:dyDescent="0.2">
      <c r="A302" s="43"/>
      <c r="B302" s="411"/>
      <c r="C302" s="412"/>
      <c r="D302" s="412"/>
      <c r="E302" s="412"/>
      <c r="F302" s="412"/>
      <c r="G302" s="418"/>
      <c r="H302" s="407"/>
      <c r="I302" s="405"/>
      <c r="J302" s="403"/>
      <c r="K302" s="165"/>
      <c r="L302" s="91"/>
      <c r="M302" s="92"/>
    </row>
    <row r="303" spans="1:13" s="45" customFormat="1" ht="8.5500000000000007" customHeight="1" x14ac:dyDescent="0.2">
      <c r="A303" s="43"/>
      <c r="B303" s="409" t="s">
        <v>1604</v>
      </c>
      <c r="C303" s="410"/>
      <c r="D303" s="410"/>
      <c r="E303" s="410"/>
      <c r="F303" s="410"/>
      <c r="G303" s="417">
        <v>2005</v>
      </c>
      <c r="H303" s="406">
        <v>91</v>
      </c>
      <c r="I303" s="404"/>
      <c r="J303" s="402"/>
      <c r="K303" s="164">
        <v>1</v>
      </c>
      <c r="L303" s="91"/>
      <c r="M303" s="92"/>
    </row>
    <row r="304" spans="1:13" s="45" customFormat="1" ht="8.5500000000000007" customHeight="1" x14ac:dyDescent="0.2">
      <c r="A304" s="43"/>
      <c r="B304" s="411"/>
      <c r="C304" s="412"/>
      <c r="D304" s="412"/>
      <c r="E304" s="412"/>
      <c r="F304" s="412"/>
      <c r="G304" s="418"/>
      <c r="H304" s="407"/>
      <c r="I304" s="405"/>
      <c r="J304" s="403"/>
      <c r="K304" s="165"/>
      <c r="L304" s="91"/>
      <c r="M304" s="92"/>
    </row>
    <row r="305" spans="1:13" s="45" customFormat="1" ht="8.5500000000000007" customHeight="1" x14ac:dyDescent="0.2">
      <c r="A305" s="43"/>
      <c r="B305" s="156" t="s">
        <v>1092</v>
      </c>
      <c r="C305" s="156"/>
      <c r="D305" s="156"/>
      <c r="E305" s="156"/>
      <c r="F305" s="419"/>
      <c r="G305" s="417">
        <v>2014</v>
      </c>
      <c r="H305" s="406"/>
      <c r="I305" s="404"/>
      <c r="J305" s="402"/>
      <c r="K305" s="164">
        <v>1</v>
      </c>
      <c r="L305" s="91"/>
      <c r="M305" s="92"/>
    </row>
    <row r="306" spans="1:13" s="45" customFormat="1" ht="8.5500000000000007" customHeight="1" x14ac:dyDescent="0.2">
      <c r="A306" s="43"/>
      <c r="B306" s="158"/>
      <c r="C306" s="158"/>
      <c r="D306" s="158"/>
      <c r="E306" s="158"/>
      <c r="F306" s="421"/>
      <c r="G306" s="418"/>
      <c r="H306" s="407"/>
      <c r="I306" s="405"/>
      <c r="J306" s="403"/>
      <c r="K306" s="165"/>
      <c r="L306" s="91"/>
      <c r="M306" s="92"/>
    </row>
    <row r="307" spans="1:13" s="45" customFormat="1" ht="8.5500000000000007" customHeight="1" x14ac:dyDescent="0.2">
      <c r="A307" s="43"/>
      <c r="B307" s="156" t="s">
        <v>1864</v>
      </c>
      <c r="C307" s="156"/>
      <c r="D307" s="156"/>
      <c r="E307" s="156"/>
      <c r="F307" s="419"/>
      <c r="G307" s="417">
        <v>2021</v>
      </c>
      <c r="H307" s="406"/>
      <c r="I307" s="404"/>
      <c r="J307" s="402"/>
      <c r="K307" s="164">
        <v>12</v>
      </c>
      <c r="L307" s="91"/>
      <c r="M307" s="92"/>
    </row>
    <row r="308" spans="1:13" s="45" customFormat="1" ht="8.5500000000000007" customHeight="1" x14ac:dyDescent="0.2">
      <c r="A308" s="43"/>
      <c r="B308" s="158"/>
      <c r="C308" s="158"/>
      <c r="D308" s="158"/>
      <c r="E308" s="158"/>
      <c r="F308" s="421"/>
      <c r="G308" s="418"/>
      <c r="H308" s="407"/>
      <c r="I308" s="405"/>
      <c r="J308" s="403"/>
      <c r="K308" s="165"/>
      <c r="L308" s="91"/>
      <c r="M308" s="92"/>
    </row>
    <row r="309" spans="1:13" s="45" customFormat="1" ht="8.5500000000000007" customHeight="1" x14ac:dyDescent="0.2">
      <c r="A309" s="43"/>
      <c r="B309" s="170" t="s">
        <v>797</v>
      </c>
      <c r="C309" s="170"/>
      <c r="D309" s="170"/>
      <c r="E309" s="170"/>
      <c r="F309" s="170"/>
      <c r="G309" s="47"/>
      <c r="H309" s="47"/>
      <c r="I309" s="48"/>
      <c r="J309" s="48"/>
      <c r="K309" s="224">
        <v>92</v>
      </c>
      <c r="L309" s="447">
        <f>+K309</f>
        <v>92</v>
      </c>
      <c r="M309" s="92"/>
    </row>
    <row r="310" spans="1:13" s="45" customFormat="1" ht="8.5500000000000007" customHeight="1" x14ac:dyDescent="0.2">
      <c r="A310" s="43"/>
      <c r="B310" s="171"/>
      <c r="C310" s="171"/>
      <c r="D310" s="171"/>
      <c r="E310" s="171"/>
      <c r="F310" s="171"/>
      <c r="G310" s="54"/>
      <c r="H310" s="54"/>
      <c r="I310" s="49"/>
      <c r="J310" s="49"/>
      <c r="K310" s="225"/>
      <c r="L310" s="448"/>
      <c r="M310" s="92"/>
    </row>
    <row r="311" spans="1:13" s="45" customFormat="1" ht="8.5500000000000007" customHeight="1" x14ac:dyDescent="0.2">
      <c r="A311" s="43"/>
      <c r="B311" s="170" t="s">
        <v>806</v>
      </c>
      <c r="C311" s="170"/>
      <c r="D311" s="170"/>
      <c r="E311" s="170"/>
      <c r="F311" s="170"/>
      <c r="G311" s="47"/>
      <c r="H311" s="47"/>
      <c r="I311" s="48"/>
      <c r="J311" s="48"/>
      <c r="K311" s="224">
        <v>273</v>
      </c>
      <c r="L311" s="91"/>
      <c r="M311" s="92"/>
    </row>
    <row r="312" spans="1:13" s="45" customFormat="1" ht="8.5500000000000007" customHeight="1" x14ac:dyDescent="0.2">
      <c r="A312" s="43"/>
      <c r="B312" s="171"/>
      <c r="C312" s="171"/>
      <c r="D312" s="171"/>
      <c r="E312" s="171"/>
      <c r="F312" s="171"/>
      <c r="G312" s="54"/>
      <c r="H312" s="54"/>
      <c r="I312" s="49"/>
      <c r="J312" s="49"/>
      <c r="K312" s="225"/>
      <c r="L312" s="91"/>
      <c r="M312" s="92"/>
    </row>
    <row r="313" spans="1:13" ht="8.5500000000000007" customHeight="1" x14ac:dyDescent="0.25">
      <c r="B313" s="34"/>
      <c r="C313" s="35"/>
      <c r="D313" s="35"/>
      <c r="E313" s="35"/>
      <c r="F313" s="35"/>
      <c r="G313" s="436"/>
      <c r="H313" s="437"/>
      <c r="I313" s="443"/>
      <c r="J313" s="445"/>
      <c r="L313" s="447">
        <f>SUM(K13:K310)-M313</f>
        <v>273</v>
      </c>
      <c r="M313" s="447">
        <f>SUM(L13:L312)</f>
        <v>273</v>
      </c>
    </row>
    <row r="314" spans="1:13" x14ac:dyDescent="0.25">
      <c r="B314" s="36"/>
      <c r="C314" s="37"/>
      <c r="D314" s="37"/>
      <c r="E314" s="37"/>
      <c r="F314" s="37"/>
      <c r="G314" s="436"/>
      <c r="H314" s="438"/>
      <c r="I314" s="444"/>
      <c r="J314" s="446"/>
      <c r="L314" s="448"/>
      <c r="M314" s="448"/>
    </row>
    <row r="315" spans="1:13" x14ac:dyDescent="0.25">
      <c r="H315" s="8"/>
      <c r="K315" s="9"/>
    </row>
    <row r="316" spans="1:13" x14ac:dyDescent="0.25">
      <c r="H316" s="8"/>
      <c r="K316" s="7"/>
    </row>
    <row r="317" spans="1:13" x14ac:dyDescent="0.25">
      <c r="H317" s="8"/>
    </row>
    <row r="318" spans="1:13" x14ac:dyDescent="0.25">
      <c r="H318" s="8"/>
    </row>
    <row r="319" spans="1:13" x14ac:dyDescent="0.25">
      <c r="H319" s="8"/>
    </row>
    <row r="320" spans="1:13" x14ac:dyDescent="0.25">
      <c r="H320" s="8"/>
    </row>
    <row r="321" spans="8:8" x14ac:dyDescent="0.25">
      <c r="H321" s="8"/>
    </row>
    <row r="322" spans="8:8" x14ac:dyDescent="0.25">
      <c r="H322" s="8"/>
    </row>
    <row r="323" spans="8:8" x14ac:dyDescent="0.25">
      <c r="H323" s="8"/>
    </row>
    <row r="324" spans="8:8" x14ac:dyDescent="0.25">
      <c r="H324" s="8"/>
    </row>
    <row r="325" spans="8:8" x14ac:dyDescent="0.25">
      <c r="H325" s="8"/>
    </row>
    <row r="326" spans="8:8" x14ac:dyDescent="0.25">
      <c r="H326" s="8"/>
    </row>
    <row r="327" spans="8:8" x14ac:dyDescent="0.25">
      <c r="H327" s="8"/>
    </row>
    <row r="328" spans="8:8" x14ac:dyDescent="0.25">
      <c r="H328" s="8"/>
    </row>
    <row r="329" spans="8:8" x14ac:dyDescent="0.25">
      <c r="H329" s="8"/>
    </row>
  </sheetData>
  <autoFilter ref="A3:L329" xr:uid="{00000000-0009-0000-0000-00000C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876">
    <mergeCell ref="B291:F292"/>
    <mergeCell ref="K285:K286"/>
    <mergeCell ref="B143:F144"/>
    <mergeCell ref="G143:G144"/>
    <mergeCell ref="H143:H144"/>
    <mergeCell ref="I143:I144"/>
    <mergeCell ref="J143:J144"/>
    <mergeCell ref="K143:K144"/>
    <mergeCell ref="J181:J182"/>
    <mergeCell ref="J221:J222"/>
    <mergeCell ref="J199:J200"/>
    <mergeCell ref="K219:K220"/>
    <mergeCell ref="K215:K216"/>
    <mergeCell ref="K183:K184"/>
    <mergeCell ref="J189:J190"/>
    <mergeCell ref="J197:J198"/>
    <mergeCell ref="K213:K214"/>
    <mergeCell ref="K253:K254"/>
    <mergeCell ref="J211:J212"/>
    <mergeCell ref="I193:I194"/>
    <mergeCell ref="J195:J196"/>
    <mergeCell ref="H307:H308"/>
    <mergeCell ref="I307:I308"/>
    <mergeCell ref="J307:J308"/>
    <mergeCell ref="K307:K308"/>
    <mergeCell ref="G305:G306"/>
    <mergeCell ref="K305:K306"/>
    <mergeCell ref="B307:F308"/>
    <mergeCell ref="G307:G308"/>
    <mergeCell ref="J139:J140"/>
    <mergeCell ref="I159:I160"/>
    <mergeCell ref="I157:I158"/>
    <mergeCell ref="I161:I162"/>
    <mergeCell ref="I151:I152"/>
    <mergeCell ref="K249:K250"/>
    <mergeCell ref="K245:K246"/>
    <mergeCell ref="K233:K234"/>
    <mergeCell ref="K251:K252"/>
    <mergeCell ref="K229:K230"/>
    <mergeCell ref="K237:K238"/>
    <mergeCell ref="G231:G232"/>
    <mergeCell ref="I223:I224"/>
    <mergeCell ref="G151:G152"/>
    <mergeCell ref="G159:G160"/>
    <mergeCell ref="G155:G156"/>
    <mergeCell ref="K205:K206"/>
    <mergeCell ref="J207:J208"/>
    <mergeCell ref="J201:J202"/>
    <mergeCell ref="I205:I206"/>
    <mergeCell ref="K189:K190"/>
    <mergeCell ref="K115:K116"/>
    <mergeCell ref="J115:J116"/>
    <mergeCell ref="J117:J118"/>
    <mergeCell ref="J121:J122"/>
    <mergeCell ref="J131:J132"/>
    <mergeCell ref="K125:K126"/>
    <mergeCell ref="K127:K128"/>
    <mergeCell ref="K119:K120"/>
    <mergeCell ref="K131:K132"/>
    <mergeCell ref="J129:J130"/>
    <mergeCell ref="K129:K130"/>
    <mergeCell ref="K139:K140"/>
    <mergeCell ref="J133:J134"/>
    <mergeCell ref="K133:K134"/>
    <mergeCell ref="J157:J158"/>
    <mergeCell ref="J165:J166"/>
    <mergeCell ref="J175:J176"/>
    <mergeCell ref="J173:J174"/>
    <mergeCell ref="J169:J170"/>
    <mergeCell ref="K187:K188"/>
    <mergeCell ref="I181:I182"/>
    <mergeCell ref="K159:K160"/>
    <mergeCell ref="K201:K202"/>
    <mergeCell ref="K163:K164"/>
    <mergeCell ref="K181:K182"/>
    <mergeCell ref="K165:K166"/>
    <mergeCell ref="J153:J154"/>
    <mergeCell ref="I155:I156"/>
    <mergeCell ref="I167:I168"/>
    <mergeCell ref="J167:J168"/>
    <mergeCell ref="J155:J156"/>
    <mergeCell ref="J159:J160"/>
    <mergeCell ref="B311:F312"/>
    <mergeCell ref="G275:G276"/>
    <mergeCell ref="B251:F252"/>
    <mergeCell ref="G251:G252"/>
    <mergeCell ref="G247:G248"/>
    <mergeCell ref="G249:G250"/>
    <mergeCell ref="B309:F310"/>
    <mergeCell ref="B303:F304"/>
    <mergeCell ref="B305:F306"/>
    <mergeCell ref="B275:F276"/>
    <mergeCell ref="G301:G302"/>
    <mergeCell ref="B253:F254"/>
    <mergeCell ref="G253:G254"/>
    <mergeCell ref="B301:F302"/>
    <mergeCell ref="B273:F274"/>
    <mergeCell ref="B299:F300"/>
    <mergeCell ref="G297:G298"/>
    <mergeCell ref="G293:G294"/>
    <mergeCell ref="G261:G262"/>
    <mergeCell ref="G303:G304"/>
    <mergeCell ref="G287:G288"/>
    <mergeCell ref="B281:F282"/>
    <mergeCell ref="B279:F280"/>
    <mergeCell ref="B277:F278"/>
    <mergeCell ref="K177:K178"/>
    <mergeCell ref="K167:K168"/>
    <mergeCell ref="K145:K146"/>
    <mergeCell ref="K153:K154"/>
    <mergeCell ref="K149:K150"/>
    <mergeCell ref="I139:I140"/>
    <mergeCell ref="I171:I172"/>
    <mergeCell ref="J161:J162"/>
    <mergeCell ref="J101:J102"/>
    <mergeCell ref="I141:I142"/>
    <mergeCell ref="I165:I166"/>
    <mergeCell ref="I163:I164"/>
    <mergeCell ref="I137:I138"/>
    <mergeCell ref="I125:I126"/>
    <mergeCell ref="J125:J126"/>
    <mergeCell ref="I133:I134"/>
    <mergeCell ref="J135:J136"/>
    <mergeCell ref="K141:K142"/>
    <mergeCell ref="K157:K158"/>
    <mergeCell ref="J145:J146"/>
    <mergeCell ref="J151:J152"/>
    <mergeCell ref="J137:J138"/>
    <mergeCell ref="K135:K136"/>
    <mergeCell ref="K137:K138"/>
    <mergeCell ref="K35:K36"/>
    <mergeCell ref="K37:K38"/>
    <mergeCell ref="K41:K42"/>
    <mergeCell ref="K49:K50"/>
    <mergeCell ref="K45:K46"/>
    <mergeCell ref="K39:K40"/>
    <mergeCell ref="K43:K44"/>
    <mergeCell ref="K47:K48"/>
    <mergeCell ref="K91:K92"/>
    <mergeCell ref="K77:K78"/>
    <mergeCell ref="K89:K90"/>
    <mergeCell ref="K55:K56"/>
    <mergeCell ref="K193:K194"/>
    <mergeCell ref="K195:K196"/>
    <mergeCell ref="K209:K210"/>
    <mergeCell ref="J99:J100"/>
    <mergeCell ref="J91:J92"/>
    <mergeCell ref="K63:K64"/>
    <mergeCell ref="K73:K74"/>
    <mergeCell ref="K71:K72"/>
    <mergeCell ref="K65:K66"/>
    <mergeCell ref="K75:K76"/>
    <mergeCell ref="J97:J98"/>
    <mergeCell ref="J93:J94"/>
    <mergeCell ref="K97:K98"/>
    <mergeCell ref="K85:K86"/>
    <mergeCell ref="K69:K70"/>
    <mergeCell ref="K67:K68"/>
    <mergeCell ref="J113:J114"/>
    <mergeCell ref="J107:J108"/>
    <mergeCell ref="J111:J112"/>
    <mergeCell ref="K101:K102"/>
    <mergeCell ref="J105:J106"/>
    <mergeCell ref="K185:K186"/>
    <mergeCell ref="K161:K162"/>
    <mergeCell ref="K171:K172"/>
    <mergeCell ref="J163:J164"/>
    <mergeCell ref="J141:J142"/>
    <mergeCell ref="I99:I100"/>
    <mergeCell ref="K123:K124"/>
    <mergeCell ref="I117:I118"/>
    <mergeCell ref="I105:I106"/>
    <mergeCell ref="I113:I114"/>
    <mergeCell ref="K169:K170"/>
    <mergeCell ref="K151:K152"/>
    <mergeCell ref="I145:I146"/>
    <mergeCell ref="I129:I130"/>
    <mergeCell ref="I131:I132"/>
    <mergeCell ref="I115:I116"/>
    <mergeCell ref="I119:I120"/>
    <mergeCell ref="I121:I122"/>
    <mergeCell ref="H29:H30"/>
    <mergeCell ref="H31:H32"/>
    <mergeCell ref="H33:H34"/>
    <mergeCell ref="B39:F40"/>
    <mergeCell ref="H37:H38"/>
    <mergeCell ref="G39:G40"/>
    <mergeCell ref="G31:G32"/>
    <mergeCell ref="G33:G34"/>
    <mergeCell ref="B35:F36"/>
    <mergeCell ref="G157:G158"/>
    <mergeCell ref="I111:I112"/>
    <mergeCell ref="I107:I108"/>
    <mergeCell ref="G133:G134"/>
    <mergeCell ref="H225:H226"/>
    <mergeCell ref="H233:H234"/>
    <mergeCell ref="G237:G238"/>
    <mergeCell ref="G203:G204"/>
    <mergeCell ref="G197:G198"/>
    <mergeCell ref="I197:I198"/>
    <mergeCell ref="H221:H222"/>
    <mergeCell ref="G213:G214"/>
    <mergeCell ref="H209:H210"/>
    <mergeCell ref="H211:H212"/>
    <mergeCell ref="H207:H208"/>
    <mergeCell ref="G215:G216"/>
    <mergeCell ref="H215:H216"/>
    <mergeCell ref="H213:H214"/>
    <mergeCell ref="G201:G202"/>
    <mergeCell ref="I207:I208"/>
    <mergeCell ref="I213:I214"/>
    <mergeCell ref="G207:G208"/>
    <mergeCell ref="G233:G234"/>
    <mergeCell ref="G229:G230"/>
    <mergeCell ref="M313:M314"/>
    <mergeCell ref="K207:K208"/>
    <mergeCell ref="L309:L310"/>
    <mergeCell ref="K303:K304"/>
    <mergeCell ref="K281:K282"/>
    <mergeCell ref="K273:K274"/>
    <mergeCell ref="K257:K258"/>
    <mergeCell ref="L227:L228"/>
    <mergeCell ref="K227:K228"/>
    <mergeCell ref="K247:K248"/>
    <mergeCell ref="K241:K242"/>
    <mergeCell ref="L313:L314"/>
    <mergeCell ref="K235:K236"/>
    <mergeCell ref="K301:K302"/>
    <mergeCell ref="K311:K312"/>
    <mergeCell ref="K221:K222"/>
    <mergeCell ref="K243:K244"/>
    <mergeCell ref="K231:K232"/>
    <mergeCell ref="K255:K256"/>
    <mergeCell ref="K287:K288"/>
    <mergeCell ref="K259:K260"/>
    <mergeCell ref="K263:K264"/>
    <mergeCell ref="K299:K300"/>
    <mergeCell ref="K297:K298"/>
    <mergeCell ref="K293:K294"/>
    <mergeCell ref="K261:K262"/>
    <mergeCell ref="K289:K290"/>
    <mergeCell ref="K275:K276"/>
    <mergeCell ref="K277:K278"/>
    <mergeCell ref="K283:K284"/>
    <mergeCell ref="K279:K280"/>
    <mergeCell ref="K295:K296"/>
    <mergeCell ref="K309:K310"/>
    <mergeCell ref="K269:K270"/>
    <mergeCell ref="K271:K272"/>
    <mergeCell ref="K267:K268"/>
    <mergeCell ref="K265:K266"/>
    <mergeCell ref="K291:K292"/>
    <mergeCell ref="L147:L148"/>
    <mergeCell ref="K53:K54"/>
    <mergeCell ref="K59:K60"/>
    <mergeCell ref="K57:K58"/>
    <mergeCell ref="J53:J54"/>
    <mergeCell ref="K81:K82"/>
    <mergeCell ref="K113:K114"/>
    <mergeCell ref="K99:K100"/>
    <mergeCell ref="K117:K118"/>
    <mergeCell ref="K95:K96"/>
    <mergeCell ref="K93:K94"/>
    <mergeCell ref="K79:K80"/>
    <mergeCell ref="J119:J120"/>
    <mergeCell ref="J109:J110"/>
    <mergeCell ref="K109:K110"/>
    <mergeCell ref="K105:K106"/>
    <mergeCell ref="K103:K104"/>
    <mergeCell ref="K111:K112"/>
    <mergeCell ref="K107:K108"/>
    <mergeCell ref="K147:K148"/>
    <mergeCell ref="K121:K122"/>
    <mergeCell ref="K87:K88"/>
    <mergeCell ref="K83:K84"/>
    <mergeCell ref="K61:K62"/>
    <mergeCell ref="J251:J252"/>
    <mergeCell ref="J257:J258"/>
    <mergeCell ref="J273:J274"/>
    <mergeCell ref="J255:J256"/>
    <mergeCell ref="J127:J128"/>
    <mergeCell ref="J249:J250"/>
    <mergeCell ref="K9:K10"/>
    <mergeCell ref="K11:K12"/>
    <mergeCell ref="K23:K24"/>
    <mergeCell ref="K21:K22"/>
    <mergeCell ref="K15:K16"/>
    <mergeCell ref="K25:K26"/>
    <mergeCell ref="K13:K14"/>
    <mergeCell ref="K27:K28"/>
    <mergeCell ref="K19:K20"/>
    <mergeCell ref="K17:K18"/>
    <mergeCell ref="K29:K30"/>
    <mergeCell ref="K33:K34"/>
    <mergeCell ref="K31:K32"/>
    <mergeCell ref="K51:K52"/>
    <mergeCell ref="K197:K198"/>
    <mergeCell ref="K179:K180"/>
    <mergeCell ref="K199:K200"/>
    <mergeCell ref="K155:K156"/>
    <mergeCell ref="J277:J278"/>
    <mergeCell ref="I257:I258"/>
    <mergeCell ref="I287:I288"/>
    <mergeCell ref="J287:J288"/>
    <mergeCell ref="J263:J264"/>
    <mergeCell ref="J259:J260"/>
    <mergeCell ref="I277:I278"/>
    <mergeCell ref="I275:I276"/>
    <mergeCell ref="I273:I274"/>
    <mergeCell ref="J261:J262"/>
    <mergeCell ref="I283:I284"/>
    <mergeCell ref="I263:I264"/>
    <mergeCell ref="I259:I260"/>
    <mergeCell ref="I279:I280"/>
    <mergeCell ref="J279:J280"/>
    <mergeCell ref="I261:I262"/>
    <mergeCell ref="I285:I286"/>
    <mergeCell ref="J285:J286"/>
    <mergeCell ref="J283:J284"/>
    <mergeCell ref="J269:J270"/>
    <mergeCell ref="J271:J272"/>
    <mergeCell ref="J267:J268"/>
    <mergeCell ref="J265:J266"/>
    <mergeCell ref="J253:J254"/>
    <mergeCell ref="J281:J282"/>
    <mergeCell ref="I215:I216"/>
    <mergeCell ref="I153:I154"/>
    <mergeCell ref="K211:K212"/>
    <mergeCell ref="K223:K224"/>
    <mergeCell ref="J203:J204"/>
    <mergeCell ref="K175:K176"/>
    <mergeCell ref="K173:K174"/>
    <mergeCell ref="I265:I266"/>
    <mergeCell ref="I175:I176"/>
    <mergeCell ref="I177:I178"/>
    <mergeCell ref="J177:J178"/>
    <mergeCell ref="J183:J184"/>
    <mergeCell ref="J171:J172"/>
    <mergeCell ref="I169:I170"/>
    <mergeCell ref="K217:K218"/>
    <mergeCell ref="J239:J240"/>
    <mergeCell ref="J237:J238"/>
    <mergeCell ref="J233:J234"/>
    <mergeCell ref="K239:K240"/>
    <mergeCell ref="K191:K192"/>
    <mergeCell ref="K225:K226"/>
    <mergeCell ref="K203:K204"/>
    <mergeCell ref="I313:I314"/>
    <mergeCell ref="I305:I306"/>
    <mergeCell ref="J305:J306"/>
    <mergeCell ref="I303:I304"/>
    <mergeCell ref="J303:J304"/>
    <mergeCell ref="J297:J298"/>
    <mergeCell ref="J301:J302"/>
    <mergeCell ref="J299:J300"/>
    <mergeCell ref="J313:J314"/>
    <mergeCell ref="I301:I302"/>
    <mergeCell ref="I299:I300"/>
    <mergeCell ref="I297:I298"/>
    <mergeCell ref="J293:J294"/>
    <mergeCell ref="J295:J296"/>
    <mergeCell ref="I295:I296"/>
    <mergeCell ref="I293:I294"/>
    <mergeCell ref="J289:J290"/>
    <mergeCell ref="I45:I46"/>
    <mergeCell ref="J47:J48"/>
    <mergeCell ref="I65:I66"/>
    <mergeCell ref="J65:J66"/>
    <mergeCell ref="J71:J72"/>
    <mergeCell ref="J75:J76"/>
    <mergeCell ref="J87:J88"/>
    <mergeCell ref="J85:J86"/>
    <mergeCell ref="J83:J84"/>
    <mergeCell ref="J81:J82"/>
    <mergeCell ref="J69:J70"/>
    <mergeCell ref="J73:J74"/>
    <mergeCell ref="J61:J62"/>
    <mergeCell ref="J63:J64"/>
    <mergeCell ref="J275:J276"/>
    <mergeCell ref="J77:J78"/>
    <mergeCell ref="I83:I84"/>
    <mergeCell ref="J95:J96"/>
    <mergeCell ref="I81:I82"/>
    <mergeCell ref="I35:I36"/>
    <mergeCell ref="I57:I58"/>
    <mergeCell ref="I59:I60"/>
    <mergeCell ref="J37:J38"/>
    <mergeCell ref="J43:J44"/>
    <mergeCell ref="I47:I48"/>
    <mergeCell ref="I43:I44"/>
    <mergeCell ref="I51:I52"/>
    <mergeCell ref="I49:I50"/>
    <mergeCell ref="I53:I54"/>
    <mergeCell ref="G107:G108"/>
    <mergeCell ref="G91:G92"/>
    <mergeCell ref="G97:G98"/>
    <mergeCell ref="H89:H90"/>
    <mergeCell ref="H83:H84"/>
    <mergeCell ref="H85:H86"/>
    <mergeCell ref="H91:H92"/>
    <mergeCell ref="H87:H88"/>
    <mergeCell ref="H103:H104"/>
    <mergeCell ref="H97:H98"/>
    <mergeCell ref="I97:I98"/>
    <mergeCell ref="I101:I102"/>
    <mergeCell ref="J103:J104"/>
    <mergeCell ref="I95:I96"/>
    <mergeCell ref="I79:I80"/>
    <mergeCell ref="J79:J80"/>
    <mergeCell ref="G101:G102"/>
    <mergeCell ref="J89:J90"/>
    <mergeCell ref="G53:G54"/>
    <mergeCell ref="I103:I104"/>
    <mergeCell ref="I85:I86"/>
    <mergeCell ref="I87:I88"/>
    <mergeCell ref="I91:I92"/>
    <mergeCell ref="I89:I90"/>
    <mergeCell ref="I93:I94"/>
    <mergeCell ref="H61:H62"/>
    <mergeCell ref="H65:H66"/>
    <mergeCell ref="G61:G62"/>
    <mergeCell ref="G81:G82"/>
    <mergeCell ref="H71:H72"/>
    <mergeCell ref="G63:G64"/>
    <mergeCell ref="G65:G66"/>
    <mergeCell ref="H57:H58"/>
    <mergeCell ref="J55:J56"/>
    <mergeCell ref="J25:J26"/>
    <mergeCell ref="H69:H70"/>
    <mergeCell ref="G87:G88"/>
    <mergeCell ref="H77:H78"/>
    <mergeCell ref="H73:H74"/>
    <mergeCell ref="H63:H64"/>
    <mergeCell ref="G75:G76"/>
    <mergeCell ref="G57:G58"/>
    <mergeCell ref="G59:G60"/>
    <mergeCell ref="G51:G52"/>
    <mergeCell ref="H59:H60"/>
    <mergeCell ref="G85:G86"/>
    <mergeCell ref="H79:H80"/>
    <mergeCell ref="G83:G84"/>
    <mergeCell ref="J27:J28"/>
    <mergeCell ref="J57:J58"/>
    <mergeCell ref="J59:J60"/>
    <mergeCell ref="I61:I62"/>
    <mergeCell ref="J45:J46"/>
    <mergeCell ref="I63:I64"/>
    <mergeCell ref="J51:J52"/>
    <mergeCell ref="H27:H28"/>
    <mergeCell ref="H47:H48"/>
    <mergeCell ref="G47:G48"/>
    <mergeCell ref="J19:J20"/>
    <mergeCell ref="H21:H22"/>
    <mergeCell ref="I21:I22"/>
    <mergeCell ref="I23:I24"/>
    <mergeCell ref="H43:H44"/>
    <mergeCell ref="H41:H42"/>
    <mergeCell ref="H51:H52"/>
    <mergeCell ref="H49:H50"/>
    <mergeCell ref="I39:I40"/>
    <mergeCell ref="J39:J40"/>
    <mergeCell ref="J41:J42"/>
    <mergeCell ref="I37:I38"/>
    <mergeCell ref="H35:H36"/>
    <mergeCell ref="J21:J22"/>
    <mergeCell ref="J29:J30"/>
    <mergeCell ref="J31:J32"/>
    <mergeCell ref="I41:I42"/>
    <mergeCell ref="J49:J50"/>
    <mergeCell ref="H45:H46"/>
    <mergeCell ref="J23:J24"/>
    <mergeCell ref="I29:I30"/>
    <mergeCell ref="J35:J36"/>
    <mergeCell ref="J33:J34"/>
    <mergeCell ref="I33:I34"/>
    <mergeCell ref="I19:I20"/>
    <mergeCell ref="H19:H20"/>
    <mergeCell ref="I31:I32"/>
    <mergeCell ref="I25:I26"/>
    <mergeCell ref="I27:I28"/>
    <mergeCell ref="H39:H40"/>
    <mergeCell ref="H23:H24"/>
    <mergeCell ref="H25:H26"/>
    <mergeCell ref="H313:H314"/>
    <mergeCell ref="H199:H200"/>
    <mergeCell ref="H203:H204"/>
    <mergeCell ref="I109:I110"/>
    <mergeCell ref="I127:I128"/>
    <mergeCell ref="I135:I136"/>
    <mergeCell ref="H299:H300"/>
    <mergeCell ref="H107:H108"/>
    <mergeCell ref="H113:H114"/>
    <mergeCell ref="H115:H116"/>
    <mergeCell ref="H265:H266"/>
    <mergeCell ref="H241:H242"/>
    <mergeCell ref="H239:H240"/>
    <mergeCell ref="I237:I238"/>
    <mergeCell ref="H261:H262"/>
    <mergeCell ref="I253:I254"/>
    <mergeCell ref="G313:G314"/>
    <mergeCell ref="H305:H306"/>
    <mergeCell ref="G189:G190"/>
    <mergeCell ref="H189:H190"/>
    <mergeCell ref="H195:H196"/>
    <mergeCell ref="H191:H192"/>
    <mergeCell ref="H193:H194"/>
    <mergeCell ref="G199:G200"/>
    <mergeCell ref="G191:G192"/>
    <mergeCell ref="H303:H304"/>
    <mergeCell ref="H243:H244"/>
    <mergeCell ref="H237:H238"/>
    <mergeCell ref="G243:G244"/>
    <mergeCell ref="H253:H254"/>
    <mergeCell ref="G295:G296"/>
    <mergeCell ref="G255:G256"/>
    <mergeCell ref="H301:H302"/>
    <mergeCell ref="G299:G300"/>
    <mergeCell ref="H295:H296"/>
    <mergeCell ref="H277:H278"/>
    <mergeCell ref="G225:G226"/>
    <mergeCell ref="H205:H206"/>
    <mergeCell ref="H197:H198"/>
    <mergeCell ref="H201:H202"/>
    <mergeCell ref="G217:G218"/>
    <mergeCell ref="H217:H218"/>
    <mergeCell ref="G223:G224"/>
    <mergeCell ref="B57:F58"/>
    <mergeCell ref="B53:F54"/>
    <mergeCell ref="B59:F60"/>
    <mergeCell ref="B85:F86"/>
    <mergeCell ref="B81:F82"/>
    <mergeCell ref="G69:G70"/>
    <mergeCell ref="G183:G184"/>
    <mergeCell ref="H161:H162"/>
    <mergeCell ref="H119:H120"/>
    <mergeCell ref="H153:H154"/>
    <mergeCell ref="H157:H158"/>
    <mergeCell ref="H177:H178"/>
    <mergeCell ref="H171:H172"/>
    <mergeCell ref="H169:H170"/>
    <mergeCell ref="H167:H168"/>
    <mergeCell ref="G145:G146"/>
    <mergeCell ref="G153:G154"/>
    <mergeCell ref="H183:H184"/>
    <mergeCell ref="H165:H166"/>
    <mergeCell ref="H159:H160"/>
    <mergeCell ref="G105:G106"/>
    <mergeCell ref="H133:H134"/>
    <mergeCell ref="H127:H128"/>
    <mergeCell ref="H129:H130"/>
    <mergeCell ref="H145:H146"/>
    <mergeCell ref="H53:H54"/>
    <mergeCell ref="H95:H96"/>
    <mergeCell ref="H109:H110"/>
    <mergeCell ref="H121:H122"/>
    <mergeCell ref="H117:H118"/>
    <mergeCell ref="H101:H102"/>
    <mergeCell ref="H105:H106"/>
    <mergeCell ref="H111:H112"/>
    <mergeCell ref="H99:H100"/>
    <mergeCell ref="H75:H76"/>
    <mergeCell ref="H81:H82"/>
    <mergeCell ref="B245:F246"/>
    <mergeCell ref="B269:F270"/>
    <mergeCell ref="G269:G270"/>
    <mergeCell ref="B265:F266"/>
    <mergeCell ref="G265:G266"/>
    <mergeCell ref="B241:F242"/>
    <mergeCell ref="B257:F258"/>
    <mergeCell ref="B259:F260"/>
    <mergeCell ref="B261:F262"/>
    <mergeCell ref="B37:F38"/>
    <mergeCell ref="G37:G38"/>
    <mergeCell ref="B239:F240"/>
    <mergeCell ref="B229:F230"/>
    <mergeCell ref="B225:F226"/>
    <mergeCell ref="B221:F222"/>
    <mergeCell ref="B197:F198"/>
    <mergeCell ref="B201:F202"/>
    <mergeCell ref="B217:F218"/>
    <mergeCell ref="B223:F224"/>
    <mergeCell ref="B209:F210"/>
    <mergeCell ref="B207:F208"/>
    <mergeCell ref="B237:F238"/>
    <mergeCell ref="G239:G240"/>
    <mergeCell ref="B47:F48"/>
    <mergeCell ref="B51:F52"/>
    <mergeCell ref="B61:F62"/>
    <mergeCell ref="G99:G100"/>
    <mergeCell ref="G121:G122"/>
    <mergeCell ref="G113:G114"/>
    <mergeCell ref="G111:G112"/>
    <mergeCell ref="G95:G96"/>
    <mergeCell ref="G103:G104"/>
    <mergeCell ref="G119:G120"/>
    <mergeCell ref="G9:G10"/>
    <mergeCell ref="B15:F16"/>
    <mergeCell ref="B95:F96"/>
    <mergeCell ref="B31:F32"/>
    <mergeCell ref="G23:G24"/>
    <mergeCell ref="G21:G22"/>
    <mergeCell ref="G27:G28"/>
    <mergeCell ref="G35:G36"/>
    <mergeCell ref="B19:F20"/>
    <mergeCell ref="G25:G26"/>
    <mergeCell ref="B33:F34"/>
    <mergeCell ref="B27:F28"/>
    <mergeCell ref="G45:G46"/>
    <mergeCell ref="B41:F42"/>
    <mergeCell ref="B45:F46"/>
    <mergeCell ref="B49:F50"/>
    <mergeCell ref="B43:F44"/>
    <mergeCell ref="G41:G42"/>
    <mergeCell ref="G49:G50"/>
    <mergeCell ref="G43:G44"/>
    <mergeCell ref="B29:F30"/>
    <mergeCell ref="G29:G30"/>
    <mergeCell ref="B21:F22"/>
    <mergeCell ref="B23:F24"/>
    <mergeCell ref="B69:F70"/>
    <mergeCell ref="G71:G72"/>
    <mergeCell ref="G19:G20"/>
    <mergeCell ref="B25:F26"/>
    <mergeCell ref="C3:J5"/>
    <mergeCell ref="D6:J7"/>
    <mergeCell ref="G13:G14"/>
    <mergeCell ref="H13:H14"/>
    <mergeCell ref="I17:I18"/>
    <mergeCell ref="B17:F18"/>
    <mergeCell ref="G17:G18"/>
    <mergeCell ref="H17:H18"/>
    <mergeCell ref="I9:I10"/>
    <mergeCell ref="B11:F12"/>
    <mergeCell ref="H9:H10"/>
    <mergeCell ref="J13:J14"/>
    <mergeCell ref="B13:F14"/>
    <mergeCell ref="H15:H16"/>
    <mergeCell ref="I13:I14"/>
    <mergeCell ref="B9:F10"/>
    <mergeCell ref="J17:J18"/>
    <mergeCell ref="G11:G12"/>
    <mergeCell ref="J15:J16"/>
    <mergeCell ref="I15:I16"/>
    <mergeCell ref="H135:H136"/>
    <mergeCell ref="H175:H176"/>
    <mergeCell ref="G15:G16"/>
    <mergeCell ref="G117:G118"/>
    <mergeCell ref="B111:F112"/>
    <mergeCell ref="B105:F106"/>
    <mergeCell ref="I73:I74"/>
    <mergeCell ref="I71:I72"/>
    <mergeCell ref="I69:I70"/>
    <mergeCell ref="I75:I76"/>
    <mergeCell ref="I77:I78"/>
    <mergeCell ref="H93:H94"/>
    <mergeCell ref="B107:F108"/>
    <mergeCell ref="B103:F104"/>
    <mergeCell ref="B63:F64"/>
    <mergeCell ref="B67:F68"/>
    <mergeCell ref="G73:G74"/>
    <mergeCell ref="B75:F76"/>
    <mergeCell ref="G79:G80"/>
    <mergeCell ref="B65:F66"/>
    <mergeCell ref="B89:F90"/>
    <mergeCell ref="B91:F92"/>
    <mergeCell ref="B83:F84"/>
    <mergeCell ref="B71:F72"/>
    <mergeCell ref="B205:F206"/>
    <mergeCell ref="B211:F212"/>
    <mergeCell ref="B213:F214"/>
    <mergeCell ref="B199:F200"/>
    <mergeCell ref="B175:F176"/>
    <mergeCell ref="B151:F152"/>
    <mergeCell ref="B153:F154"/>
    <mergeCell ref="B155:F156"/>
    <mergeCell ref="G115:G116"/>
    <mergeCell ref="G129:G130"/>
    <mergeCell ref="G161:G162"/>
    <mergeCell ref="B131:F132"/>
    <mergeCell ref="B137:F138"/>
    <mergeCell ref="B135:F136"/>
    <mergeCell ref="B119:F120"/>
    <mergeCell ref="B145:F146"/>
    <mergeCell ref="B121:F122"/>
    <mergeCell ref="B157:F158"/>
    <mergeCell ref="B159:F160"/>
    <mergeCell ref="G127:G128"/>
    <mergeCell ref="B123:F124"/>
    <mergeCell ref="B133:F134"/>
    <mergeCell ref="B125:F126"/>
    <mergeCell ref="G135:G136"/>
    <mergeCell ref="B231:F232"/>
    <mergeCell ref="B227:F228"/>
    <mergeCell ref="B233:F234"/>
    <mergeCell ref="B219:F220"/>
    <mergeCell ref="B187:F188"/>
    <mergeCell ref="B173:F174"/>
    <mergeCell ref="B177:F178"/>
    <mergeCell ref="I191:I192"/>
    <mergeCell ref="I201:I202"/>
    <mergeCell ref="I211:I212"/>
    <mergeCell ref="I199:I200"/>
    <mergeCell ref="G221:G222"/>
    <mergeCell ref="B185:F186"/>
    <mergeCell ref="B181:F182"/>
    <mergeCell ref="B191:F192"/>
    <mergeCell ref="B193:F194"/>
    <mergeCell ref="B189:F190"/>
    <mergeCell ref="B183:F184"/>
    <mergeCell ref="B215:F216"/>
    <mergeCell ref="G195:G196"/>
    <mergeCell ref="B179:F180"/>
    <mergeCell ref="B203:F204"/>
    <mergeCell ref="B195:F196"/>
    <mergeCell ref="I209:I210"/>
    <mergeCell ref="G241:G242"/>
    <mergeCell ref="G245:G246"/>
    <mergeCell ref="H231:H232"/>
    <mergeCell ref="H137:H138"/>
    <mergeCell ref="G167:G168"/>
    <mergeCell ref="G173:G174"/>
    <mergeCell ref="G125:G126"/>
    <mergeCell ref="H125:H126"/>
    <mergeCell ref="G187:G188"/>
    <mergeCell ref="H219:H220"/>
    <mergeCell ref="G219:G220"/>
    <mergeCell ref="G171:G172"/>
    <mergeCell ref="H163:H164"/>
    <mergeCell ref="H173:H174"/>
    <mergeCell ref="H223:H224"/>
    <mergeCell ref="G205:G206"/>
    <mergeCell ref="G177:G178"/>
    <mergeCell ref="H187:H188"/>
    <mergeCell ref="H181:H182"/>
    <mergeCell ref="H185:H186"/>
    <mergeCell ref="H131:H132"/>
    <mergeCell ref="H151:H152"/>
    <mergeCell ref="H139:H140"/>
    <mergeCell ref="H155:H156"/>
    <mergeCell ref="H287:H288"/>
    <mergeCell ref="H249:H250"/>
    <mergeCell ref="H281:H282"/>
    <mergeCell ref="G281:G282"/>
    <mergeCell ref="G289:G290"/>
    <mergeCell ref="I249:I250"/>
    <mergeCell ref="I255:I256"/>
    <mergeCell ref="H279:H280"/>
    <mergeCell ref="I281:I282"/>
    <mergeCell ref="H275:H276"/>
    <mergeCell ref="H257:H258"/>
    <mergeCell ref="H269:H270"/>
    <mergeCell ref="I269:I270"/>
    <mergeCell ref="G279:G280"/>
    <mergeCell ref="G263:G264"/>
    <mergeCell ref="G277:G278"/>
    <mergeCell ref="G259:G260"/>
    <mergeCell ref="H285:H286"/>
    <mergeCell ref="H251:H252"/>
    <mergeCell ref="G273:G274"/>
    <mergeCell ref="G257:G258"/>
    <mergeCell ref="B79:F80"/>
    <mergeCell ref="B73:F74"/>
    <mergeCell ref="B77:F78"/>
    <mergeCell ref="G77:G78"/>
    <mergeCell ref="B101:F102"/>
    <mergeCell ref="G89:G90"/>
    <mergeCell ref="G93:G94"/>
    <mergeCell ref="B99:F100"/>
    <mergeCell ref="B93:F94"/>
    <mergeCell ref="B97:F98"/>
    <mergeCell ref="B87:F88"/>
    <mergeCell ref="G193:G194"/>
    <mergeCell ref="G175:G176"/>
    <mergeCell ref="G181:G182"/>
    <mergeCell ref="G185:G186"/>
    <mergeCell ref="B109:F110"/>
    <mergeCell ref="B113:F114"/>
    <mergeCell ref="G169:G170"/>
    <mergeCell ref="G165:G166"/>
    <mergeCell ref="G163:G164"/>
    <mergeCell ref="B163:F164"/>
    <mergeCell ref="G131:G132"/>
    <mergeCell ref="B129:F130"/>
    <mergeCell ref="B127:F128"/>
    <mergeCell ref="B139:F140"/>
    <mergeCell ref="G137:G138"/>
    <mergeCell ref="G139:G140"/>
    <mergeCell ref="B141:F142"/>
    <mergeCell ref="G141:G142"/>
    <mergeCell ref="B147:F148"/>
    <mergeCell ref="B167:F168"/>
    <mergeCell ref="B169:F170"/>
    <mergeCell ref="B171:F172"/>
    <mergeCell ref="B165:F166"/>
    <mergeCell ref="G109:G110"/>
    <mergeCell ref="J225:J226"/>
    <mergeCell ref="I173:I174"/>
    <mergeCell ref="J187:J188"/>
    <mergeCell ref="J185:J186"/>
    <mergeCell ref="I187:I188"/>
    <mergeCell ref="I195:I196"/>
    <mergeCell ref="J213:J214"/>
    <mergeCell ref="I183:I184"/>
    <mergeCell ref="I185:I186"/>
    <mergeCell ref="J191:J192"/>
    <mergeCell ref="J223:J224"/>
    <mergeCell ref="J219:J220"/>
    <mergeCell ref="J217:J218"/>
    <mergeCell ref="I221:I222"/>
    <mergeCell ref="I219:I220"/>
    <mergeCell ref="I217:I218"/>
    <mergeCell ref="J205:J206"/>
    <mergeCell ref="J193:J194"/>
    <mergeCell ref="I189:I190"/>
    <mergeCell ref="J215:J216"/>
    <mergeCell ref="I203:I204"/>
    <mergeCell ref="J209:J210"/>
    <mergeCell ref="H297:H298"/>
    <mergeCell ref="H245:H246"/>
    <mergeCell ref="B249:F250"/>
    <mergeCell ref="I251:I252"/>
    <mergeCell ref="H255:H256"/>
    <mergeCell ref="I289:I290"/>
    <mergeCell ref="H259:H260"/>
    <mergeCell ref="I241:I242"/>
    <mergeCell ref="H283:H284"/>
    <mergeCell ref="H263:H264"/>
    <mergeCell ref="G283:G284"/>
    <mergeCell ref="B247:F248"/>
    <mergeCell ref="B295:F296"/>
    <mergeCell ref="B297:F298"/>
    <mergeCell ref="B289:F290"/>
    <mergeCell ref="B293:F294"/>
    <mergeCell ref="B255:F256"/>
    <mergeCell ref="B283:F284"/>
    <mergeCell ref="B263:F264"/>
    <mergeCell ref="B243:F244"/>
    <mergeCell ref="H289:H290"/>
    <mergeCell ref="H273:H274"/>
    <mergeCell ref="B285:F286"/>
    <mergeCell ref="G285:G286"/>
    <mergeCell ref="H293:H294"/>
    <mergeCell ref="I247:I248"/>
    <mergeCell ref="B235:F236"/>
    <mergeCell ref="B287:F288"/>
    <mergeCell ref="B55:F56"/>
    <mergeCell ref="G55:G56"/>
    <mergeCell ref="H55:H56"/>
    <mergeCell ref="I55:I56"/>
    <mergeCell ref="B271:F272"/>
    <mergeCell ref="G271:G272"/>
    <mergeCell ref="H271:H272"/>
    <mergeCell ref="I271:I272"/>
    <mergeCell ref="B267:F268"/>
    <mergeCell ref="G267:G268"/>
    <mergeCell ref="H267:H268"/>
    <mergeCell ref="I267:I268"/>
    <mergeCell ref="H141:H142"/>
    <mergeCell ref="B117:F118"/>
    <mergeCell ref="B115:F116"/>
    <mergeCell ref="B149:F150"/>
    <mergeCell ref="I225:I226"/>
    <mergeCell ref="B161:F162"/>
    <mergeCell ref="G211:G212"/>
    <mergeCell ref="G209:G210"/>
    <mergeCell ref="J247:J248"/>
    <mergeCell ref="I239:I240"/>
    <mergeCell ref="I245:I246"/>
    <mergeCell ref="I243:I244"/>
    <mergeCell ref="J245:J246"/>
    <mergeCell ref="J243:J244"/>
    <mergeCell ref="J241:J242"/>
    <mergeCell ref="J231:J232"/>
    <mergeCell ref="H247:H248"/>
    <mergeCell ref="I233:I234"/>
    <mergeCell ref="I231:I232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3"/>
  <dimension ref="A1:M132"/>
  <sheetViews>
    <sheetView showGridLines="0" view="pageBreakPreview" zoomScaleNormal="100" workbookViewId="0"/>
  </sheetViews>
  <sheetFormatPr defaultColWidth="9.109375" defaultRowHeight="13.2" x14ac:dyDescent="0.25"/>
  <cols>
    <col min="1" max="1" width="9.109375" style="1"/>
    <col min="2" max="2" width="15.6640625" style="1" customWidth="1"/>
    <col min="3" max="3" width="14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8.88671875" customWidth="1"/>
    <col min="13" max="16384" width="9.109375" style="1"/>
  </cols>
  <sheetData>
    <row r="1" spans="1:12" ht="12" customHeight="1" x14ac:dyDescent="0.25"/>
    <row r="2" spans="1:12" ht="12" customHeight="1" x14ac:dyDescent="0.25"/>
    <row r="3" spans="1:12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2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2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2" ht="12" customHeight="1" x14ac:dyDescent="0.25">
      <c r="D6" s="227" t="s">
        <v>431</v>
      </c>
      <c r="E6" s="227"/>
      <c r="F6" s="227"/>
      <c r="G6" s="227"/>
      <c r="H6" s="227"/>
      <c r="I6" s="227"/>
      <c r="J6" s="227"/>
    </row>
    <row r="7" spans="1:12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1:12" ht="12" customHeight="1" x14ac:dyDescent="0.25">
      <c r="B8" s="2"/>
    </row>
    <row r="9" spans="1:12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2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2" s="45" customFormat="1" ht="8.5500000000000007" customHeight="1" x14ac:dyDescent="0.2">
      <c r="A11" s="43"/>
      <c r="B11" s="218" t="s">
        <v>99</v>
      </c>
      <c r="C11" s="218"/>
      <c r="D11" s="218"/>
      <c r="E11" s="218"/>
      <c r="F11" s="218"/>
      <c r="G11" s="47"/>
      <c r="H11" s="47"/>
      <c r="I11" s="48"/>
      <c r="J11" s="48"/>
      <c r="K11" s="222"/>
    </row>
    <row r="12" spans="1:12" s="45" customFormat="1" ht="8.5500000000000007" customHeight="1" x14ac:dyDescent="0.2">
      <c r="A12" s="43"/>
      <c r="B12" s="219"/>
      <c r="C12" s="219"/>
      <c r="D12" s="219"/>
      <c r="E12" s="219"/>
      <c r="F12" s="219"/>
      <c r="G12" s="54"/>
      <c r="H12" s="54"/>
      <c r="I12" s="49"/>
      <c r="J12" s="49"/>
      <c r="K12" s="165"/>
    </row>
    <row r="13" spans="1:12" s="45" customFormat="1" ht="8.5500000000000007" customHeight="1" x14ac:dyDescent="0.2">
      <c r="B13" s="419" t="s">
        <v>1049</v>
      </c>
      <c r="C13" s="420"/>
      <c r="D13" s="420"/>
      <c r="E13" s="420"/>
      <c r="F13" s="420"/>
      <c r="G13" s="251">
        <v>1947</v>
      </c>
      <c r="H13" s="167"/>
      <c r="I13" s="160"/>
      <c r="J13" s="56"/>
      <c r="K13" s="164">
        <v>1</v>
      </c>
      <c r="L13" s="43"/>
    </row>
    <row r="14" spans="1:12" s="45" customFormat="1" ht="8.5500000000000007" customHeight="1" x14ac:dyDescent="0.2">
      <c r="B14" s="421"/>
      <c r="C14" s="422"/>
      <c r="D14" s="422"/>
      <c r="E14" s="422"/>
      <c r="F14" s="422"/>
      <c r="G14" s="252"/>
      <c r="H14" s="168"/>
      <c r="I14" s="161"/>
      <c r="J14" s="57"/>
      <c r="K14" s="165"/>
      <c r="L14" s="43"/>
    </row>
    <row r="15" spans="1:12" s="45" customFormat="1" ht="8.5500000000000007" customHeight="1" x14ac:dyDescent="0.2">
      <c r="B15" s="419" t="s">
        <v>1049</v>
      </c>
      <c r="C15" s="420"/>
      <c r="D15" s="420"/>
      <c r="E15" s="420"/>
      <c r="F15" s="420"/>
      <c r="G15" s="251">
        <v>1957</v>
      </c>
      <c r="H15" s="167"/>
      <c r="I15" s="160"/>
      <c r="J15" s="56"/>
      <c r="K15" s="164">
        <v>1</v>
      </c>
      <c r="L15" s="43"/>
    </row>
    <row r="16" spans="1:12" s="45" customFormat="1" ht="8.5500000000000007" customHeight="1" x14ac:dyDescent="0.2">
      <c r="B16" s="421"/>
      <c r="C16" s="422"/>
      <c r="D16" s="422"/>
      <c r="E16" s="422"/>
      <c r="F16" s="422"/>
      <c r="G16" s="252"/>
      <c r="H16" s="168"/>
      <c r="I16" s="161"/>
      <c r="J16" s="57"/>
      <c r="K16" s="165"/>
      <c r="L16" s="43"/>
    </row>
    <row r="17" spans="2:12" s="45" customFormat="1" ht="8.5500000000000007" customHeight="1" x14ac:dyDescent="0.2">
      <c r="B17" s="419" t="s">
        <v>1049</v>
      </c>
      <c r="C17" s="420"/>
      <c r="D17" s="420"/>
      <c r="E17" s="420"/>
      <c r="F17" s="420"/>
      <c r="G17" s="251">
        <v>1962</v>
      </c>
      <c r="H17" s="167"/>
      <c r="I17" s="160"/>
      <c r="J17" s="56"/>
      <c r="K17" s="164">
        <v>1</v>
      </c>
      <c r="L17" s="43"/>
    </row>
    <row r="18" spans="2:12" s="45" customFormat="1" ht="8.5500000000000007" customHeight="1" x14ac:dyDescent="0.2">
      <c r="B18" s="421"/>
      <c r="C18" s="422"/>
      <c r="D18" s="422"/>
      <c r="E18" s="422"/>
      <c r="F18" s="422"/>
      <c r="G18" s="252"/>
      <c r="H18" s="168"/>
      <c r="I18" s="161"/>
      <c r="J18" s="57"/>
      <c r="K18" s="165"/>
      <c r="L18" s="43"/>
    </row>
    <row r="19" spans="2:12" s="45" customFormat="1" ht="8.5500000000000007" customHeight="1" x14ac:dyDescent="0.2">
      <c r="B19" s="419" t="s">
        <v>1053</v>
      </c>
      <c r="C19" s="420"/>
      <c r="D19" s="420"/>
      <c r="E19" s="420"/>
      <c r="F19" s="420"/>
      <c r="G19" s="251">
        <v>1979</v>
      </c>
      <c r="H19" s="167"/>
      <c r="I19" s="160"/>
      <c r="J19" s="56"/>
      <c r="K19" s="164">
        <v>1</v>
      </c>
      <c r="L19" s="43"/>
    </row>
    <row r="20" spans="2:12" s="45" customFormat="1" ht="8.5500000000000007" customHeight="1" x14ac:dyDescent="0.2">
      <c r="B20" s="421"/>
      <c r="C20" s="422"/>
      <c r="D20" s="422"/>
      <c r="E20" s="422"/>
      <c r="F20" s="422"/>
      <c r="G20" s="252"/>
      <c r="H20" s="168"/>
      <c r="I20" s="161"/>
      <c r="J20" s="57"/>
      <c r="K20" s="165"/>
      <c r="L20" s="43"/>
    </row>
    <row r="21" spans="2:12" s="45" customFormat="1" ht="8.5500000000000007" customHeight="1" x14ac:dyDescent="0.2">
      <c r="B21" s="401" t="s">
        <v>1081</v>
      </c>
      <c r="C21" s="156"/>
      <c r="D21" s="156"/>
      <c r="E21" s="156"/>
      <c r="F21" s="156"/>
      <c r="G21" s="251">
        <v>2013</v>
      </c>
      <c r="H21" s="167"/>
      <c r="I21" s="160"/>
      <c r="J21" s="56"/>
      <c r="K21" s="164">
        <v>1</v>
      </c>
      <c r="L21" s="43"/>
    </row>
    <row r="22" spans="2:12" s="45" customFormat="1" ht="8.5500000000000007" customHeight="1" x14ac:dyDescent="0.2">
      <c r="B22" s="158"/>
      <c r="C22" s="158"/>
      <c r="D22" s="158"/>
      <c r="E22" s="158"/>
      <c r="F22" s="158"/>
      <c r="G22" s="252"/>
      <c r="H22" s="168"/>
      <c r="I22" s="161"/>
      <c r="J22" s="57"/>
      <c r="K22" s="165"/>
      <c r="L22" s="43"/>
    </row>
    <row r="23" spans="2:12" s="45" customFormat="1" ht="8.5500000000000007" customHeight="1" x14ac:dyDescent="0.2">
      <c r="B23" s="401" t="s">
        <v>1751</v>
      </c>
      <c r="C23" s="156"/>
      <c r="D23" s="156"/>
      <c r="E23" s="156"/>
      <c r="F23" s="156"/>
      <c r="G23" s="251">
        <v>2020</v>
      </c>
      <c r="H23" s="167"/>
      <c r="I23" s="160"/>
      <c r="J23" s="56"/>
      <c r="K23" s="164">
        <v>3</v>
      </c>
      <c r="L23" s="43"/>
    </row>
    <row r="24" spans="2:12" s="45" customFormat="1" ht="8.5500000000000007" customHeight="1" x14ac:dyDescent="0.2">
      <c r="B24" s="158"/>
      <c r="C24" s="158"/>
      <c r="D24" s="158"/>
      <c r="E24" s="158"/>
      <c r="F24" s="158"/>
      <c r="G24" s="252"/>
      <c r="H24" s="168"/>
      <c r="I24" s="161"/>
      <c r="J24" s="57"/>
      <c r="K24" s="165"/>
      <c r="L24" s="43"/>
    </row>
    <row r="25" spans="2:12" s="45" customFormat="1" ht="8.5500000000000007" customHeight="1" x14ac:dyDescent="0.2">
      <c r="B25" s="401" t="s">
        <v>1157</v>
      </c>
      <c r="C25" s="156"/>
      <c r="D25" s="156"/>
      <c r="E25" s="156"/>
      <c r="F25" s="156"/>
      <c r="G25" s="251">
        <v>2012</v>
      </c>
      <c r="H25" s="167"/>
      <c r="I25" s="160"/>
      <c r="J25" s="56"/>
      <c r="K25" s="164">
        <v>2</v>
      </c>
      <c r="L25" s="43"/>
    </row>
    <row r="26" spans="2:12" s="45" customFormat="1" ht="8.5500000000000007" customHeight="1" x14ac:dyDescent="0.2">
      <c r="B26" s="158"/>
      <c r="C26" s="158"/>
      <c r="D26" s="158"/>
      <c r="E26" s="158"/>
      <c r="F26" s="158"/>
      <c r="G26" s="252"/>
      <c r="H26" s="168"/>
      <c r="I26" s="161"/>
      <c r="J26" s="57"/>
      <c r="K26" s="165"/>
      <c r="L26" s="43"/>
    </row>
    <row r="27" spans="2:12" s="45" customFormat="1" ht="8.5500000000000007" customHeight="1" x14ac:dyDescent="0.2">
      <c r="B27" s="401" t="s">
        <v>1123</v>
      </c>
      <c r="C27" s="156"/>
      <c r="D27" s="156"/>
      <c r="E27" s="156"/>
      <c r="F27" s="156"/>
      <c r="G27" s="251">
        <v>2015</v>
      </c>
      <c r="H27" s="167">
        <v>94</v>
      </c>
      <c r="I27" s="160"/>
      <c r="J27" s="424" t="s">
        <v>267</v>
      </c>
      <c r="K27" s="164">
        <v>1</v>
      </c>
      <c r="L27" s="43"/>
    </row>
    <row r="28" spans="2:12" s="45" customFormat="1" ht="8.5500000000000007" customHeight="1" x14ac:dyDescent="0.2">
      <c r="B28" s="158"/>
      <c r="C28" s="158"/>
      <c r="D28" s="158"/>
      <c r="E28" s="158"/>
      <c r="F28" s="158"/>
      <c r="G28" s="252"/>
      <c r="H28" s="168"/>
      <c r="I28" s="161"/>
      <c r="J28" s="407"/>
      <c r="K28" s="165"/>
      <c r="L28" s="43"/>
    </row>
    <row r="29" spans="2:12" s="45" customFormat="1" ht="8.5500000000000007" customHeight="1" x14ac:dyDescent="0.2">
      <c r="B29" s="401" t="s">
        <v>1082</v>
      </c>
      <c r="C29" s="156"/>
      <c r="D29" s="156"/>
      <c r="E29" s="156"/>
      <c r="F29" s="156"/>
      <c r="G29" s="251">
        <v>2011</v>
      </c>
      <c r="H29" s="167">
        <v>91</v>
      </c>
      <c r="I29" s="160"/>
      <c r="J29" s="424" t="s">
        <v>1025</v>
      </c>
      <c r="K29" s="164">
        <v>1</v>
      </c>
      <c r="L29" s="43"/>
    </row>
    <row r="30" spans="2:12" s="45" customFormat="1" ht="8.5500000000000007" customHeight="1" x14ac:dyDescent="0.2">
      <c r="B30" s="158"/>
      <c r="C30" s="158"/>
      <c r="D30" s="158"/>
      <c r="E30" s="158"/>
      <c r="F30" s="158"/>
      <c r="G30" s="252"/>
      <c r="H30" s="168"/>
      <c r="I30" s="161"/>
      <c r="J30" s="407"/>
      <c r="K30" s="165"/>
      <c r="L30" s="43"/>
    </row>
    <row r="31" spans="2:12" s="45" customFormat="1" ht="8.5500000000000007" customHeight="1" x14ac:dyDescent="0.2">
      <c r="B31" s="401" t="s">
        <v>1082</v>
      </c>
      <c r="C31" s="156"/>
      <c r="D31" s="156"/>
      <c r="E31" s="156"/>
      <c r="F31" s="156"/>
      <c r="G31" s="251">
        <v>2014</v>
      </c>
      <c r="H31" s="167">
        <v>91</v>
      </c>
      <c r="I31" s="160"/>
      <c r="J31" s="424" t="s">
        <v>1605</v>
      </c>
      <c r="K31" s="164">
        <v>2</v>
      </c>
      <c r="L31" s="43"/>
    </row>
    <row r="32" spans="2:12" s="45" customFormat="1" ht="8.5500000000000007" customHeight="1" x14ac:dyDescent="0.2">
      <c r="B32" s="158"/>
      <c r="C32" s="158"/>
      <c r="D32" s="158"/>
      <c r="E32" s="158"/>
      <c r="F32" s="158"/>
      <c r="G32" s="252"/>
      <c r="H32" s="168"/>
      <c r="I32" s="161"/>
      <c r="J32" s="407"/>
      <c r="K32" s="165"/>
      <c r="L32" s="43"/>
    </row>
    <row r="33" spans="2:12" s="45" customFormat="1" ht="8.5500000000000007" customHeight="1" x14ac:dyDescent="0.2">
      <c r="B33" s="401" t="s">
        <v>1451</v>
      </c>
      <c r="C33" s="156"/>
      <c r="D33" s="156"/>
      <c r="E33" s="156"/>
      <c r="F33" s="156"/>
      <c r="G33" s="251">
        <v>2017</v>
      </c>
      <c r="H33" s="167"/>
      <c r="I33" s="160"/>
      <c r="J33" s="424"/>
      <c r="K33" s="164">
        <v>3</v>
      </c>
      <c r="L33" s="43"/>
    </row>
    <row r="34" spans="2:12" s="45" customFormat="1" ht="8.5500000000000007" customHeight="1" x14ac:dyDescent="0.2">
      <c r="B34" s="158"/>
      <c r="C34" s="158"/>
      <c r="D34" s="158"/>
      <c r="E34" s="158"/>
      <c r="F34" s="158"/>
      <c r="G34" s="252"/>
      <c r="H34" s="168"/>
      <c r="I34" s="161"/>
      <c r="J34" s="407"/>
      <c r="K34" s="165"/>
      <c r="L34" s="43"/>
    </row>
    <row r="35" spans="2:12" s="45" customFormat="1" ht="8.5500000000000007" customHeight="1" x14ac:dyDescent="0.2">
      <c r="B35" s="401" t="s">
        <v>1451</v>
      </c>
      <c r="C35" s="156"/>
      <c r="D35" s="156"/>
      <c r="E35" s="156"/>
      <c r="F35" s="156"/>
      <c r="G35" s="251">
        <v>2022</v>
      </c>
      <c r="H35" s="167">
        <v>95</v>
      </c>
      <c r="I35" s="160"/>
      <c r="J35" s="424" t="s">
        <v>1782</v>
      </c>
      <c r="K35" s="164">
        <v>1</v>
      </c>
      <c r="L35" s="43"/>
    </row>
    <row r="36" spans="2:12" s="45" customFormat="1" ht="8.5500000000000007" customHeight="1" x14ac:dyDescent="0.2">
      <c r="B36" s="158"/>
      <c r="C36" s="158"/>
      <c r="D36" s="158"/>
      <c r="E36" s="158"/>
      <c r="F36" s="158"/>
      <c r="G36" s="252"/>
      <c r="H36" s="168"/>
      <c r="I36" s="161"/>
      <c r="J36" s="407"/>
      <c r="K36" s="165"/>
      <c r="L36" s="43"/>
    </row>
    <row r="37" spans="2:12" s="45" customFormat="1" ht="8.5500000000000007" customHeight="1" x14ac:dyDescent="0.2">
      <c r="B37" s="401" t="s">
        <v>1454</v>
      </c>
      <c r="C37" s="156"/>
      <c r="D37" s="156"/>
      <c r="E37" s="156"/>
      <c r="F37" s="156"/>
      <c r="G37" s="251">
        <v>2018</v>
      </c>
      <c r="H37" s="167">
        <v>90</v>
      </c>
      <c r="I37" s="160"/>
      <c r="J37" s="424" t="s">
        <v>1606</v>
      </c>
      <c r="K37" s="164">
        <v>4</v>
      </c>
      <c r="L37" s="43"/>
    </row>
    <row r="38" spans="2:12" s="45" customFormat="1" ht="8.5500000000000007" customHeight="1" x14ac:dyDescent="0.2">
      <c r="B38" s="158"/>
      <c r="C38" s="158"/>
      <c r="D38" s="158"/>
      <c r="E38" s="158"/>
      <c r="F38" s="158"/>
      <c r="G38" s="252"/>
      <c r="H38" s="168"/>
      <c r="I38" s="161"/>
      <c r="J38" s="407"/>
      <c r="K38" s="165"/>
      <c r="L38" s="43"/>
    </row>
    <row r="39" spans="2:12" s="45" customFormat="1" ht="8.5500000000000007" customHeight="1" x14ac:dyDescent="0.2">
      <c r="B39" s="401" t="s">
        <v>1750</v>
      </c>
      <c r="C39" s="156"/>
      <c r="D39" s="156"/>
      <c r="E39" s="156"/>
      <c r="F39" s="156"/>
      <c r="G39" s="251">
        <v>2021</v>
      </c>
      <c r="H39" s="167">
        <v>91</v>
      </c>
      <c r="I39" s="160"/>
      <c r="J39" s="424" t="s">
        <v>1793</v>
      </c>
      <c r="K39" s="164">
        <v>3</v>
      </c>
      <c r="L39" s="43"/>
    </row>
    <row r="40" spans="2:12" s="45" customFormat="1" ht="8.5500000000000007" customHeight="1" x14ac:dyDescent="0.2">
      <c r="B40" s="158"/>
      <c r="C40" s="158"/>
      <c r="D40" s="158"/>
      <c r="E40" s="158"/>
      <c r="F40" s="158"/>
      <c r="G40" s="252"/>
      <c r="H40" s="168"/>
      <c r="I40" s="161"/>
      <c r="J40" s="407"/>
      <c r="K40" s="165"/>
      <c r="L40" s="43"/>
    </row>
    <row r="41" spans="2:12" s="45" customFormat="1" ht="8.5500000000000007" customHeight="1" x14ac:dyDescent="0.2">
      <c r="B41" s="401" t="s">
        <v>1749</v>
      </c>
      <c r="C41" s="156"/>
      <c r="D41" s="156"/>
      <c r="E41" s="156"/>
      <c r="F41" s="156"/>
      <c r="G41" s="251">
        <v>2021</v>
      </c>
      <c r="H41" s="167">
        <v>92</v>
      </c>
      <c r="I41" s="160"/>
      <c r="J41" s="424" t="s">
        <v>1785</v>
      </c>
      <c r="K41" s="164">
        <v>1</v>
      </c>
      <c r="L41" s="43"/>
    </row>
    <row r="42" spans="2:12" s="45" customFormat="1" ht="8.5500000000000007" customHeight="1" x14ac:dyDescent="0.2">
      <c r="B42" s="158"/>
      <c r="C42" s="158"/>
      <c r="D42" s="158"/>
      <c r="E42" s="158"/>
      <c r="F42" s="158"/>
      <c r="G42" s="252"/>
      <c r="H42" s="168"/>
      <c r="I42" s="161"/>
      <c r="J42" s="407"/>
      <c r="K42" s="165"/>
      <c r="L42" s="43"/>
    </row>
    <row r="43" spans="2:12" s="45" customFormat="1" ht="8.5500000000000007" customHeight="1" x14ac:dyDescent="0.2">
      <c r="B43" s="401" t="s">
        <v>1749</v>
      </c>
      <c r="C43" s="156"/>
      <c r="D43" s="156"/>
      <c r="E43" s="156"/>
      <c r="F43" s="156"/>
      <c r="G43" s="251">
        <v>2022</v>
      </c>
      <c r="H43" s="167">
        <v>95</v>
      </c>
      <c r="I43" s="160"/>
      <c r="J43" s="424" t="s">
        <v>1794</v>
      </c>
      <c r="K43" s="164">
        <v>3</v>
      </c>
      <c r="L43" s="43"/>
    </row>
    <row r="44" spans="2:12" s="45" customFormat="1" ht="8.5500000000000007" customHeight="1" x14ac:dyDescent="0.2">
      <c r="B44" s="158"/>
      <c r="C44" s="158"/>
      <c r="D44" s="158"/>
      <c r="E44" s="158"/>
      <c r="F44" s="158"/>
      <c r="G44" s="252"/>
      <c r="H44" s="168"/>
      <c r="I44" s="161"/>
      <c r="J44" s="407"/>
      <c r="K44" s="165"/>
      <c r="L44" s="43"/>
    </row>
    <row r="45" spans="2:12" s="45" customFormat="1" ht="8.5500000000000007" customHeight="1" x14ac:dyDescent="0.2">
      <c r="B45" s="401" t="s">
        <v>1799</v>
      </c>
      <c r="C45" s="156"/>
      <c r="D45" s="156"/>
      <c r="E45" s="156"/>
      <c r="F45" s="156"/>
      <c r="G45" s="251">
        <v>2022</v>
      </c>
      <c r="H45" s="167">
        <v>95</v>
      </c>
      <c r="I45" s="160"/>
      <c r="J45" s="424" t="s">
        <v>1794</v>
      </c>
      <c r="K45" s="164">
        <v>1</v>
      </c>
      <c r="L45" s="43"/>
    </row>
    <row r="46" spans="2:12" s="45" customFormat="1" ht="8.5500000000000007" customHeight="1" x14ac:dyDescent="0.2">
      <c r="B46" s="158"/>
      <c r="C46" s="158"/>
      <c r="D46" s="158"/>
      <c r="E46" s="158"/>
      <c r="F46" s="158"/>
      <c r="G46" s="252"/>
      <c r="H46" s="168"/>
      <c r="I46" s="161"/>
      <c r="J46" s="407"/>
      <c r="K46" s="165"/>
      <c r="L46" s="43"/>
    </row>
    <row r="47" spans="2:12" s="45" customFormat="1" ht="8.5500000000000007" customHeight="1" x14ac:dyDescent="0.2">
      <c r="B47" s="401" t="s">
        <v>1749</v>
      </c>
      <c r="C47" s="156"/>
      <c r="D47" s="156"/>
      <c r="E47" s="156"/>
      <c r="F47" s="156"/>
      <c r="G47" s="251">
        <v>2023</v>
      </c>
      <c r="H47" s="167"/>
      <c r="I47" s="160"/>
      <c r="J47" s="424"/>
      <c r="K47" s="164">
        <v>5</v>
      </c>
      <c r="L47" s="43"/>
    </row>
    <row r="48" spans="2:12" s="45" customFormat="1" ht="8.5500000000000007" customHeight="1" x14ac:dyDescent="0.2">
      <c r="B48" s="158"/>
      <c r="C48" s="158"/>
      <c r="D48" s="158"/>
      <c r="E48" s="158"/>
      <c r="F48" s="158"/>
      <c r="G48" s="252"/>
      <c r="H48" s="168"/>
      <c r="I48" s="161"/>
      <c r="J48" s="407"/>
      <c r="K48" s="165"/>
      <c r="L48" s="43"/>
    </row>
    <row r="49" spans="2:12" s="45" customFormat="1" ht="8.5500000000000007" customHeight="1" x14ac:dyDescent="0.2">
      <c r="B49" s="401" t="s">
        <v>1815</v>
      </c>
      <c r="C49" s="156"/>
      <c r="D49" s="156"/>
      <c r="E49" s="156"/>
      <c r="F49" s="156"/>
      <c r="G49" s="251">
        <v>2022</v>
      </c>
      <c r="H49" s="167">
        <v>94</v>
      </c>
      <c r="I49" s="160"/>
      <c r="J49" s="424" t="s">
        <v>1794</v>
      </c>
      <c r="K49" s="164">
        <v>1</v>
      </c>
      <c r="L49" s="43"/>
    </row>
    <row r="50" spans="2:12" s="45" customFormat="1" ht="8.5500000000000007" customHeight="1" x14ac:dyDescent="0.2">
      <c r="B50" s="158"/>
      <c r="C50" s="158"/>
      <c r="D50" s="158"/>
      <c r="E50" s="158"/>
      <c r="F50" s="158"/>
      <c r="G50" s="252"/>
      <c r="H50" s="168"/>
      <c r="I50" s="161"/>
      <c r="J50" s="407"/>
      <c r="K50" s="165"/>
      <c r="L50" s="43"/>
    </row>
    <row r="51" spans="2:12" s="45" customFormat="1" ht="8.5500000000000007" customHeight="1" x14ac:dyDescent="0.2">
      <c r="B51" s="401" t="s">
        <v>1993</v>
      </c>
      <c r="C51" s="156"/>
      <c r="D51" s="156"/>
      <c r="E51" s="156"/>
      <c r="F51" s="156"/>
      <c r="G51" s="251">
        <v>2023</v>
      </c>
      <c r="H51" s="167"/>
      <c r="I51" s="160"/>
      <c r="J51" s="424"/>
      <c r="K51" s="164">
        <v>5</v>
      </c>
      <c r="L51" s="43"/>
    </row>
    <row r="52" spans="2:12" s="45" customFormat="1" ht="8.5500000000000007" customHeight="1" x14ac:dyDescent="0.2">
      <c r="B52" s="158"/>
      <c r="C52" s="158"/>
      <c r="D52" s="158"/>
      <c r="E52" s="158"/>
      <c r="F52" s="158"/>
      <c r="G52" s="252"/>
      <c r="H52" s="168"/>
      <c r="I52" s="161"/>
      <c r="J52" s="407"/>
      <c r="K52" s="165"/>
      <c r="L52" s="43"/>
    </row>
    <row r="53" spans="2:12" s="45" customFormat="1" ht="8.5500000000000007" customHeight="1" x14ac:dyDescent="0.2">
      <c r="B53" s="401" t="s">
        <v>1748</v>
      </c>
      <c r="C53" s="156"/>
      <c r="D53" s="156"/>
      <c r="E53" s="156"/>
      <c r="F53" s="156"/>
      <c r="G53" s="251">
        <v>2021</v>
      </c>
      <c r="H53" s="167">
        <v>92</v>
      </c>
      <c r="I53" s="160"/>
      <c r="J53" s="424" t="s">
        <v>1787</v>
      </c>
      <c r="K53" s="164">
        <v>1</v>
      </c>
      <c r="L53" s="43"/>
    </row>
    <row r="54" spans="2:12" s="45" customFormat="1" ht="8.5500000000000007" customHeight="1" x14ac:dyDescent="0.2">
      <c r="B54" s="158"/>
      <c r="C54" s="158"/>
      <c r="D54" s="158"/>
      <c r="E54" s="158"/>
      <c r="F54" s="158"/>
      <c r="G54" s="252"/>
      <c r="H54" s="168"/>
      <c r="I54" s="161"/>
      <c r="J54" s="407"/>
      <c r="K54" s="165"/>
      <c r="L54" s="43"/>
    </row>
    <row r="55" spans="2:12" s="45" customFormat="1" ht="8.5500000000000007" customHeight="1" x14ac:dyDescent="0.2">
      <c r="B55" s="401" t="s">
        <v>1748</v>
      </c>
      <c r="C55" s="156"/>
      <c r="D55" s="156"/>
      <c r="E55" s="156"/>
      <c r="F55" s="156"/>
      <c r="G55" s="251">
        <v>2022</v>
      </c>
      <c r="H55" s="167">
        <v>94</v>
      </c>
      <c r="I55" s="160"/>
      <c r="J55" s="424" t="s">
        <v>1792</v>
      </c>
      <c r="K55" s="164">
        <v>1</v>
      </c>
      <c r="L55" s="43"/>
    </row>
    <row r="56" spans="2:12" s="45" customFormat="1" ht="8.5500000000000007" customHeight="1" x14ac:dyDescent="0.2">
      <c r="B56" s="158"/>
      <c r="C56" s="158"/>
      <c r="D56" s="158"/>
      <c r="E56" s="158"/>
      <c r="F56" s="158"/>
      <c r="G56" s="252"/>
      <c r="H56" s="168"/>
      <c r="I56" s="161"/>
      <c r="J56" s="407"/>
      <c r="K56" s="165"/>
      <c r="L56" s="43"/>
    </row>
    <row r="57" spans="2:12" s="45" customFormat="1" ht="8.5500000000000007" customHeight="1" x14ac:dyDescent="0.2">
      <c r="B57" s="401" t="s">
        <v>1800</v>
      </c>
      <c r="C57" s="156"/>
      <c r="D57" s="156"/>
      <c r="E57" s="156"/>
      <c r="F57" s="156"/>
      <c r="G57" s="251">
        <v>2022</v>
      </c>
      <c r="H57" s="167">
        <v>94</v>
      </c>
      <c r="I57" s="160"/>
      <c r="J57" s="424" t="s">
        <v>1792</v>
      </c>
      <c r="K57" s="164">
        <v>1</v>
      </c>
      <c r="L57" s="43"/>
    </row>
    <row r="58" spans="2:12" s="45" customFormat="1" ht="8.5500000000000007" customHeight="1" x14ac:dyDescent="0.2">
      <c r="B58" s="158"/>
      <c r="C58" s="158"/>
      <c r="D58" s="158"/>
      <c r="E58" s="158"/>
      <c r="F58" s="158"/>
      <c r="G58" s="252"/>
      <c r="H58" s="168"/>
      <c r="I58" s="161"/>
      <c r="J58" s="407"/>
      <c r="K58" s="165"/>
      <c r="L58" s="43"/>
    </row>
    <row r="59" spans="2:12" s="45" customFormat="1" ht="8.5500000000000007" customHeight="1" x14ac:dyDescent="0.2">
      <c r="B59" s="401" t="s">
        <v>1748</v>
      </c>
      <c r="C59" s="156"/>
      <c r="D59" s="156"/>
      <c r="E59" s="156"/>
      <c r="F59" s="156"/>
      <c r="G59" s="251">
        <v>2023</v>
      </c>
      <c r="H59" s="167"/>
      <c r="I59" s="160"/>
      <c r="J59" s="424"/>
      <c r="K59" s="164">
        <v>5</v>
      </c>
      <c r="L59" s="43"/>
    </row>
    <row r="60" spans="2:12" s="45" customFormat="1" ht="8.5500000000000007" customHeight="1" x14ac:dyDescent="0.2">
      <c r="B60" s="158"/>
      <c r="C60" s="158"/>
      <c r="D60" s="158"/>
      <c r="E60" s="158"/>
      <c r="F60" s="158"/>
      <c r="G60" s="252"/>
      <c r="H60" s="168"/>
      <c r="I60" s="161"/>
      <c r="J60" s="407"/>
      <c r="K60" s="165"/>
      <c r="L60" s="43"/>
    </row>
    <row r="61" spans="2:12" s="45" customFormat="1" ht="8.5500000000000007" customHeight="1" x14ac:dyDescent="0.2">
      <c r="B61" s="401" t="s">
        <v>1795</v>
      </c>
      <c r="C61" s="156"/>
      <c r="D61" s="156"/>
      <c r="E61" s="156"/>
      <c r="F61" s="156"/>
      <c r="G61" s="251">
        <v>2022</v>
      </c>
      <c r="H61" s="167"/>
      <c r="I61" s="160"/>
      <c r="J61" s="424"/>
      <c r="K61" s="164">
        <v>3</v>
      </c>
      <c r="L61" s="43"/>
    </row>
    <row r="62" spans="2:12" s="45" customFormat="1" ht="8.5500000000000007" customHeight="1" x14ac:dyDescent="0.2">
      <c r="B62" s="158"/>
      <c r="C62" s="158"/>
      <c r="D62" s="158"/>
      <c r="E62" s="158"/>
      <c r="F62" s="158"/>
      <c r="G62" s="252"/>
      <c r="H62" s="168"/>
      <c r="I62" s="161"/>
      <c r="J62" s="407"/>
      <c r="K62" s="165"/>
      <c r="L62" s="43"/>
    </row>
    <row r="63" spans="2:12" s="45" customFormat="1" ht="8.5500000000000007" customHeight="1" x14ac:dyDescent="0.2">
      <c r="B63" s="401" t="s">
        <v>1997</v>
      </c>
      <c r="C63" s="156"/>
      <c r="D63" s="156"/>
      <c r="E63" s="156"/>
      <c r="F63" s="156"/>
      <c r="G63" s="251">
        <v>2023</v>
      </c>
      <c r="H63" s="167"/>
      <c r="I63" s="160"/>
      <c r="J63" s="424"/>
      <c r="K63" s="164">
        <v>15</v>
      </c>
      <c r="L63" s="43"/>
    </row>
    <row r="64" spans="2:12" s="45" customFormat="1" ht="8.5500000000000007" customHeight="1" x14ac:dyDescent="0.2">
      <c r="B64" s="158"/>
      <c r="C64" s="158"/>
      <c r="D64" s="158"/>
      <c r="E64" s="158"/>
      <c r="F64" s="158"/>
      <c r="G64" s="252"/>
      <c r="H64" s="168"/>
      <c r="I64" s="161"/>
      <c r="J64" s="407"/>
      <c r="K64" s="165"/>
      <c r="L64" s="43"/>
    </row>
    <row r="65" spans="1:13" s="45" customFormat="1" ht="8.5500000000000007" customHeight="1" x14ac:dyDescent="0.2">
      <c r="B65" s="401" t="s">
        <v>1994</v>
      </c>
      <c r="C65" s="156"/>
      <c r="D65" s="156"/>
      <c r="E65" s="156"/>
      <c r="F65" s="156"/>
      <c r="G65" s="251">
        <v>2023</v>
      </c>
      <c r="H65" s="167"/>
      <c r="I65" s="160"/>
      <c r="J65" s="424"/>
      <c r="K65" s="164">
        <v>1</v>
      </c>
      <c r="L65" s="43"/>
    </row>
    <row r="66" spans="1:13" s="45" customFormat="1" ht="8.5500000000000007" customHeight="1" x14ac:dyDescent="0.2">
      <c r="B66" s="158"/>
      <c r="C66" s="158"/>
      <c r="D66" s="158"/>
      <c r="E66" s="158"/>
      <c r="F66" s="158"/>
      <c r="G66" s="252"/>
      <c r="H66" s="168"/>
      <c r="I66" s="161"/>
      <c r="J66" s="407"/>
      <c r="K66" s="165"/>
      <c r="L66" s="43"/>
    </row>
    <row r="67" spans="1:13" s="45" customFormat="1" ht="8.5500000000000007" customHeight="1" x14ac:dyDescent="0.2">
      <c r="A67" s="43"/>
      <c r="B67" s="408" t="s">
        <v>1480</v>
      </c>
      <c r="C67" s="408"/>
      <c r="D67" s="408"/>
      <c r="E67" s="408"/>
      <c r="F67" s="408"/>
      <c r="G67" s="47"/>
      <c r="H67" s="47"/>
      <c r="I67" s="48"/>
      <c r="J67" s="424"/>
      <c r="K67" s="164"/>
      <c r="L67" s="91"/>
      <c r="M67" s="92"/>
    </row>
    <row r="68" spans="1:13" s="45" customFormat="1" ht="8.5500000000000007" customHeight="1" x14ac:dyDescent="0.2">
      <c r="A68" s="43"/>
      <c r="B68" s="340"/>
      <c r="C68" s="340"/>
      <c r="D68" s="340"/>
      <c r="E68" s="340"/>
      <c r="F68" s="340"/>
      <c r="G68" s="54"/>
      <c r="H68" s="54"/>
      <c r="I68" s="49"/>
      <c r="J68" s="407"/>
      <c r="K68" s="165"/>
      <c r="L68" s="91"/>
      <c r="M68" s="92"/>
    </row>
    <row r="69" spans="1:13" s="45" customFormat="1" ht="8.5500000000000007" customHeight="1" x14ac:dyDescent="0.2">
      <c r="B69" s="401" t="s">
        <v>1807</v>
      </c>
      <c r="C69" s="156"/>
      <c r="D69" s="156"/>
      <c r="E69" s="156"/>
      <c r="F69" s="156"/>
      <c r="G69" s="251">
        <v>2021</v>
      </c>
      <c r="H69" s="167">
        <v>92</v>
      </c>
      <c r="I69" s="160"/>
      <c r="J69" s="424" t="s">
        <v>1794</v>
      </c>
      <c r="K69" s="164">
        <v>3</v>
      </c>
      <c r="L69" s="43"/>
    </row>
    <row r="70" spans="1:13" s="45" customFormat="1" ht="8.5500000000000007" customHeight="1" x14ac:dyDescent="0.2">
      <c r="B70" s="158"/>
      <c r="C70" s="158"/>
      <c r="D70" s="158"/>
      <c r="E70" s="158"/>
      <c r="F70" s="158"/>
      <c r="G70" s="252"/>
      <c r="H70" s="168"/>
      <c r="I70" s="161"/>
      <c r="J70" s="407"/>
      <c r="K70" s="165"/>
      <c r="L70" s="43"/>
    </row>
    <row r="71" spans="1:13" s="45" customFormat="1" ht="8.5500000000000007" customHeight="1" x14ac:dyDescent="0.2">
      <c r="B71" s="401" t="s">
        <v>1329</v>
      </c>
      <c r="C71" s="156"/>
      <c r="D71" s="156"/>
      <c r="E71" s="156"/>
      <c r="F71" s="156"/>
      <c r="G71" s="251">
        <v>2013</v>
      </c>
      <c r="H71" s="167"/>
      <c r="I71" s="160"/>
      <c r="J71" s="424"/>
      <c r="K71" s="164">
        <v>1</v>
      </c>
      <c r="L71" s="43"/>
    </row>
    <row r="72" spans="1:13" s="45" customFormat="1" ht="8.5500000000000007" customHeight="1" x14ac:dyDescent="0.2">
      <c r="B72" s="158"/>
      <c r="C72" s="158"/>
      <c r="D72" s="158"/>
      <c r="E72" s="158"/>
      <c r="F72" s="158"/>
      <c r="G72" s="252"/>
      <c r="H72" s="168"/>
      <c r="I72" s="161"/>
      <c r="J72" s="407"/>
      <c r="K72" s="165"/>
      <c r="L72" s="43"/>
    </row>
    <row r="73" spans="1:13" s="45" customFormat="1" ht="8.5500000000000007" customHeight="1" x14ac:dyDescent="0.2">
      <c r="B73" s="401" t="s">
        <v>1339</v>
      </c>
      <c r="C73" s="156"/>
      <c r="D73" s="156"/>
      <c r="E73" s="156"/>
      <c r="F73" s="156"/>
      <c r="G73" s="251">
        <v>2018</v>
      </c>
      <c r="H73" s="167"/>
      <c r="I73" s="160"/>
      <c r="J73" s="424"/>
      <c r="K73" s="164">
        <v>3</v>
      </c>
      <c r="L73" s="43"/>
    </row>
    <row r="74" spans="1:13" s="45" customFormat="1" ht="8.5500000000000007" customHeight="1" x14ac:dyDescent="0.2">
      <c r="B74" s="158"/>
      <c r="C74" s="158"/>
      <c r="D74" s="158"/>
      <c r="E74" s="158"/>
      <c r="F74" s="158"/>
      <c r="G74" s="252"/>
      <c r="H74" s="168"/>
      <c r="I74" s="161"/>
      <c r="J74" s="407"/>
      <c r="K74" s="165"/>
      <c r="L74" s="43"/>
    </row>
    <row r="75" spans="1:13" s="45" customFormat="1" ht="8.5500000000000007" customHeight="1" x14ac:dyDescent="0.2">
      <c r="B75" s="401" t="s">
        <v>1333</v>
      </c>
      <c r="C75" s="156"/>
      <c r="D75" s="156"/>
      <c r="E75" s="156"/>
      <c r="F75" s="156"/>
      <c r="G75" s="251">
        <v>2019</v>
      </c>
      <c r="H75" s="167">
        <v>90</v>
      </c>
      <c r="I75" s="160"/>
      <c r="J75" s="424" t="s">
        <v>1560</v>
      </c>
      <c r="K75" s="164">
        <v>2</v>
      </c>
      <c r="L75" s="43"/>
    </row>
    <row r="76" spans="1:13" s="45" customFormat="1" ht="8.5500000000000007" customHeight="1" x14ac:dyDescent="0.2">
      <c r="B76" s="158"/>
      <c r="C76" s="158"/>
      <c r="D76" s="158"/>
      <c r="E76" s="158"/>
      <c r="F76" s="158"/>
      <c r="G76" s="252"/>
      <c r="H76" s="168"/>
      <c r="I76" s="161"/>
      <c r="J76" s="407"/>
      <c r="K76" s="165"/>
      <c r="L76" s="43"/>
    </row>
    <row r="77" spans="1:13" s="45" customFormat="1" ht="8.5500000000000007" customHeight="1" x14ac:dyDescent="0.2">
      <c r="B77" s="401" t="s">
        <v>1332</v>
      </c>
      <c r="C77" s="156"/>
      <c r="D77" s="156"/>
      <c r="E77" s="156"/>
      <c r="F77" s="156"/>
      <c r="G77" s="251">
        <v>2019</v>
      </c>
      <c r="H77" s="167">
        <v>95</v>
      </c>
      <c r="I77" s="160"/>
      <c r="J77" s="424" t="s">
        <v>1607</v>
      </c>
      <c r="K77" s="164">
        <v>3</v>
      </c>
      <c r="L77" s="43"/>
    </row>
    <row r="78" spans="1:13" s="45" customFormat="1" ht="8.5500000000000007" customHeight="1" x14ac:dyDescent="0.2">
      <c r="B78" s="158"/>
      <c r="C78" s="158"/>
      <c r="D78" s="158"/>
      <c r="E78" s="158"/>
      <c r="F78" s="158"/>
      <c r="G78" s="252"/>
      <c r="H78" s="168"/>
      <c r="I78" s="161"/>
      <c r="J78" s="407"/>
      <c r="K78" s="165"/>
      <c r="L78" s="43"/>
    </row>
    <row r="79" spans="1:13" s="45" customFormat="1" ht="8.5500000000000007" customHeight="1" x14ac:dyDescent="0.2">
      <c r="B79" s="401" t="s">
        <v>1332</v>
      </c>
      <c r="C79" s="156"/>
      <c r="D79" s="156"/>
      <c r="E79" s="156"/>
      <c r="F79" s="156"/>
      <c r="G79" s="251">
        <v>2022</v>
      </c>
      <c r="H79" s="167">
        <v>94</v>
      </c>
      <c r="I79" s="160"/>
      <c r="J79" s="424" t="s">
        <v>1879</v>
      </c>
      <c r="K79" s="164">
        <v>2</v>
      </c>
      <c r="L79" s="43"/>
    </row>
    <row r="80" spans="1:13" s="45" customFormat="1" ht="8.5500000000000007" customHeight="1" x14ac:dyDescent="0.2">
      <c r="B80" s="158"/>
      <c r="C80" s="158"/>
      <c r="D80" s="158"/>
      <c r="E80" s="158"/>
      <c r="F80" s="158"/>
      <c r="G80" s="252"/>
      <c r="H80" s="168"/>
      <c r="I80" s="161"/>
      <c r="J80" s="407"/>
      <c r="K80" s="165"/>
      <c r="L80" s="43"/>
    </row>
    <row r="81" spans="2:12" s="45" customFormat="1" ht="8.5500000000000007" customHeight="1" x14ac:dyDescent="0.2">
      <c r="B81" s="401" t="s">
        <v>1338</v>
      </c>
      <c r="C81" s="156"/>
      <c r="D81" s="156"/>
      <c r="E81" s="156"/>
      <c r="F81" s="156"/>
      <c r="G81" s="251">
        <v>2019</v>
      </c>
      <c r="H81" s="167">
        <v>89</v>
      </c>
      <c r="I81" s="160"/>
      <c r="J81" s="424" t="s">
        <v>1608</v>
      </c>
      <c r="K81" s="164">
        <v>3</v>
      </c>
      <c r="L81" s="43"/>
    </row>
    <row r="82" spans="2:12" s="45" customFormat="1" ht="8.5500000000000007" customHeight="1" x14ac:dyDescent="0.2">
      <c r="B82" s="158"/>
      <c r="C82" s="158"/>
      <c r="D82" s="158"/>
      <c r="E82" s="158"/>
      <c r="F82" s="158"/>
      <c r="G82" s="252"/>
      <c r="H82" s="168"/>
      <c r="I82" s="161"/>
      <c r="J82" s="407"/>
      <c r="K82" s="165"/>
      <c r="L82" s="43"/>
    </row>
    <row r="83" spans="2:12" s="45" customFormat="1" ht="8.5500000000000007" customHeight="1" x14ac:dyDescent="0.2">
      <c r="B83" s="401" t="s">
        <v>1883</v>
      </c>
      <c r="C83" s="156"/>
      <c r="D83" s="156"/>
      <c r="E83" s="156"/>
      <c r="F83" s="156"/>
      <c r="G83" s="251">
        <v>2023</v>
      </c>
      <c r="H83" s="167">
        <v>95</v>
      </c>
      <c r="I83" s="160"/>
      <c r="J83" s="424" t="s">
        <v>1873</v>
      </c>
      <c r="K83" s="164">
        <v>4</v>
      </c>
      <c r="L83" s="43"/>
    </row>
    <row r="84" spans="2:12" s="45" customFormat="1" ht="8.5500000000000007" customHeight="1" x14ac:dyDescent="0.2">
      <c r="B84" s="158"/>
      <c r="C84" s="158"/>
      <c r="D84" s="158"/>
      <c r="E84" s="158"/>
      <c r="F84" s="158"/>
      <c r="G84" s="252"/>
      <c r="H84" s="168"/>
      <c r="I84" s="161"/>
      <c r="J84" s="407"/>
      <c r="K84" s="165"/>
      <c r="L84" s="43"/>
    </row>
    <row r="85" spans="2:12" s="45" customFormat="1" ht="8.5500000000000007" customHeight="1" x14ac:dyDescent="0.2">
      <c r="B85" s="401" t="s">
        <v>1335</v>
      </c>
      <c r="C85" s="156"/>
      <c r="D85" s="156"/>
      <c r="E85" s="156"/>
      <c r="F85" s="156"/>
      <c r="G85" s="251">
        <v>2014</v>
      </c>
      <c r="H85" s="167" t="s">
        <v>688</v>
      </c>
      <c r="I85" s="160"/>
      <c r="J85" s="424" t="s">
        <v>263</v>
      </c>
      <c r="K85" s="164">
        <v>3</v>
      </c>
      <c r="L85" s="43"/>
    </row>
    <row r="86" spans="2:12" s="45" customFormat="1" ht="8.5500000000000007" customHeight="1" x14ac:dyDescent="0.2">
      <c r="B86" s="158"/>
      <c r="C86" s="158"/>
      <c r="D86" s="158"/>
      <c r="E86" s="158"/>
      <c r="F86" s="158"/>
      <c r="G86" s="252"/>
      <c r="H86" s="168"/>
      <c r="I86" s="161"/>
      <c r="J86" s="407"/>
      <c r="K86" s="165"/>
      <c r="L86" s="43"/>
    </row>
    <row r="87" spans="2:12" s="45" customFormat="1" ht="8.5500000000000007" customHeight="1" x14ac:dyDescent="0.2">
      <c r="B87" s="401" t="s">
        <v>1419</v>
      </c>
      <c r="C87" s="156"/>
      <c r="D87" s="156"/>
      <c r="E87" s="156"/>
      <c r="F87" s="156"/>
      <c r="G87" s="251">
        <v>2018</v>
      </c>
      <c r="H87" s="167">
        <v>90</v>
      </c>
      <c r="I87" s="160"/>
      <c r="J87" s="424" t="s">
        <v>1591</v>
      </c>
      <c r="K87" s="164">
        <v>1</v>
      </c>
      <c r="L87" s="43"/>
    </row>
    <row r="88" spans="2:12" s="45" customFormat="1" ht="8.5500000000000007" customHeight="1" x14ac:dyDescent="0.2">
      <c r="B88" s="158"/>
      <c r="C88" s="158"/>
      <c r="D88" s="158"/>
      <c r="E88" s="158"/>
      <c r="F88" s="158"/>
      <c r="G88" s="252"/>
      <c r="H88" s="168"/>
      <c r="I88" s="161"/>
      <c r="J88" s="407"/>
      <c r="K88" s="165"/>
      <c r="L88" s="43"/>
    </row>
    <row r="89" spans="2:12" s="45" customFormat="1" ht="8.5500000000000007" customHeight="1" x14ac:dyDescent="0.2">
      <c r="B89" s="401" t="s">
        <v>1715</v>
      </c>
      <c r="C89" s="156"/>
      <c r="D89" s="156"/>
      <c r="E89" s="156"/>
      <c r="F89" s="156"/>
      <c r="G89" s="251">
        <v>2018</v>
      </c>
      <c r="H89" s="167"/>
      <c r="I89" s="160"/>
      <c r="J89" s="424"/>
      <c r="K89" s="164">
        <v>2</v>
      </c>
      <c r="L89" s="43"/>
    </row>
    <row r="90" spans="2:12" s="45" customFormat="1" ht="8.5500000000000007" customHeight="1" x14ac:dyDescent="0.2">
      <c r="B90" s="158"/>
      <c r="C90" s="158"/>
      <c r="D90" s="158"/>
      <c r="E90" s="158"/>
      <c r="F90" s="158"/>
      <c r="G90" s="252"/>
      <c r="H90" s="168"/>
      <c r="I90" s="161"/>
      <c r="J90" s="407"/>
      <c r="K90" s="165"/>
      <c r="L90" s="43"/>
    </row>
    <row r="91" spans="2:12" s="45" customFormat="1" ht="8.5500000000000007" customHeight="1" x14ac:dyDescent="0.2">
      <c r="B91" s="401" t="s">
        <v>1714</v>
      </c>
      <c r="C91" s="156"/>
      <c r="D91" s="156"/>
      <c r="E91" s="156"/>
      <c r="F91" s="156"/>
      <c r="G91" s="251">
        <v>2020</v>
      </c>
      <c r="H91" s="167">
        <v>92</v>
      </c>
      <c r="I91" s="160"/>
      <c r="J91" s="424" t="s">
        <v>1609</v>
      </c>
      <c r="K91" s="164">
        <v>1</v>
      </c>
      <c r="L91" s="43"/>
    </row>
    <row r="92" spans="2:12" s="45" customFormat="1" ht="8.5500000000000007" customHeight="1" x14ac:dyDescent="0.2">
      <c r="B92" s="158"/>
      <c r="C92" s="158"/>
      <c r="D92" s="158"/>
      <c r="E92" s="158"/>
      <c r="F92" s="158"/>
      <c r="G92" s="252"/>
      <c r="H92" s="168"/>
      <c r="I92" s="161"/>
      <c r="J92" s="407"/>
      <c r="K92" s="165"/>
      <c r="L92" s="43"/>
    </row>
    <row r="93" spans="2:12" s="45" customFormat="1" ht="8.5500000000000007" customHeight="1" x14ac:dyDescent="0.2">
      <c r="B93" s="401" t="s">
        <v>1418</v>
      </c>
      <c r="C93" s="156"/>
      <c r="D93" s="156"/>
      <c r="E93" s="156"/>
      <c r="F93" s="156"/>
      <c r="G93" s="251">
        <v>2020</v>
      </c>
      <c r="H93" s="167"/>
      <c r="I93" s="160"/>
      <c r="J93" s="424"/>
      <c r="K93" s="164">
        <v>1</v>
      </c>
      <c r="L93" s="43"/>
    </row>
    <row r="94" spans="2:12" s="45" customFormat="1" ht="8.5500000000000007" customHeight="1" x14ac:dyDescent="0.2">
      <c r="B94" s="158"/>
      <c r="C94" s="158"/>
      <c r="D94" s="158"/>
      <c r="E94" s="158"/>
      <c r="F94" s="158"/>
      <c r="G94" s="252"/>
      <c r="H94" s="168"/>
      <c r="I94" s="161"/>
      <c r="J94" s="407"/>
      <c r="K94" s="165"/>
      <c r="L94" s="43"/>
    </row>
    <row r="95" spans="2:12" s="45" customFormat="1" ht="8.5500000000000007" customHeight="1" x14ac:dyDescent="0.2">
      <c r="B95" s="401" t="s">
        <v>1713</v>
      </c>
      <c r="C95" s="156"/>
      <c r="D95" s="156"/>
      <c r="E95" s="156"/>
      <c r="F95" s="156"/>
      <c r="G95" s="251">
        <v>2021</v>
      </c>
      <c r="H95" s="167"/>
      <c r="I95" s="160"/>
      <c r="J95" s="424"/>
      <c r="K95" s="164">
        <v>3</v>
      </c>
      <c r="L95" s="43"/>
    </row>
    <row r="96" spans="2:12" s="45" customFormat="1" ht="8.5500000000000007" customHeight="1" x14ac:dyDescent="0.2">
      <c r="B96" s="158"/>
      <c r="C96" s="158"/>
      <c r="D96" s="158"/>
      <c r="E96" s="158"/>
      <c r="F96" s="158"/>
      <c r="G96" s="252"/>
      <c r="H96" s="168"/>
      <c r="I96" s="161"/>
      <c r="J96" s="407"/>
      <c r="K96" s="165"/>
      <c r="L96" s="43"/>
    </row>
    <row r="97" spans="1:13" s="45" customFormat="1" ht="8.5500000000000007" customHeight="1" x14ac:dyDescent="0.2">
      <c r="B97" s="401" t="s">
        <v>1336</v>
      </c>
      <c r="C97" s="156"/>
      <c r="D97" s="156"/>
      <c r="E97" s="156"/>
      <c r="F97" s="156"/>
      <c r="G97" s="251">
        <v>2018</v>
      </c>
      <c r="H97" s="167"/>
      <c r="I97" s="160"/>
      <c r="J97" s="424"/>
      <c r="K97" s="164">
        <v>3</v>
      </c>
      <c r="L97" s="43"/>
    </row>
    <row r="98" spans="1:13" s="45" customFormat="1" ht="8.5500000000000007" customHeight="1" x14ac:dyDescent="0.2">
      <c r="B98" s="158"/>
      <c r="C98" s="158"/>
      <c r="D98" s="158"/>
      <c r="E98" s="158"/>
      <c r="F98" s="158"/>
      <c r="G98" s="252"/>
      <c r="H98" s="168"/>
      <c r="I98" s="161"/>
      <c r="J98" s="407"/>
      <c r="K98" s="165"/>
      <c r="L98" s="43"/>
    </row>
    <row r="99" spans="1:13" s="45" customFormat="1" ht="8.5500000000000007" customHeight="1" x14ac:dyDescent="0.2">
      <c r="B99" s="401" t="s">
        <v>1331</v>
      </c>
      <c r="C99" s="156"/>
      <c r="D99" s="156"/>
      <c r="E99" s="156"/>
      <c r="F99" s="156"/>
      <c r="G99" s="251">
        <v>2018</v>
      </c>
      <c r="H99" s="167"/>
      <c r="I99" s="160"/>
      <c r="J99" s="424"/>
      <c r="K99" s="164">
        <v>3</v>
      </c>
      <c r="L99" s="43"/>
    </row>
    <row r="100" spans="1:13" s="45" customFormat="1" ht="8.5500000000000007" customHeight="1" x14ac:dyDescent="0.2">
      <c r="B100" s="158"/>
      <c r="C100" s="158"/>
      <c r="D100" s="158"/>
      <c r="E100" s="158"/>
      <c r="F100" s="158"/>
      <c r="G100" s="252"/>
      <c r="H100" s="168"/>
      <c r="I100" s="161"/>
      <c r="J100" s="407"/>
      <c r="K100" s="165"/>
      <c r="L100" s="43"/>
    </row>
    <row r="101" spans="1:13" s="45" customFormat="1" ht="8.5500000000000007" customHeight="1" x14ac:dyDescent="0.2">
      <c r="B101" s="401" t="s">
        <v>1337</v>
      </c>
      <c r="C101" s="156"/>
      <c r="D101" s="156"/>
      <c r="E101" s="156"/>
      <c r="F101" s="156"/>
      <c r="G101" s="251">
        <v>2018</v>
      </c>
      <c r="H101" s="167"/>
      <c r="I101" s="160"/>
      <c r="J101" s="424"/>
      <c r="K101" s="164">
        <v>3</v>
      </c>
      <c r="L101" s="43"/>
    </row>
    <row r="102" spans="1:13" s="45" customFormat="1" ht="8.5500000000000007" customHeight="1" x14ac:dyDescent="0.2">
      <c r="B102" s="158"/>
      <c r="C102" s="158"/>
      <c r="D102" s="158"/>
      <c r="E102" s="158"/>
      <c r="F102" s="158"/>
      <c r="G102" s="252"/>
      <c r="H102" s="168"/>
      <c r="I102" s="161"/>
      <c r="J102" s="407"/>
      <c r="K102" s="165"/>
      <c r="L102" s="43"/>
    </row>
    <row r="103" spans="1:13" s="45" customFormat="1" ht="8.5500000000000007" customHeight="1" x14ac:dyDescent="0.2">
      <c r="B103" s="457" t="s">
        <v>1330</v>
      </c>
      <c r="C103" s="172"/>
      <c r="D103" s="172"/>
      <c r="E103" s="172"/>
      <c r="F103" s="172"/>
      <c r="G103" s="341">
        <v>2018</v>
      </c>
      <c r="H103" s="197">
        <v>89</v>
      </c>
      <c r="I103" s="203"/>
      <c r="J103" s="424" t="s">
        <v>1610</v>
      </c>
      <c r="K103" s="228">
        <v>1</v>
      </c>
      <c r="L103" s="43"/>
    </row>
    <row r="104" spans="1:13" s="45" customFormat="1" ht="8.5500000000000007" customHeight="1" x14ac:dyDescent="0.2">
      <c r="B104" s="174"/>
      <c r="C104" s="174"/>
      <c r="D104" s="174"/>
      <c r="E104" s="174"/>
      <c r="F104" s="174"/>
      <c r="G104" s="342"/>
      <c r="H104" s="198"/>
      <c r="I104" s="204"/>
      <c r="J104" s="407"/>
      <c r="K104" s="229"/>
      <c r="L104" s="43"/>
    </row>
    <row r="105" spans="1:13" s="45" customFormat="1" ht="8.5500000000000007" customHeight="1" x14ac:dyDescent="0.2">
      <c r="B105" s="457" t="s">
        <v>1330</v>
      </c>
      <c r="C105" s="172"/>
      <c r="D105" s="172"/>
      <c r="E105" s="172"/>
      <c r="F105" s="172"/>
      <c r="G105" s="341">
        <v>2019</v>
      </c>
      <c r="H105" s="197">
        <v>90</v>
      </c>
      <c r="I105" s="203"/>
      <c r="J105" s="424" t="s">
        <v>1611</v>
      </c>
      <c r="K105" s="228">
        <v>2</v>
      </c>
      <c r="L105" s="43"/>
    </row>
    <row r="106" spans="1:13" s="45" customFormat="1" ht="8.5500000000000007" customHeight="1" x14ac:dyDescent="0.2">
      <c r="B106" s="174"/>
      <c r="C106" s="174"/>
      <c r="D106" s="174"/>
      <c r="E106" s="174"/>
      <c r="F106" s="174"/>
      <c r="G106" s="342"/>
      <c r="H106" s="198"/>
      <c r="I106" s="204"/>
      <c r="J106" s="407"/>
      <c r="K106" s="229"/>
      <c r="L106" s="43"/>
    </row>
    <row r="107" spans="1:13" s="45" customFormat="1" ht="8.5500000000000007" customHeight="1" x14ac:dyDescent="0.2">
      <c r="A107" s="43"/>
      <c r="B107" s="457" t="s">
        <v>1711</v>
      </c>
      <c r="C107" s="172"/>
      <c r="D107" s="172"/>
      <c r="E107" s="172"/>
      <c r="F107" s="172"/>
      <c r="G107" s="341">
        <v>2022</v>
      </c>
      <c r="H107" s="197"/>
      <c r="I107" s="203"/>
      <c r="J107" s="424"/>
      <c r="K107" s="228">
        <v>3</v>
      </c>
      <c r="L107" s="91"/>
      <c r="M107" s="92"/>
    </row>
    <row r="108" spans="1:13" s="45" customFormat="1" ht="8.5500000000000007" customHeight="1" x14ac:dyDescent="0.2">
      <c r="A108" s="43"/>
      <c r="B108" s="174"/>
      <c r="C108" s="174"/>
      <c r="D108" s="174"/>
      <c r="E108" s="174"/>
      <c r="F108" s="174"/>
      <c r="G108" s="342"/>
      <c r="H108" s="198"/>
      <c r="I108" s="204"/>
      <c r="J108" s="407"/>
      <c r="K108" s="229"/>
      <c r="L108" s="91"/>
      <c r="M108" s="92"/>
    </row>
    <row r="109" spans="1:13" s="45" customFormat="1" ht="8.5500000000000007" customHeight="1" x14ac:dyDescent="0.2">
      <c r="B109" s="401" t="s">
        <v>1334</v>
      </c>
      <c r="C109" s="156"/>
      <c r="D109" s="156"/>
      <c r="E109" s="156"/>
      <c r="F109" s="156"/>
      <c r="G109" s="251">
        <v>2019</v>
      </c>
      <c r="H109" s="167" t="s">
        <v>1612</v>
      </c>
      <c r="I109" s="160"/>
      <c r="J109" s="424" t="s">
        <v>1613</v>
      </c>
      <c r="K109" s="164">
        <v>3</v>
      </c>
      <c r="L109" s="43"/>
    </row>
    <row r="110" spans="1:13" s="45" customFormat="1" ht="8.5500000000000007" customHeight="1" x14ac:dyDescent="0.2">
      <c r="B110" s="158"/>
      <c r="C110" s="158"/>
      <c r="D110" s="158"/>
      <c r="E110" s="158"/>
      <c r="F110" s="158"/>
      <c r="G110" s="252"/>
      <c r="H110" s="168"/>
      <c r="I110" s="161"/>
      <c r="J110" s="407"/>
      <c r="K110" s="165"/>
      <c r="L110" s="43"/>
    </row>
    <row r="111" spans="1:13" s="45" customFormat="1" ht="8.5500000000000007" customHeight="1" x14ac:dyDescent="0.2">
      <c r="B111" s="401" t="s">
        <v>1346</v>
      </c>
      <c r="C111" s="156"/>
      <c r="D111" s="156"/>
      <c r="E111" s="156"/>
      <c r="F111" s="156"/>
      <c r="G111" s="251">
        <v>2019</v>
      </c>
      <c r="H111" s="167"/>
      <c r="I111" s="160"/>
      <c r="J111" s="56"/>
      <c r="K111" s="164">
        <v>1</v>
      </c>
      <c r="L111" s="43"/>
    </row>
    <row r="112" spans="1:13" s="45" customFormat="1" ht="8.5500000000000007" customHeight="1" x14ac:dyDescent="0.2">
      <c r="B112" s="158"/>
      <c r="C112" s="158"/>
      <c r="D112" s="158"/>
      <c r="E112" s="158"/>
      <c r="F112" s="158"/>
      <c r="G112" s="252"/>
      <c r="H112" s="168"/>
      <c r="I112" s="161"/>
      <c r="J112" s="57"/>
      <c r="K112" s="165"/>
      <c r="L112" s="43"/>
    </row>
    <row r="113" spans="1:12" s="45" customFormat="1" ht="8.5500000000000007" customHeight="1" x14ac:dyDescent="0.2">
      <c r="A113" s="43"/>
      <c r="B113" s="170" t="s">
        <v>809</v>
      </c>
      <c r="C113" s="170"/>
      <c r="D113" s="170"/>
      <c r="E113" s="170"/>
      <c r="F113" s="170"/>
      <c r="G113" s="47"/>
      <c r="H113" s="47"/>
      <c r="I113" s="48"/>
      <c r="J113" s="48"/>
      <c r="K113" s="224">
        <v>119</v>
      </c>
      <c r="L113" s="43"/>
    </row>
    <row r="114" spans="1:12" s="45" customFormat="1" ht="8.5500000000000007" customHeight="1" x14ac:dyDescent="0.2">
      <c r="A114" s="43"/>
      <c r="B114" s="171"/>
      <c r="C114" s="171"/>
      <c r="D114" s="171"/>
      <c r="E114" s="171"/>
      <c r="F114" s="171"/>
      <c r="G114" s="54"/>
      <c r="H114" s="54"/>
      <c r="I114" s="49"/>
      <c r="J114" s="49"/>
      <c r="K114" s="225"/>
      <c r="L114" s="43"/>
    </row>
    <row r="115" spans="1:12" ht="8.5500000000000007" customHeight="1" x14ac:dyDescent="0.25">
      <c r="B115" s="452"/>
      <c r="C115" s="453"/>
      <c r="D115" s="453"/>
      <c r="E115" s="453"/>
      <c r="F115" s="454"/>
      <c r="G115" s="352"/>
      <c r="H115" s="16"/>
      <c r="I115" s="26"/>
      <c r="J115" s="26"/>
      <c r="L115" s="38">
        <f>SUM(K11:K112)</f>
        <v>119</v>
      </c>
    </row>
    <row r="116" spans="1:12" x14ac:dyDescent="0.25">
      <c r="B116" s="455"/>
      <c r="C116" s="455"/>
      <c r="D116" s="455"/>
      <c r="E116" s="455"/>
      <c r="F116" s="456"/>
      <c r="G116" s="353"/>
      <c r="H116" s="17"/>
      <c r="I116" s="27"/>
      <c r="J116" s="27"/>
      <c r="K116" s="39"/>
    </row>
    <row r="117" spans="1:12" x14ac:dyDescent="0.25">
      <c r="H117" s="8"/>
      <c r="K117" s="7"/>
    </row>
    <row r="118" spans="1:12" x14ac:dyDescent="0.25">
      <c r="H118" s="8"/>
    </row>
    <row r="119" spans="1:12" x14ac:dyDescent="0.25">
      <c r="H119" s="8"/>
    </row>
    <row r="120" spans="1:12" x14ac:dyDescent="0.25">
      <c r="H120" s="8"/>
    </row>
    <row r="121" spans="1:12" x14ac:dyDescent="0.25">
      <c r="H121" s="8"/>
    </row>
    <row r="122" spans="1:12" x14ac:dyDescent="0.25">
      <c r="H122" s="8"/>
    </row>
    <row r="123" spans="1:12" x14ac:dyDescent="0.25">
      <c r="H123" s="8"/>
    </row>
    <row r="124" spans="1:12" x14ac:dyDescent="0.25">
      <c r="H124" s="8"/>
    </row>
    <row r="125" spans="1:12" x14ac:dyDescent="0.25">
      <c r="H125" s="8"/>
    </row>
    <row r="126" spans="1:12" x14ac:dyDescent="0.25">
      <c r="H126" s="8"/>
    </row>
    <row r="127" spans="1:12" x14ac:dyDescent="0.25">
      <c r="H127" s="8"/>
    </row>
    <row r="128" spans="1:12" x14ac:dyDescent="0.25">
      <c r="H128" s="8"/>
    </row>
    <row r="129" spans="8:8" x14ac:dyDescent="0.25">
      <c r="H129" s="8"/>
    </row>
    <row r="130" spans="8:8" x14ac:dyDescent="0.25">
      <c r="H130" s="8"/>
    </row>
    <row r="131" spans="8:8" x14ac:dyDescent="0.25">
      <c r="H131" s="8"/>
    </row>
    <row r="132" spans="8:8" x14ac:dyDescent="0.25">
      <c r="H132" s="8"/>
    </row>
  </sheetData>
  <autoFilter ref="B3:L132" xr:uid="{00000000-0009-0000-0000-00000D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302">
    <mergeCell ref="H35:H36"/>
    <mergeCell ref="I35:I36"/>
    <mergeCell ref="J39:J40"/>
    <mergeCell ref="I39:I40"/>
    <mergeCell ref="B37:F38"/>
    <mergeCell ref="B41:F42"/>
    <mergeCell ref="H41:H42"/>
    <mergeCell ref="I41:I42"/>
    <mergeCell ref="G41:G42"/>
    <mergeCell ref="B35:F36"/>
    <mergeCell ref="G35:G36"/>
    <mergeCell ref="B51:F52"/>
    <mergeCell ref="G51:G52"/>
    <mergeCell ref="H51:H52"/>
    <mergeCell ref="G53:G54"/>
    <mergeCell ref="H53:H54"/>
    <mergeCell ref="J45:J46"/>
    <mergeCell ref="G49:G50"/>
    <mergeCell ref="B39:F40"/>
    <mergeCell ref="G39:G40"/>
    <mergeCell ref="H39:H40"/>
    <mergeCell ref="H49:H50"/>
    <mergeCell ref="I49:I50"/>
    <mergeCell ref="I51:I52"/>
    <mergeCell ref="B45:F46"/>
    <mergeCell ref="G45:G46"/>
    <mergeCell ref="H45:H46"/>
    <mergeCell ref="I45:I46"/>
    <mergeCell ref="J51:J52"/>
    <mergeCell ref="K63:K64"/>
    <mergeCell ref="K59:K60"/>
    <mergeCell ref="K61:K62"/>
    <mergeCell ref="J49:J50"/>
    <mergeCell ref="B79:F80"/>
    <mergeCell ref="G79:G80"/>
    <mergeCell ref="H79:H80"/>
    <mergeCell ref="I79:I80"/>
    <mergeCell ref="B49:F50"/>
    <mergeCell ref="I71:I72"/>
    <mergeCell ref="I59:I60"/>
    <mergeCell ref="J59:J60"/>
    <mergeCell ref="H71:H72"/>
    <mergeCell ref="B59:F60"/>
    <mergeCell ref="G59:G60"/>
    <mergeCell ref="H59:H60"/>
    <mergeCell ref="I75:I76"/>
    <mergeCell ref="B57:F58"/>
    <mergeCell ref="G57:G58"/>
    <mergeCell ref="H57:H58"/>
    <mergeCell ref="I57:I58"/>
    <mergeCell ref="B55:F56"/>
    <mergeCell ref="G55:G56"/>
    <mergeCell ref="K35:K36"/>
    <mergeCell ref="K23:K24"/>
    <mergeCell ref="K41:K42"/>
    <mergeCell ref="B43:F44"/>
    <mergeCell ref="G43:G44"/>
    <mergeCell ref="H43:H44"/>
    <mergeCell ref="I43:I44"/>
    <mergeCell ref="J43:J44"/>
    <mergeCell ref="K43:K44"/>
    <mergeCell ref="G29:G30"/>
    <mergeCell ref="B27:F28"/>
    <mergeCell ref="B29:F30"/>
    <mergeCell ref="G27:G28"/>
    <mergeCell ref="B31:F32"/>
    <mergeCell ref="G31:G32"/>
    <mergeCell ref="H31:H32"/>
    <mergeCell ref="I31:I32"/>
    <mergeCell ref="J41:J42"/>
    <mergeCell ref="J37:J38"/>
    <mergeCell ref="G37:G38"/>
    <mergeCell ref="H37:H38"/>
    <mergeCell ref="I37:I38"/>
    <mergeCell ref="J35:J36"/>
    <mergeCell ref="K37:K38"/>
    <mergeCell ref="K17:K18"/>
    <mergeCell ref="K21:K22"/>
    <mergeCell ref="H25:H26"/>
    <mergeCell ref="J27:J28"/>
    <mergeCell ref="J29:J30"/>
    <mergeCell ref="J31:J32"/>
    <mergeCell ref="J33:J34"/>
    <mergeCell ref="I33:I34"/>
    <mergeCell ref="K33:K34"/>
    <mergeCell ref="B25:F26"/>
    <mergeCell ref="G25:G26"/>
    <mergeCell ref="H27:H28"/>
    <mergeCell ref="I27:I28"/>
    <mergeCell ref="I25:I26"/>
    <mergeCell ref="K29:K30"/>
    <mergeCell ref="K9:K10"/>
    <mergeCell ref="H9:H10"/>
    <mergeCell ref="I9:I10"/>
    <mergeCell ref="K11:K12"/>
    <mergeCell ref="G9:G10"/>
    <mergeCell ref="I13:I14"/>
    <mergeCell ref="H17:H18"/>
    <mergeCell ref="H15:H16"/>
    <mergeCell ref="I15:I16"/>
    <mergeCell ref="I17:I18"/>
    <mergeCell ref="H13:H14"/>
    <mergeCell ref="K15:K16"/>
    <mergeCell ref="K13:K14"/>
    <mergeCell ref="B23:F24"/>
    <mergeCell ref="G23:G24"/>
    <mergeCell ref="H23:H24"/>
    <mergeCell ref="I23:I24"/>
    <mergeCell ref="G19:G20"/>
    <mergeCell ref="C3:J5"/>
    <mergeCell ref="D6:J7"/>
    <mergeCell ref="B9:F10"/>
    <mergeCell ref="B11:F12"/>
    <mergeCell ref="H21:H22"/>
    <mergeCell ref="I21:I22"/>
    <mergeCell ref="H19:H20"/>
    <mergeCell ref="B13:F14"/>
    <mergeCell ref="G13:G14"/>
    <mergeCell ref="B15:F16"/>
    <mergeCell ref="G15:G16"/>
    <mergeCell ref="B21:F22"/>
    <mergeCell ref="G21:G22"/>
    <mergeCell ref="B19:F20"/>
    <mergeCell ref="B17:F18"/>
    <mergeCell ref="G17:G18"/>
    <mergeCell ref="I19:I20"/>
    <mergeCell ref="B115:F116"/>
    <mergeCell ref="B113:F114"/>
    <mergeCell ref="G115:G116"/>
    <mergeCell ref="B71:F72"/>
    <mergeCell ref="G71:G72"/>
    <mergeCell ref="I29:I30"/>
    <mergeCell ref="H29:H30"/>
    <mergeCell ref="J97:J98"/>
    <mergeCell ref="J105:J106"/>
    <mergeCell ref="J101:J102"/>
    <mergeCell ref="B103:F104"/>
    <mergeCell ref="G103:G104"/>
    <mergeCell ref="H103:H104"/>
    <mergeCell ref="I103:I104"/>
    <mergeCell ref="B105:F106"/>
    <mergeCell ref="G73:G74"/>
    <mergeCell ref="H73:H74"/>
    <mergeCell ref="B33:F34"/>
    <mergeCell ref="G33:G34"/>
    <mergeCell ref="H33:H34"/>
    <mergeCell ref="B107:F108"/>
    <mergeCell ref="J107:J108"/>
    <mergeCell ref="B111:F112"/>
    <mergeCell ref="G111:G112"/>
    <mergeCell ref="H111:H112"/>
    <mergeCell ref="I111:I112"/>
    <mergeCell ref="B109:F110"/>
    <mergeCell ref="G109:G110"/>
    <mergeCell ref="H109:H110"/>
    <mergeCell ref="I109:I110"/>
    <mergeCell ref="J109:J110"/>
    <mergeCell ref="K113:K114"/>
    <mergeCell ref="K19:K20"/>
    <mergeCell ref="K25:K26"/>
    <mergeCell ref="K27:K28"/>
    <mergeCell ref="K71:K72"/>
    <mergeCell ref="K111:K112"/>
    <mergeCell ref="K99:K100"/>
    <mergeCell ref="K77:K78"/>
    <mergeCell ref="K75:K76"/>
    <mergeCell ref="K85:K86"/>
    <mergeCell ref="K97:K98"/>
    <mergeCell ref="K73:K74"/>
    <mergeCell ref="K101:K102"/>
    <mergeCell ref="K109:K110"/>
    <mergeCell ref="K81:K82"/>
    <mergeCell ref="K89:K90"/>
    <mergeCell ref="K31:K32"/>
    <mergeCell ref="B101:F102"/>
    <mergeCell ref="G101:G102"/>
    <mergeCell ref="H101:H102"/>
    <mergeCell ref="I101:I102"/>
    <mergeCell ref="G77:G78"/>
    <mergeCell ref="H77:H78"/>
    <mergeCell ref="J77:J78"/>
    <mergeCell ref="B83:F84"/>
    <mergeCell ref="G83:G84"/>
    <mergeCell ref="H83:H84"/>
    <mergeCell ref="I83:I84"/>
    <mergeCell ref="J83:J84"/>
    <mergeCell ref="B81:F82"/>
    <mergeCell ref="K53:K54"/>
    <mergeCell ref="K57:K58"/>
    <mergeCell ref="H85:H86"/>
    <mergeCell ref="I85:I86"/>
    <mergeCell ref="J81:J82"/>
    <mergeCell ref="B73:F74"/>
    <mergeCell ref="I73:I74"/>
    <mergeCell ref="J71:J72"/>
    <mergeCell ref="J73:J74"/>
    <mergeCell ref="B69:F70"/>
    <mergeCell ref="I53:I54"/>
    <mergeCell ref="B63:F64"/>
    <mergeCell ref="G63:G64"/>
    <mergeCell ref="H63:H64"/>
    <mergeCell ref="I63:I64"/>
    <mergeCell ref="J63:J64"/>
    <mergeCell ref="B61:F62"/>
    <mergeCell ref="G61:G62"/>
    <mergeCell ref="H61:H62"/>
    <mergeCell ref="I61:I62"/>
    <mergeCell ref="H55:H56"/>
    <mergeCell ref="B53:F54"/>
    <mergeCell ref="B65:F66"/>
    <mergeCell ref="G65:G66"/>
    <mergeCell ref="K39:K40"/>
    <mergeCell ref="K45:K46"/>
    <mergeCell ref="B99:F100"/>
    <mergeCell ref="G99:G100"/>
    <mergeCell ref="H99:H100"/>
    <mergeCell ref="I99:I100"/>
    <mergeCell ref="J99:J100"/>
    <mergeCell ref="H97:H98"/>
    <mergeCell ref="B97:F98"/>
    <mergeCell ref="G97:G98"/>
    <mergeCell ref="K91:K92"/>
    <mergeCell ref="K93:K94"/>
    <mergeCell ref="J79:J80"/>
    <mergeCell ref="J87:J88"/>
    <mergeCell ref="B67:F68"/>
    <mergeCell ref="B85:F86"/>
    <mergeCell ref="G85:G86"/>
    <mergeCell ref="G81:G82"/>
    <mergeCell ref="H81:H82"/>
    <mergeCell ref="I81:I82"/>
    <mergeCell ref="K83:K84"/>
    <mergeCell ref="K65:K66"/>
    <mergeCell ref="K69:K70"/>
    <mergeCell ref="B77:F78"/>
    <mergeCell ref="K107:K108"/>
    <mergeCell ref="I97:I98"/>
    <mergeCell ref="G95:G96"/>
    <mergeCell ref="H95:H96"/>
    <mergeCell ref="I95:I96"/>
    <mergeCell ref="G107:G108"/>
    <mergeCell ref="H107:H108"/>
    <mergeCell ref="I107:I108"/>
    <mergeCell ref="K95:K96"/>
    <mergeCell ref="K103:K104"/>
    <mergeCell ref="G105:G106"/>
    <mergeCell ref="H105:H106"/>
    <mergeCell ref="I105:I106"/>
    <mergeCell ref="J103:J104"/>
    <mergeCell ref="K105:K106"/>
    <mergeCell ref="K87:K88"/>
    <mergeCell ref="K67:K68"/>
    <mergeCell ref="J75:J76"/>
    <mergeCell ref="J95:J96"/>
    <mergeCell ref="J89:J90"/>
    <mergeCell ref="J91:J92"/>
    <mergeCell ref="I77:I78"/>
    <mergeCell ref="K79:K80"/>
    <mergeCell ref="J85:J86"/>
    <mergeCell ref="J67:J68"/>
    <mergeCell ref="B93:F94"/>
    <mergeCell ref="G93:G94"/>
    <mergeCell ref="H93:H94"/>
    <mergeCell ref="I93:I94"/>
    <mergeCell ref="J93:J94"/>
    <mergeCell ref="B87:F88"/>
    <mergeCell ref="B95:F96"/>
    <mergeCell ref="B91:F92"/>
    <mergeCell ref="G91:G92"/>
    <mergeCell ref="H91:H92"/>
    <mergeCell ref="I91:I92"/>
    <mergeCell ref="H89:H90"/>
    <mergeCell ref="I89:I90"/>
    <mergeCell ref="B89:F90"/>
    <mergeCell ref="G89:G90"/>
    <mergeCell ref="G87:G88"/>
    <mergeCell ref="H87:H88"/>
    <mergeCell ref="I87:I88"/>
    <mergeCell ref="B75:F76"/>
    <mergeCell ref="G75:G76"/>
    <mergeCell ref="H75:H76"/>
    <mergeCell ref="K51:K52"/>
    <mergeCell ref="B47:F48"/>
    <mergeCell ref="G47:G48"/>
    <mergeCell ref="H47:H48"/>
    <mergeCell ref="I47:I48"/>
    <mergeCell ref="J47:J48"/>
    <mergeCell ref="K47:K48"/>
    <mergeCell ref="K55:K56"/>
    <mergeCell ref="K49:K50"/>
    <mergeCell ref="I55:I56"/>
    <mergeCell ref="J55:J56"/>
    <mergeCell ref="J61:J62"/>
    <mergeCell ref="H65:H66"/>
    <mergeCell ref="I65:I66"/>
    <mergeCell ref="J65:J66"/>
    <mergeCell ref="J53:J54"/>
    <mergeCell ref="J57:J58"/>
    <mergeCell ref="G69:G70"/>
    <mergeCell ref="H69:H70"/>
    <mergeCell ref="I69:I70"/>
    <mergeCell ref="J69:J70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4"/>
  <dimension ref="A1:L668"/>
  <sheetViews>
    <sheetView showGridLines="0" view="pageBreakPreview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2" width="8.88671875" customWidth="1"/>
    <col min="13" max="16384" width="9.109375" style="1"/>
  </cols>
  <sheetData>
    <row r="1" spans="1:12" ht="12" customHeight="1" x14ac:dyDescent="0.25"/>
    <row r="2" spans="1:12" ht="12" customHeight="1" x14ac:dyDescent="0.25"/>
    <row r="3" spans="1:12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2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2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2" ht="12" customHeight="1" x14ac:dyDescent="0.25">
      <c r="D6" s="227" t="s">
        <v>434</v>
      </c>
      <c r="E6" s="227"/>
      <c r="F6" s="227"/>
      <c r="G6" s="227"/>
      <c r="H6" s="227"/>
      <c r="I6" s="227"/>
      <c r="J6" s="227"/>
    </row>
    <row r="7" spans="1:12" ht="12" customHeight="1" x14ac:dyDescent="0.25">
      <c r="B7" s="3" t="s">
        <v>85</v>
      </c>
      <c r="D7" s="227"/>
      <c r="E7" s="227"/>
      <c r="F7" s="227"/>
      <c r="G7" s="227"/>
      <c r="H7" s="227"/>
      <c r="I7" s="227"/>
      <c r="J7" s="227"/>
    </row>
    <row r="8" spans="1:12" ht="12" customHeight="1" x14ac:dyDescent="0.25">
      <c r="B8" s="2"/>
    </row>
    <row r="9" spans="1:12" ht="12" customHeight="1" x14ac:dyDescent="0.25">
      <c r="B9" s="465" t="s">
        <v>82</v>
      </c>
      <c r="C9" s="465"/>
      <c r="D9" s="465"/>
      <c r="E9" s="465"/>
      <c r="F9" s="465"/>
      <c r="G9" s="465" t="s">
        <v>84</v>
      </c>
      <c r="H9" s="465" t="s">
        <v>90</v>
      </c>
      <c r="I9" s="465" t="s">
        <v>192</v>
      </c>
      <c r="J9" s="30" t="s">
        <v>91</v>
      </c>
      <c r="K9" s="465" t="s">
        <v>83</v>
      </c>
    </row>
    <row r="10" spans="1:12" ht="12" customHeight="1" x14ac:dyDescent="0.25">
      <c r="B10" s="466"/>
      <c r="C10" s="466"/>
      <c r="D10" s="466"/>
      <c r="E10" s="466"/>
      <c r="F10" s="466"/>
      <c r="G10" s="467"/>
      <c r="H10" s="466"/>
      <c r="I10" s="466"/>
      <c r="J10" s="29" t="s">
        <v>90</v>
      </c>
      <c r="K10" s="466"/>
    </row>
    <row r="11" spans="1:12" s="45" customFormat="1" ht="8.5500000000000007" customHeight="1" x14ac:dyDescent="0.2">
      <c r="A11" s="43"/>
      <c r="B11" s="463" t="s">
        <v>765</v>
      </c>
      <c r="C11" s="464"/>
      <c r="D11" s="464"/>
      <c r="E11" s="464"/>
      <c r="F11" s="464"/>
      <c r="G11" s="307">
        <v>1970</v>
      </c>
      <c r="H11" s="372"/>
      <c r="I11" s="462"/>
      <c r="J11" s="162"/>
      <c r="K11" s="164">
        <v>1</v>
      </c>
      <c r="L11" s="43"/>
    </row>
    <row r="12" spans="1:12" s="45" customFormat="1" ht="8.5500000000000007" customHeight="1" x14ac:dyDescent="0.2">
      <c r="A12" s="43"/>
      <c r="B12" s="463"/>
      <c r="C12" s="464"/>
      <c r="D12" s="464"/>
      <c r="E12" s="464"/>
      <c r="F12" s="464"/>
      <c r="G12" s="307"/>
      <c r="H12" s="372"/>
      <c r="I12" s="462"/>
      <c r="J12" s="163"/>
      <c r="K12" s="165"/>
      <c r="L12" s="43"/>
    </row>
    <row r="13" spans="1:12" s="45" customFormat="1" ht="8.5500000000000007" customHeight="1" x14ac:dyDescent="0.2">
      <c r="A13" s="43"/>
      <c r="B13" s="463" t="s">
        <v>765</v>
      </c>
      <c r="C13" s="464"/>
      <c r="D13" s="464"/>
      <c r="E13" s="464"/>
      <c r="F13" s="464"/>
      <c r="G13" s="307">
        <v>1974</v>
      </c>
      <c r="H13" s="372">
        <v>98</v>
      </c>
      <c r="I13" s="462"/>
      <c r="J13" s="162" t="s">
        <v>919</v>
      </c>
      <c r="K13" s="164">
        <v>1</v>
      </c>
      <c r="L13" s="43"/>
    </row>
    <row r="14" spans="1:12" s="45" customFormat="1" ht="8.5500000000000007" customHeight="1" x14ac:dyDescent="0.2">
      <c r="A14" s="43"/>
      <c r="B14" s="463"/>
      <c r="C14" s="464"/>
      <c r="D14" s="464"/>
      <c r="E14" s="464"/>
      <c r="F14" s="464"/>
      <c r="G14" s="307"/>
      <c r="H14" s="372"/>
      <c r="I14" s="462"/>
      <c r="J14" s="163"/>
      <c r="K14" s="165"/>
      <c r="L14" s="43"/>
    </row>
    <row r="15" spans="1:12" s="45" customFormat="1" ht="8.5500000000000007" customHeight="1" x14ac:dyDescent="0.2">
      <c r="A15" s="43"/>
      <c r="B15" s="463" t="s">
        <v>1343</v>
      </c>
      <c r="C15" s="464"/>
      <c r="D15" s="464"/>
      <c r="E15" s="464"/>
      <c r="F15" s="464"/>
      <c r="G15" s="307">
        <v>1978</v>
      </c>
      <c r="H15" s="372">
        <v>92</v>
      </c>
      <c r="I15" s="462"/>
      <c r="J15" s="162" t="s">
        <v>1880</v>
      </c>
      <c r="K15" s="164">
        <v>1</v>
      </c>
      <c r="L15" s="43"/>
    </row>
    <row r="16" spans="1:12" s="45" customFormat="1" ht="8.5500000000000007" customHeight="1" x14ac:dyDescent="0.2">
      <c r="A16" s="43"/>
      <c r="B16" s="463"/>
      <c r="C16" s="464"/>
      <c r="D16" s="464"/>
      <c r="E16" s="464"/>
      <c r="F16" s="464"/>
      <c r="G16" s="307"/>
      <c r="H16" s="372"/>
      <c r="I16" s="462"/>
      <c r="J16" s="163"/>
      <c r="K16" s="165"/>
      <c r="L16" s="43"/>
    </row>
    <row r="17" spans="1:12" s="45" customFormat="1" ht="8.5500000000000007" customHeight="1" x14ac:dyDescent="0.2">
      <c r="A17" s="43"/>
      <c r="B17" s="463" t="s">
        <v>765</v>
      </c>
      <c r="C17" s="464"/>
      <c r="D17" s="464"/>
      <c r="E17" s="464"/>
      <c r="F17" s="464"/>
      <c r="G17" s="307">
        <v>1984</v>
      </c>
      <c r="H17" s="372">
        <v>92</v>
      </c>
      <c r="I17" s="462"/>
      <c r="J17" s="162"/>
      <c r="K17" s="164">
        <v>1</v>
      </c>
      <c r="L17" s="43"/>
    </row>
    <row r="18" spans="1:12" s="45" customFormat="1" ht="8.5500000000000007" customHeight="1" x14ac:dyDescent="0.2">
      <c r="A18" s="43"/>
      <c r="B18" s="463"/>
      <c r="C18" s="464"/>
      <c r="D18" s="464"/>
      <c r="E18" s="464"/>
      <c r="F18" s="464"/>
      <c r="G18" s="307"/>
      <c r="H18" s="372"/>
      <c r="I18" s="462"/>
      <c r="J18" s="163"/>
      <c r="K18" s="165"/>
      <c r="L18" s="43"/>
    </row>
    <row r="19" spans="1:12" s="45" customFormat="1" ht="8.5500000000000007" customHeight="1" x14ac:dyDescent="0.2">
      <c r="A19" s="43"/>
      <c r="B19" s="463" t="s">
        <v>1343</v>
      </c>
      <c r="C19" s="464"/>
      <c r="D19" s="464"/>
      <c r="E19" s="464"/>
      <c r="F19" s="464"/>
      <c r="G19" s="307">
        <v>1984</v>
      </c>
      <c r="H19" s="372">
        <v>92</v>
      </c>
      <c r="I19" s="462"/>
      <c r="J19" s="162"/>
      <c r="K19" s="164">
        <v>2</v>
      </c>
      <c r="L19" s="43"/>
    </row>
    <row r="20" spans="1:12" s="45" customFormat="1" ht="8.5500000000000007" customHeight="1" x14ac:dyDescent="0.2">
      <c r="A20" s="43"/>
      <c r="B20" s="463"/>
      <c r="C20" s="464"/>
      <c r="D20" s="464"/>
      <c r="E20" s="464"/>
      <c r="F20" s="464"/>
      <c r="G20" s="307"/>
      <c r="H20" s="372"/>
      <c r="I20" s="462"/>
      <c r="J20" s="163"/>
      <c r="K20" s="165"/>
      <c r="L20" s="43"/>
    </row>
    <row r="21" spans="1:12" s="45" customFormat="1" ht="8.5500000000000007" customHeight="1" x14ac:dyDescent="0.2">
      <c r="A21" s="43"/>
      <c r="B21" s="463" t="s">
        <v>765</v>
      </c>
      <c r="C21" s="464"/>
      <c r="D21" s="464"/>
      <c r="E21" s="464"/>
      <c r="F21" s="464"/>
      <c r="G21" s="307">
        <v>1985</v>
      </c>
      <c r="H21" s="372">
        <v>94</v>
      </c>
      <c r="I21" s="462"/>
      <c r="J21" s="162" t="s">
        <v>579</v>
      </c>
      <c r="K21" s="164">
        <v>1</v>
      </c>
      <c r="L21" s="43"/>
    </row>
    <row r="22" spans="1:12" s="45" customFormat="1" ht="8.5500000000000007" customHeight="1" x14ac:dyDescent="0.2">
      <c r="A22" s="43"/>
      <c r="B22" s="463"/>
      <c r="C22" s="464"/>
      <c r="D22" s="464"/>
      <c r="E22" s="464"/>
      <c r="F22" s="464"/>
      <c r="G22" s="307"/>
      <c r="H22" s="372"/>
      <c r="I22" s="462"/>
      <c r="J22" s="163"/>
      <c r="K22" s="165"/>
      <c r="L22" s="43"/>
    </row>
    <row r="23" spans="1:12" s="45" customFormat="1" ht="8.5500000000000007" customHeight="1" x14ac:dyDescent="0.2">
      <c r="A23" s="43"/>
      <c r="B23" s="463" t="s">
        <v>765</v>
      </c>
      <c r="C23" s="464"/>
      <c r="D23" s="464"/>
      <c r="E23" s="464"/>
      <c r="F23" s="464"/>
      <c r="G23" s="307">
        <v>1997</v>
      </c>
      <c r="H23" s="372">
        <v>90</v>
      </c>
      <c r="I23" s="462"/>
      <c r="J23" s="162" t="s">
        <v>364</v>
      </c>
      <c r="K23" s="164">
        <v>1</v>
      </c>
      <c r="L23" s="43"/>
    </row>
    <row r="24" spans="1:12" s="45" customFormat="1" ht="8.5500000000000007" customHeight="1" x14ac:dyDescent="0.2">
      <c r="A24" s="43"/>
      <c r="B24" s="463"/>
      <c r="C24" s="464"/>
      <c r="D24" s="464"/>
      <c r="E24" s="464"/>
      <c r="F24" s="464"/>
      <c r="G24" s="307"/>
      <c r="H24" s="372"/>
      <c r="I24" s="462"/>
      <c r="J24" s="163"/>
      <c r="K24" s="165"/>
      <c r="L24" s="43"/>
    </row>
    <row r="25" spans="1:12" s="45" customFormat="1" ht="8.5500000000000007" customHeight="1" x14ac:dyDescent="0.2">
      <c r="A25" s="43"/>
      <c r="B25" s="463" t="s">
        <v>765</v>
      </c>
      <c r="C25" s="464"/>
      <c r="D25" s="464"/>
      <c r="E25" s="464"/>
      <c r="F25" s="464"/>
      <c r="G25" s="307">
        <v>2001</v>
      </c>
      <c r="H25" s="372" t="s">
        <v>623</v>
      </c>
      <c r="I25" s="462">
        <v>93</v>
      </c>
      <c r="J25" s="162" t="s">
        <v>25</v>
      </c>
      <c r="K25" s="164">
        <v>3</v>
      </c>
      <c r="L25" s="43"/>
    </row>
    <row r="26" spans="1:12" s="45" customFormat="1" ht="8.5500000000000007" customHeight="1" x14ac:dyDescent="0.2">
      <c r="A26" s="43"/>
      <c r="B26" s="463"/>
      <c r="C26" s="464"/>
      <c r="D26" s="464"/>
      <c r="E26" s="464"/>
      <c r="F26" s="464"/>
      <c r="G26" s="307"/>
      <c r="H26" s="372"/>
      <c r="I26" s="462"/>
      <c r="J26" s="163"/>
      <c r="K26" s="165"/>
      <c r="L26" s="43"/>
    </row>
    <row r="27" spans="1:12" s="45" customFormat="1" ht="8.5500000000000007" customHeight="1" x14ac:dyDescent="0.2">
      <c r="A27" s="43"/>
      <c r="B27" s="463" t="s">
        <v>977</v>
      </c>
      <c r="C27" s="464"/>
      <c r="D27" s="464"/>
      <c r="E27" s="464"/>
      <c r="F27" s="464"/>
      <c r="G27" s="307">
        <v>1979</v>
      </c>
      <c r="H27" s="372"/>
      <c r="I27" s="462"/>
      <c r="J27" s="160"/>
      <c r="K27" s="164">
        <v>2</v>
      </c>
      <c r="L27" s="43"/>
    </row>
    <row r="28" spans="1:12" s="45" customFormat="1" ht="8.5500000000000007" customHeight="1" x14ac:dyDescent="0.2">
      <c r="A28" s="43"/>
      <c r="B28" s="463"/>
      <c r="C28" s="464"/>
      <c r="D28" s="464"/>
      <c r="E28" s="464"/>
      <c r="F28" s="464"/>
      <c r="G28" s="307"/>
      <c r="H28" s="372"/>
      <c r="I28" s="462"/>
      <c r="J28" s="161"/>
      <c r="K28" s="165"/>
      <c r="L28" s="43"/>
    </row>
    <row r="29" spans="1:12" s="45" customFormat="1" ht="8.5500000000000007" customHeight="1" x14ac:dyDescent="0.2">
      <c r="A29" s="43"/>
      <c r="B29" s="463" t="s">
        <v>977</v>
      </c>
      <c r="C29" s="464"/>
      <c r="D29" s="464"/>
      <c r="E29" s="464"/>
      <c r="F29" s="464"/>
      <c r="G29" s="307">
        <v>1981</v>
      </c>
      <c r="H29" s="372"/>
      <c r="I29" s="462"/>
      <c r="J29" s="160"/>
      <c r="K29" s="164">
        <v>1</v>
      </c>
      <c r="L29" s="43"/>
    </row>
    <row r="30" spans="1:12" s="45" customFormat="1" ht="8.5500000000000007" customHeight="1" x14ac:dyDescent="0.2">
      <c r="A30" s="43"/>
      <c r="B30" s="463"/>
      <c r="C30" s="464"/>
      <c r="D30" s="464"/>
      <c r="E30" s="464"/>
      <c r="F30" s="464"/>
      <c r="G30" s="307"/>
      <c r="H30" s="372"/>
      <c r="I30" s="462"/>
      <c r="J30" s="161"/>
      <c r="K30" s="165"/>
      <c r="L30" s="43"/>
    </row>
    <row r="31" spans="1:12" s="45" customFormat="1" ht="8.5500000000000007" customHeight="1" x14ac:dyDescent="0.2">
      <c r="A31" s="43"/>
      <c r="B31" s="463" t="s">
        <v>1111</v>
      </c>
      <c r="C31" s="464"/>
      <c r="D31" s="464"/>
      <c r="E31" s="464"/>
      <c r="F31" s="464"/>
      <c r="G31" s="307">
        <v>2004</v>
      </c>
      <c r="H31" s="372">
        <v>96</v>
      </c>
      <c r="I31" s="462"/>
      <c r="J31" s="162" t="s">
        <v>323</v>
      </c>
      <c r="K31" s="164">
        <v>1</v>
      </c>
      <c r="L31" s="43"/>
    </row>
    <row r="32" spans="1:12" s="45" customFormat="1" ht="8.5500000000000007" customHeight="1" x14ac:dyDescent="0.2">
      <c r="A32" s="43"/>
      <c r="B32" s="463"/>
      <c r="C32" s="464"/>
      <c r="D32" s="464"/>
      <c r="E32" s="464"/>
      <c r="F32" s="464"/>
      <c r="G32" s="307"/>
      <c r="H32" s="372"/>
      <c r="I32" s="462"/>
      <c r="J32" s="163"/>
      <c r="K32" s="165"/>
      <c r="L32" s="43"/>
    </row>
    <row r="33" spans="1:12" s="45" customFormat="1" ht="8.5500000000000007" customHeight="1" x14ac:dyDescent="0.2">
      <c r="A33" s="43"/>
      <c r="B33" s="463" t="s">
        <v>442</v>
      </c>
      <c r="C33" s="464"/>
      <c r="D33" s="464"/>
      <c r="E33" s="464"/>
      <c r="F33" s="464"/>
      <c r="G33" s="307">
        <v>1988</v>
      </c>
      <c r="H33" s="372">
        <v>93</v>
      </c>
      <c r="I33" s="462"/>
      <c r="J33" s="240" t="s">
        <v>1614</v>
      </c>
      <c r="K33" s="164">
        <v>1</v>
      </c>
      <c r="L33" s="43"/>
    </row>
    <row r="34" spans="1:12" s="45" customFormat="1" ht="8.5500000000000007" customHeight="1" x14ac:dyDescent="0.2">
      <c r="A34" s="43"/>
      <c r="B34" s="463"/>
      <c r="C34" s="464"/>
      <c r="D34" s="464"/>
      <c r="E34" s="464"/>
      <c r="F34" s="464"/>
      <c r="G34" s="307"/>
      <c r="H34" s="372"/>
      <c r="I34" s="462"/>
      <c r="J34" s="161"/>
      <c r="K34" s="165"/>
      <c r="L34" s="43"/>
    </row>
    <row r="35" spans="1:12" s="45" customFormat="1" ht="8.5500000000000007" customHeight="1" x14ac:dyDescent="0.2">
      <c r="A35" s="43"/>
      <c r="B35" s="463" t="s">
        <v>442</v>
      </c>
      <c r="C35" s="464"/>
      <c r="D35" s="464"/>
      <c r="E35" s="464"/>
      <c r="F35" s="464"/>
      <c r="G35" s="307">
        <v>1989</v>
      </c>
      <c r="H35" s="372">
        <v>89</v>
      </c>
      <c r="I35" s="462"/>
      <c r="J35" s="160"/>
      <c r="K35" s="164">
        <v>1</v>
      </c>
      <c r="L35" s="43"/>
    </row>
    <row r="36" spans="1:12" s="45" customFormat="1" ht="8.5500000000000007" customHeight="1" x14ac:dyDescent="0.2">
      <c r="A36" s="43"/>
      <c r="B36" s="463"/>
      <c r="C36" s="464"/>
      <c r="D36" s="464"/>
      <c r="E36" s="464"/>
      <c r="F36" s="464"/>
      <c r="G36" s="307"/>
      <c r="H36" s="372"/>
      <c r="I36" s="462"/>
      <c r="J36" s="161"/>
      <c r="K36" s="165"/>
      <c r="L36" s="43"/>
    </row>
    <row r="37" spans="1:12" s="45" customFormat="1" ht="8.5500000000000007" customHeight="1" x14ac:dyDescent="0.2">
      <c r="A37" s="43"/>
      <c r="B37" s="463" t="s">
        <v>442</v>
      </c>
      <c r="C37" s="464"/>
      <c r="D37" s="464"/>
      <c r="E37" s="464"/>
      <c r="F37" s="464"/>
      <c r="G37" s="307">
        <v>1990</v>
      </c>
      <c r="H37" s="372">
        <v>96</v>
      </c>
      <c r="I37" s="462">
        <v>97</v>
      </c>
      <c r="J37" s="160"/>
      <c r="K37" s="164">
        <v>1</v>
      </c>
      <c r="L37" s="43"/>
    </row>
    <row r="38" spans="1:12" s="45" customFormat="1" ht="8.5500000000000007" customHeight="1" x14ac:dyDescent="0.2">
      <c r="A38" s="43"/>
      <c r="B38" s="463"/>
      <c r="C38" s="464"/>
      <c r="D38" s="464"/>
      <c r="E38" s="464"/>
      <c r="F38" s="464"/>
      <c r="G38" s="307"/>
      <c r="H38" s="372"/>
      <c r="I38" s="462"/>
      <c r="J38" s="161"/>
      <c r="K38" s="165"/>
      <c r="L38" s="43"/>
    </row>
    <row r="39" spans="1:12" s="45" customFormat="1" ht="8.5500000000000007" customHeight="1" x14ac:dyDescent="0.2">
      <c r="A39" s="43"/>
      <c r="B39" s="463" t="s">
        <v>442</v>
      </c>
      <c r="C39" s="464"/>
      <c r="D39" s="464"/>
      <c r="E39" s="464"/>
      <c r="F39" s="464"/>
      <c r="G39" s="307">
        <v>1991</v>
      </c>
      <c r="H39" s="372">
        <v>99</v>
      </c>
      <c r="I39" s="462">
        <v>95</v>
      </c>
      <c r="J39" s="162" t="s">
        <v>443</v>
      </c>
      <c r="K39" s="164">
        <v>1</v>
      </c>
      <c r="L39" s="43"/>
    </row>
    <row r="40" spans="1:12" s="45" customFormat="1" ht="8.5500000000000007" customHeight="1" x14ac:dyDescent="0.2">
      <c r="A40" s="43"/>
      <c r="B40" s="463"/>
      <c r="C40" s="464"/>
      <c r="D40" s="464"/>
      <c r="E40" s="464"/>
      <c r="F40" s="464"/>
      <c r="G40" s="307"/>
      <c r="H40" s="372"/>
      <c r="I40" s="462"/>
      <c r="J40" s="163"/>
      <c r="K40" s="165"/>
      <c r="L40" s="43"/>
    </row>
    <row r="41" spans="1:12" s="45" customFormat="1" ht="8.5500000000000007" customHeight="1" x14ac:dyDescent="0.2">
      <c r="A41" s="43"/>
      <c r="B41" s="463" t="s">
        <v>442</v>
      </c>
      <c r="C41" s="464"/>
      <c r="D41" s="464"/>
      <c r="E41" s="464"/>
      <c r="F41" s="464"/>
      <c r="G41" s="307">
        <v>1992</v>
      </c>
      <c r="H41" s="372">
        <v>100</v>
      </c>
      <c r="I41" s="462">
        <v>92</v>
      </c>
      <c r="J41" s="162" t="s">
        <v>43</v>
      </c>
      <c r="K41" s="164">
        <v>2</v>
      </c>
      <c r="L41" s="43"/>
    </row>
    <row r="42" spans="1:12" s="45" customFormat="1" ht="8.5500000000000007" customHeight="1" x14ac:dyDescent="0.2">
      <c r="A42" s="43"/>
      <c r="B42" s="463"/>
      <c r="C42" s="464"/>
      <c r="D42" s="464"/>
      <c r="E42" s="464"/>
      <c r="F42" s="464"/>
      <c r="G42" s="307"/>
      <c r="H42" s="372"/>
      <c r="I42" s="462"/>
      <c r="J42" s="163"/>
      <c r="K42" s="165"/>
      <c r="L42" s="43"/>
    </row>
    <row r="43" spans="1:12" s="45" customFormat="1" ht="8.5500000000000007" customHeight="1" x14ac:dyDescent="0.2">
      <c r="A43" s="43"/>
      <c r="B43" s="463" t="s">
        <v>442</v>
      </c>
      <c r="C43" s="464"/>
      <c r="D43" s="464"/>
      <c r="E43" s="464"/>
      <c r="F43" s="464"/>
      <c r="G43" s="307">
        <v>1993</v>
      </c>
      <c r="H43" s="372">
        <v>98</v>
      </c>
      <c r="I43" s="462">
        <v>93</v>
      </c>
      <c r="J43" s="162" t="s">
        <v>140</v>
      </c>
      <c r="K43" s="164">
        <v>3</v>
      </c>
      <c r="L43" s="43"/>
    </row>
    <row r="44" spans="1:12" s="45" customFormat="1" ht="8.5500000000000007" customHeight="1" x14ac:dyDescent="0.2">
      <c r="A44" s="43"/>
      <c r="B44" s="463"/>
      <c r="C44" s="464"/>
      <c r="D44" s="464"/>
      <c r="E44" s="464"/>
      <c r="F44" s="464"/>
      <c r="G44" s="307"/>
      <c r="H44" s="372"/>
      <c r="I44" s="462"/>
      <c r="J44" s="163"/>
      <c r="K44" s="165"/>
      <c r="L44" s="43"/>
    </row>
    <row r="45" spans="1:12" s="45" customFormat="1" ht="8.5500000000000007" customHeight="1" x14ac:dyDescent="0.2">
      <c r="A45" s="43"/>
      <c r="B45" s="463" t="s">
        <v>442</v>
      </c>
      <c r="C45" s="464"/>
      <c r="D45" s="464"/>
      <c r="E45" s="464"/>
      <c r="F45" s="464"/>
      <c r="G45" s="307">
        <v>1994</v>
      </c>
      <c r="H45" s="372">
        <v>99</v>
      </c>
      <c r="I45" s="462"/>
      <c r="J45" s="162" t="s">
        <v>473</v>
      </c>
      <c r="K45" s="164">
        <v>1</v>
      </c>
      <c r="L45" s="43"/>
    </row>
    <row r="46" spans="1:12" s="45" customFormat="1" ht="8.5500000000000007" customHeight="1" x14ac:dyDescent="0.2">
      <c r="A46" s="43"/>
      <c r="B46" s="463"/>
      <c r="C46" s="464"/>
      <c r="D46" s="464"/>
      <c r="E46" s="464"/>
      <c r="F46" s="464"/>
      <c r="G46" s="307"/>
      <c r="H46" s="372"/>
      <c r="I46" s="462"/>
      <c r="J46" s="163"/>
      <c r="K46" s="165"/>
      <c r="L46" s="43"/>
    </row>
    <row r="47" spans="1:12" s="45" customFormat="1" ht="8.5500000000000007" customHeight="1" x14ac:dyDescent="0.2">
      <c r="A47" s="43"/>
      <c r="B47" s="463" t="s">
        <v>442</v>
      </c>
      <c r="C47" s="464"/>
      <c r="D47" s="464"/>
      <c r="E47" s="464"/>
      <c r="F47" s="464"/>
      <c r="G47" s="307">
        <v>1995</v>
      </c>
      <c r="H47" s="372" t="s">
        <v>10</v>
      </c>
      <c r="I47" s="462">
        <v>95</v>
      </c>
      <c r="J47" s="160"/>
      <c r="K47" s="164">
        <v>1</v>
      </c>
      <c r="L47" s="43"/>
    </row>
    <row r="48" spans="1:12" s="45" customFormat="1" ht="8.5500000000000007" customHeight="1" x14ac:dyDescent="0.2">
      <c r="A48" s="43"/>
      <c r="B48" s="463"/>
      <c r="C48" s="464"/>
      <c r="D48" s="464"/>
      <c r="E48" s="464"/>
      <c r="F48" s="464"/>
      <c r="G48" s="307"/>
      <c r="H48" s="372"/>
      <c r="I48" s="462"/>
      <c r="J48" s="161"/>
      <c r="K48" s="165"/>
      <c r="L48" s="43"/>
    </row>
    <row r="49" spans="1:12" s="45" customFormat="1" ht="8.5500000000000007" customHeight="1" x14ac:dyDescent="0.2">
      <c r="A49" s="43"/>
      <c r="B49" s="463" t="s">
        <v>442</v>
      </c>
      <c r="C49" s="464"/>
      <c r="D49" s="464"/>
      <c r="E49" s="464"/>
      <c r="F49" s="464"/>
      <c r="G49" s="307">
        <v>1997</v>
      </c>
      <c r="H49" s="372">
        <v>99</v>
      </c>
      <c r="I49" s="462"/>
      <c r="J49" s="162" t="s">
        <v>62</v>
      </c>
      <c r="K49" s="164">
        <v>2</v>
      </c>
      <c r="L49" s="43"/>
    </row>
    <row r="50" spans="1:12" s="45" customFormat="1" ht="8.5500000000000007" customHeight="1" x14ac:dyDescent="0.2">
      <c r="A50" s="43"/>
      <c r="B50" s="463"/>
      <c r="C50" s="464"/>
      <c r="D50" s="464"/>
      <c r="E50" s="464"/>
      <c r="F50" s="464"/>
      <c r="G50" s="307"/>
      <c r="H50" s="372"/>
      <c r="I50" s="462"/>
      <c r="J50" s="163"/>
      <c r="K50" s="165"/>
      <c r="L50" s="43"/>
    </row>
    <row r="51" spans="1:12" s="45" customFormat="1" ht="8.5500000000000007" customHeight="1" x14ac:dyDescent="0.2">
      <c r="A51" s="43"/>
      <c r="B51" s="463" t="s">
        <v>442</v>
      </c>
      <c r="C51" s="464"/>
      <c r="D51" s="464"/>
      <c r="E51" s="464"/>
      <c r="F51" s="464"/>
      <c r="G51" s="307">
        <v>2001</v>
      </c>
      <c r="H51" s="372">
        <v>98</v>
      </c>
      <c r="I51" s="462">
        <v>88</v>
      </c>
      <c r="J51" s="162" t="s">
        <v>0</v>
      </c>
      <c r="K51" s="164">
        <v>3</v>
      </c>
      <c r="L51" s="43"/>
    </row>
    <row r="52" spans="1:12" s="45" customFormat="1" ht="8.5500000000000007" customHeight="1" x14ac:dyDescent="0.2">
      <c r="A52" s="43"/>
      <c r="B52" s="463"/>
      <c r="C52" s="464"/>
      <c r="D52" s="464"/>
      <c r="E52" s="464"/>
      <c r="F52" s="464"/>
      <c r="G52" s="307"/>
      <c r="H52" s="372"/>
      <c r="I52" s="462"/>
      <c r="J52" s="163"/>
      <c r="K52" s="165"/>
      <c r="L52" s="43"/>
    </row>
    <row r="53" spans="1:12" s="45" customFormat="1" ht="8.5500000000000007" customHeight="1" x14ac:dyDescent="0.2">
      <c r="A53" s="43"/>
      <c r="B53" s="463" t="s">
        <v>442</v>
      </c>
      <c r="C53" s="464"/>
      <c r="D53" s="464"/>
      <c r="E53" s="464"/>
      <c r="F53" s="464"/>
      <c r="G53" s="307">
        <v>2002</v>
      </c>
      <c r="H53" s="372">
        <v>100</v>
      </c>
      <c r="I53" s="462">
        <v>89</v>
      </c>
      <c r="J53" s="162" t="s">
        <v>261</v>
      </c>
      <c r="K53" s="164">
        <v>3</v>
      </c>
      <c r="L53" s="43"/>
    </row>
    <row r="54" spans="1:12" s="45" customFormat="1" ht="8.5500000000000007" customHeight="1" x14ac:dyDescent="0.2">
      <c r="A54" s="43"/>
      <c r="B54" s="463"/>
      <c r="C54" s="464"/>
      <c r="D54" s="464"/>
      <c r="E54" s="464"/>
      <c r="F54" s="464"/>
      <c r="G54" s="307"/>
      <c r="H54" s="372"/>
      <c r="I54" s="462"/>
      <c r="J54" s="163"/>
      <c r="K54" s="165"/>
      <c r="L54" s="43"/>
    </row>
    <row r="55" spans="1:12" s="45" customFormat="1" ht="8.5500000000000007" customHeight="1" x14ac:dyDescent="0.2">
      <c r="A55" s="43"/>
      <c r="B55" s="463" t="s">
        <v>442</v>
      </c>
      <c r="C55" s="464"/>
      <c r="D55" s="464"/>
      <c r="E55" s="464"/>
      <c r="F55" s="464"/>
      <c r="G55" s="307">
        <v>2009</v>
      </c>
      <c r="H55" s="372">
        <v>99</v>
      </c>
      <c r="I55" s="462"/>
      <c r="J55" s="162"/>
      <c r="K55" s="164">
        <v>1</v>
      </c>
      <c r="L55" s="43"/>
    </row>
    <row r="56" spans="1:12" s="45" customFormat="1" ht="8.5500000000000007" customHeight="1" x14ac:dyDescent="0.2">
      <c r="A56" s="43"/>
      <c r="B56" s="463"/>
      <c r="C56" s="464"/>
      <c r="D56" s="464"/>
      <c r="E56" s="464"/>
      <c r="F56" s="464"/>
      <c r="G56" s="307"/>
      <c r="H56" s="372"/>
      <c r="I56" s="462"/>
      <c r="J56" s="163"/>
      <c r="K56" s="165"/>
      <c r="L56" s="43"/>
    </row>
    <row r="57" spans="1:12" s="45" customFormat="1" ht="8.5500000000000007" customHeight="1" x14ac:dyDescent="0.2">
      <c r="A57" s="43"/>
      <c r="B57" s="463" t="s">
        <v>1516</v>
      </c>
      <c r="C57" s="464"/>
      <c r="D57" s="464"/>
      <c r="E57" s="464"/>
      <c r="F57" s="464"/>
      <c r="G57" s="307">
        <v>1996</v>
      </c>
      <c r="H57" s="372">
        <v>96</v>
      </c>
      <c r="I57" s="462"/>
      <c r="J57" s="162" t="s">
        <v>140</v>
      </c>
      <c r="K57" s="164">
        <v>2</v>
      </c>
      <c r="L57" s="43"/>
    </row>
    <row r="58" spans="1:12" s="45" customFormat="1" ht="8.5500000000000007" customHeight="1" x14ac:dyDescent="0.2">
      <c r="A58" s="43"/>
      <c r="B58" s="463"/>
      <c r="C58" s="464"/>
      <c r="D58" s="464"/>
      <c r="E58" s="464"/>
      <c r="F58" s="464"/>
      <c r="G58" s="307"/>
      <c r="H58" s="372"/>
      <c r="I58" s="462"/>
      <c r="J58" s="163"/>
      <c r="K58" s="165"/>
      <c r="L58" s="43"/>
    </row>
    <row r="59" spans="1:12" s="45" customFormat="1" ht="8.5500000000000007" customHeight="1" x14ac:dyDescent="0.2">
      <c r="A59" s="43"/>
      <c r="B59" s="463" t="s">
        <v>221</v>
      </c>
      <c r="C59" s="464"/>
      <c r="D59" s="464"/>
      <c r="E59" s="464"/>
      <c r="F59" s="464"/>
      <c r="G59" s="307">
        <v>1992</v>
      </c>
      <c r="H59" s="160"/>
      <c r="I59" s="462">
        <v>93</v>
      </c>
      <c r="J59" s="160"/>
      <c r="K59" s="164">
        <v>1</v>
      </c>
      <c r="L59" s="43"/>
    </row>
    <row r="60" spans="1:12" s="45" customFormat="1" ht="8.5500000000000007" customHeight="1" x14ac:dyDescent="0.2">
      <c r="A60" s="43"/>
      <c r="B60" s="463"/>
      <c r="C60" s="464"/>
      <c r="D60" s="464"/>
      <c r="E60" s="464"/>
      <c r="F60" s="464"/>
      <c r="G60" s="307"/>
      <c r="H60" s="161"/>
      <c r="I60" s="462"/>
      <c r="J60" s="161"/>
      <c r="K60" s="165"/>
      <c r="L60" s="43"/>
    </row>
    <row r="61" spans="1:12" s="45" customFormat="1" ht="8.5500000000000007" customHeight="1" x14ac:dyDescent="0.2">
      <c r="A61" s="43"/>
      <c r="B61" s="463" t="s">
        <v>209</v>
      </c>
      <c r="C61" s="464"/>
      <c r="D61" s="464"/>
      <c r="E61" s="464"/>
      <c r="F61" s="464"/>
      <c r="G61" s="307">
        <v>2002</v>
      </c>
      <c r="H61" s="372">
        <v>100</v>
      </c>
      <c r="I61" s="462">
        <v>94</v>
      </c>
      <c r="J61" s="162" t="s">
        <v>444</v>
      </c>
      <c r="K61" s="164">
        <v>2</v>
      </c>
      <c r="L61" s="43"/>
    </row>
    <row r="62" spans="1:12" s="45" customFormat="1" ht="8.5500000000000007" customHeight="1" x14ac:dyDescent="0.2">
      <c r="A62" s="43"/>
      <c r="B62" s="463"/>
      <c r="C62" s="464"/>
      <c r="D62" s="464"/>
      <c r="E62" s="464"/>
      <c r="F62" s="464"/>
      <c r="G62" s="307"/>
      <c r="H62" s="372"/>
      <c r="I62" s="462"/>
      <c r="J62" s="163"/>
      <c r="K62" s="165"/>
      <c r="L62" s="43"/>
    </row>
    <row r="63" spans="1:12" s="45" customFormat="1" ht="8.5500000000000007" customHeight="1" x14ac:dyDescent="0.2">
      <c r="A63" s="43"/>
      <c r="B63" s="463" t="s">
        <v>209</v>
      </c>
      <c r="C63" s="464"/>
      <c r="D63" s="464"/>
      <c r="E63" s="464"/>
      <c r="F63" s="464"/>
      <c r="G63" s="307">
        <v>2005</v>
      </c>
      <c r="H63" s="372">
        <v>95</v>
      </c>
      <c r="I63" s="462">
        <v>95</v>
      </c>
      <c r="J63" s="162" t="s">
        <v>337</v>
      </c>
      <c r="K63" s="164">
        <v>1</v>
      </c>
      <c r="L63" s="43"/>
    </row>
    <row r="64" spans="1:12" s="45" customFormat="1" ht="8.5500000000000007" customHeight="1" x14ac:dyDescent="0.2">
      <c r="A64" s="43"/>
      <c r="B64" s="463"/>
      <c r="C64" s="464"/>
      <c r="D64" s="464"/>
      <c r="E64" s="464"/>
      <c r="F64" s="464"/>
      <c r="G64" s="307"/>
      <c r="H64" s="372"/>
      <c r="I64" s="462"/>
      <c r="J64" s="163"/>
      <c r="K64" s="165"/>
      <c r="L64" s="43"/>
    </row>
    <row r="65" spans="1:12" s="45" customFormat="1" ht="8.5500000000000007" customHeight="1" x14ac:dyDescent="0.2">
      <c r="A65" s="43"/>
      <c r="B65" s="463" t="s">
        <v>210</v>
      </c>
      <c r="C65" s="464"/>
      <c r="D65" s="464"/>
      <c r="E65" s="464"/>
      <c r="F65" s="464"/>
      <c r="G65" s="307">
        <v>2005</v>
      </c>
      <c r="H65" s="372" t="s">
        <v>623</v>
      </c>
      <c r="I65" s="462">
        <v>97</v>
      </c>
      <c r="J65" s="162" t="s">
        <v>356</v>
      </c>
      <c r="K65" s="164">
        <v>1</v>
      </c>
      <c r="L65" s="43"/>
    </row>
    <row r="66" spans="1:12" s="45" customFormat="1" ht="8.5500000000000007" customHeight="1" x14ac:dyDescent="0.2">
      <c r="A66" s="43"/>
      <c r="B66" s="463"/>
      <c r="C66" s="464"/>
      <c r="D66" s="464"/>
      <c r="E66" s="464"/>
      <c r="F66" s="464"/>
      <c r="G66" s="307"/>
      <c r="H66" s="372"/>
      <c r="I66" s="462"/>
      <c r="J66" s="163"/>
      <c r="K66" s="165"/>
      <c r="L66" s="43"/>
    </row>
    <row r="67" spans="1:12" s="45" customFormat="1" ht="8.5500000000000007" customHeight="1" x14ac:dyDescent="0.2">
      <c r="A67" s="43"/>
      <c r="B67" s="463" t="s">
        <v>64</v>
      </c>
      <c r="C67" s="464"/>
      <c r="D67" s="464"/>
      <c r="E67" s="464"/>
      <c r="F67" s="464"/>
      <c r="G67" s="307">
        <v>1992</v>
      </c>
      <c r="H67" s="372" t="s">
        <v>68</v>
      </c>
      <c r="I67" s="462"/>
      <c r="J67" s="162" t="s">
        <v>400</v>
      </c>
      <c r="K67" s="164">
        <v>3</v>
      </c>
      <c r="L67" s="43"/>
    </row>
    <row r="68" spans="1:12" s="45" customFormat="1" ht="8.5500000000000007" customHeight="1" x14ac:dyDescent="0.2">
      <c r="A68" s="43"/>
      <c r="B68" s="463"/>
      <c r="C68" s="464"/>
      <c r="D68" s="464"/>
      <c r="E68" s="464"/>
      <c r="F68" s="464"/>
      <c r="G68" s="307"/>
      <c r="H68" s="372"/>
      <c r="I68" s="462"/>
      <c r="J68" s="163"/>
      <c r="K68" s="165"/>
      <c r="L68" s="43"/>
    </row>
    <row r="69" spans="1:12" s="45" customFormat="1" ht="8.5500000000000007" customHeight="1" x14ac:dyDescent="0.2">
      <c r="A69" s="43"/>
      <c r="B69" s="463" t="s">
        <v>64</v>
      </c>
      <c r="C69" s="464"/>
      <c r="D69" s="464"/>
      <c r="E69" s="464"/>
      <c r="F69" s="464"/>
      <c r="G69" s="307">
        <v>1993</v>
      </c>
      <c r="H69" s="372">
        <v>96</v>
      </c>
      <c r="I69" s="462">
        <v>94</v>
      </c>
      <c r="J69" s="162" t="s">
        <v>357</v>
      </c>
      <c r="K69" s="164">
        <v>4</v>
      </c>
      <c r="L69" s="43"/>
    </row>
    <row r="70" spans="1:12" s="45" customFormat="1" ht="8.5500000000000007" customHeight="1" x14ac:dyDescent="0.2">
      <c r="A70" s="43"/>
      <c r="B70" s="463"/>
      <c r="C70" s="464"/>
      <c r="D70" s="464"/>
      <c r="E70" s="464"/>
      <c r="F70" s="464"/>
      <c r="G70" s="307"/>
      <c r="H70" s="372"/>
      <c r="I70" s="462"/>
      <c r="J70" s="163"/>
      <c r="K70" s="165"/>
      <c r="L70" s="43"/>
    </row>
    <row r="71" spans="1:12" s="45" customFormat="1" ht="8.5500000000000007" customHeight="1" x14ac:dyDescent="0.2">
      <c r="A71" s="43"/>
      <c r="B71" s="463" t="s">
        <v>1522</v>
      </c>
      <c r="C71" s="464"/>
      <c r="D71" s="464"/>
      <c r="E71" s="464"/>
      <c r="F71" s="464"/>
      <c r="G71" s="307">
        <v>1994</v>
      </c>
      <c r="H71" s="372">
        <v>95</v>
      </c>
      <c r="I71" s="462"/>
      <c r="J71" s="162" t="s">
        <v>921</v>
      </c>
      <c r="K71" s="164">
        <v>3</v>
      </c>
      <c r="L71" s="43"/>
    </row>
    <row r="72" spans="1:12" s="45" customFormat="1" ht="8.5500000000000007" customHeight="1" x14ac:dyDescent="0.2">
      <c r="A72" s="43"/>
      <c r="B72" s="463"/>
      <c r="C72" s="464"/>
      <c r="D72" s="464"/>
      <c r="E72" s="464"/>
      <c r="F72" s="464"/>
      <c r="G72" s="307"/>
      <c r="H72" s="372"/>
      <c r="I72" s="462"/>
      <c r="J72" s="163"/>
      <c r="K72" s="165"/>
      <c r="L72" s="43"/>
    </row>
    <row r="73" spans="1:12" s="45" customFormat="1" ht="8.5500000000000007" customHeight="1" x14ac:dyDescent="0.2">
      <c r="A73" s="43"/>
      <c r="B73" s="463" t="s">
        <v>657</v>
      </c>
      <c r="C73" s="464"/>
      <c r="D73" s="464"/>
      <c r="E73" s="464"/>
      <c r="F73" s="464"/>
      <c r="G73" s="307">
        <v>1994</v>
      </c>
      <c r="H73" s="372">
        <v>95</v>
      </c>
      <c r="I73" s="462"/>
      <c r="J73" s="162" t="s">
        <v>921</v>
      </c>
      <c r="K73" s="164">
        <v>2</v>
      </c>
      <c r="L73" s="43"/>
    </row>
    <row r="74" spans="1:12" s="45" customFormat="1" ht="8.5500000000000007" customHeight="1" x14ac:dyDescent="0.2">
      <c r="A74" s="43"/>
      <c r="B74" s="463"/>
      <c r="C74" s="464"/>
      <c r="D74" s="464"/>
      <c r="E74" s="464"/>
      <c r="F74" s="464"/>
      <c r="G74" s="307"/>
      <c r="H74" s="372"/>
      <c r="I74" s="462"/>
      <c r="J74" s="163"/>
      <c r="K74" s="165"/>
      <c r="L74" s="43"/>
    </row>
    <row r="75" spans="1:12" s="45" customFormat="1" ht="8.5500000000000007" customHeight="1" x14ac:dyDescent="0.2">
      <c r="A75" s="43"/>
      <c r="B75" s="463" t="s">
        <v>657</v>
      </c>
      <c r="C75" s="464"/>
      <c r="D75" s="464"/>
      <c r="E75" s="464"/>
      <c r="F75" s="464"/>
      <c r="G75" s="307">
        <v>1995</v>
      </c>
      <c r="H75" s="372">
        <v>98</v>
      </c>
      <c r="I75" s="462">
        <v>94</v>
      </c>
      <c r="J75" s="162" t="s">
        <v>445</v>
      </c>
      <c r="K75" s="164">
        <v>1</v>
      </c>
      <c r="L75" s="43"/>
    </row>
    <row r="76" spans="1:12" s="45" customFormat="1" ht="8.5500000000000007" customHeight="1" x14ac:dyDescent="0.2">
      <c r="A76" s="43"/>
      <c r="B76" s="463"/>
      <c r="C76" s="464"/>
      <c r="D76" s="464"/>
      <c r="E76" s="464"/>
      <c r="F76" s="464"/>
      <c r="G76" s="307"/>
      <c r="H76" s="372"/>
      <c r="I76" s="462"/>
      <c r="J76" s="163"/>
      <c r="K76" s="165"/>
      <c r="L76" s="43"/>
    </row>
    <row r="77" spans="1:12" s="45" customFormat="1" ht="8.5500000000000007" customHeight="1" x14ac:dyDescent="0.2">
      <c r="A77" s="43"/>
      <c r="B77" s="463" t="s">
        <v>64</v>
      </c>
      <c r="C77" s="464"/>
      <c r="D77" s="464"/>
      <c r="E77" s="464"/>
      <c r="F77" s="464"/>
      <c r="G77" s="307">
        <v>1995</v>
      </c>
      <c r="H77" s="372">
        <v>98</v>
      </c>
      <c r="I77" s="462">
        <v>94</v>
      </c>
      <c r="J77" s="162" t="s">
        <v>445</v>
      </c>
      <c r="K77" s="164">
        <v>4</v>
      </c>
      <c r="L77" s="43"/>
    </row>
    <row r="78" spans="1:12" s="45" customFormat="1" ht="8.5500000000000007" customHeight="1" x14ac:dyDescent="0.2">
      <c r="A78" s="43"/>
      <c r="B78" s="463"/>
      <c r="C78" s="464"/>
      <c r="D78" s="464"/>
      <c r="E78" s="464"/>
      <c r="F78" s="464"/>
      <c r="G78" s="307"/>
      <c r="H78" s="372"/>
      <c r="I78" s="462"/>
      <c r="J78" s="163"/>
      <c r="K78" s="165"/>
      <c r="L78" s="43"/>
    </row>
    <row r="79" spans="1:12" s="45" customFormat="1" ht="8.5500000000000007" customHeight="1" x14ac:dyDescent="0.2">
      <c r="A79" s="43"/>
      <c r="B79" s="463" t="s">
        <v>64</v>
      </c>
      <c r="C79" s="464"/>
      <c r="D79" s="464"/>
      <c r="E79" s="464"/>
      <c r="F79" s="464"/>
      <c r="G79" s="307">
        <v>1996</v>
      </c>
      <c r="H79" s="372">
        <v>94</v>
      </c>
      <c r="I79" s="462">
        <v>94</v>
      </c>
      <c r="J79" s="162" t="s">
        <v>359</v>
      </c>
      <c r="K79" s="164">
        <v>1</v>
      </c>
      <c r="L79" s="43"/>
    </row>
    <row r="80" spans="1:12" s="45" customFormat="1" ht="8.5500000000000007" customHeight="1" x14ac:dyDescent="0.2">
      <c r="A80" s="43"/>
      <c r="B80" s="463"/>
      <c r="C80" s="464"/>
      <c r="D80" s="464"/>
      <c r="E80" s="464"/>
      <c r="F80" s="464"/>
      <c r="G80" s="307"/>
      <c r="H80" s="372"/>
      <c r="I80" s="462"/>
      <c r="J80" s="163"/>
      <c r="K80" s="165"/>
      <c r="L80" s="43"/>
    </row>
    <row r="81" spans="1:12" s="45" customFormat="1" ht="8.5500000000000007" customHeight="1" x14ac:dyDescent="0.2">
      <c r="A81" s="43"/>
      <c r="B81" s="463" t="s">
        <v>64</v>
      </c>
      <c r="C81" s="464"/>
      <c r="D81" s="464"/>
      <c r="E81" s="464"/>
      <c r="F81" s="464"/>
      <c r="G81" s="307">
        <v>1997</v>
      </c>
      <c r="H81" s="372">
        <v>92</v>
      </c>
      <c r="I81" s="462">
        <v>94</v>
      </c>
      <c r="J81" s="162" t="s">
        <v>400</v>
      </c>
      <c r="K81" s="164">
        <v>2</v>
      </c>
      <c r="L81" s="43"/>
    </row>
    <row r="82" spans="1:12" s="45" customFormat="1" ht="8.5500000000000007" customHeight="1" x14ac:dyDescent="0.2">
      <c r="A82" s="43"/>
      <c r="B82" s="463"/>
      <c r="C82" s="464"/>
      <c r="D82" s="464"/>
      <c r="E82" s="464"/>
      <c r="F82" s="464"/>
      <c r="G82" s="307"/>
      <c r="H82" s="372"/>
      <c r="I82" s="462"/>
      <c r="J82" s="163"/>
      <c r="K82" s="165"/>
      <c r="L82" s="43"/>
    </row>
    <row r="83" spans="1:12" s="45" customFormat="1" ht="8.5500000000000007" customHeight="1" x14ac:dyDescent="0.2">
      <c r="A83" s="43"/>
      <c r="B83" s="463" t="s">
        <v>64</v>
      </c>
      <c r="C83" s="464"/>
      <c r="D83" s="464"/>
      <c r="E83" s="464"/>
      <c r="F83" s="464"/>
      <c r="G83" s="307">
        <v>1999</v>
      </c>
      <c r="H83" s="372">
        <v>95</v>
      </c>
      <c r="I83" s="462"/>
      <c r="J83" s="162" t="s">
        <v>400</v>
      </c>
      <c r="K83" s="164">
        <v>1</v>
      </c>
      <c r="L83" s="43"/>
    </row>
    <row r="84" spans="1:12" s="45" customFormat="1" ht="8.5500000000000007" customHeight="1" x14ac:dyDescent="0.2">
      <c r="A84" s="43"/>
      <c r="B84" s="463"/>
      <c r="C84" s="464"/>
      <c r="D84" s="464"/>
      <c r="E84" s="464"/>
      <c r="F84" s="464"/>
      <c r="G84" s="307"/>
      <c r="H84" s="372"/>
      <c r="I84" s="462"/>
      <c r="J84" s="163"/>
      <c r="K84" s="165"/>
      <c r="L84" s="43"/>
    </row>
    <row r="85" spans="1:12" s="45" customFormat="1" ht="8.5500000000000007" customHeight="1" x14ac:dyDescent="0.2">
      <c r="A85" s="43"/>
      <c r="B85" s="463" t="s">
        <v>657</v>
      </c>
      <c r="C85" s="464"/>
      <c r="D85" s="464"/>
      <c r="E85" s="464"/>
      <c r="F85" s="464"/>
      <c r="G85" s="307">
        <v>2000</v>
      </c>
      <c r="H85" s="372">
        <v>91</v>
      </c>
      <c r="I85" s="462"/>
      <c r="J85" s="162"/>
      <c r="K85" s="164">
        <v>1</v>
      </c>
      <c r="L85" s="43"/>
    </row>
    <row r="86" spans="1:12" s="45" customFormat="1" ht="8.5500000000000007" customHeight="1" x14ac:dyDescent="0.2">
      <c r="A86" s="43"/>
      <c r="B86" s="463"/>
      <c r="C86" s="464"/>
      <c r="D86" s="464"/>
      <c r="E86" s="464"/>
      <c r="F86" s="464"/>
      <c r="G86" s="307"/>
      <c r="H86" s="372"/>
      <c r="I86" s="462"/>
      <c r="J86" s="163"/>
      <c r="K86" s="165"/>
      <c r="L86" s="43"/>
    </row>
    <row r="87" spans="1:12" s="45" customFormat="1" ht="8.5500000000000007" customHeight="1" x14ac:dyDescent="0.2">
      <c r="A87" s="43"/>
      <c r="B87" s="463" t="s">
        <v>64</v>
      </c>
      <c r="C87" s="464"/>
      <c r="D87" s="464"/>
      <c r="E87" s="464"/>
      <c r="F87" s="464"/>
      <c r="G87" s="307">
        <v>2001</v>
      </c>
      <c r="H87" s="372">
        <v>99</v>
      </c>
      <c r="I87" s="462" t="s">
        <v>58</v>
      </c>
      <c r="J87" s="162" t="s">
        <v>136</v>
      </c>
      <c r="K87" s="164">
        <v>3</v>
      </c>
      <c r="L87" s="43"/>
    </row>
    <row r="88" spans="1:12" s="45" customFormat="1" ht="8.5500000000000007" customHeight="1" x14ac:dyDescent="0.2">
      <c r="A88" s="43"/>
      <c r="B88" s="463"/>
      <c r="C88" s="464"/>
      <c r="D88" s="464"/>
      <c r="E88" s="464"/>
      <c r="F88" s="464"/>
      <c r="G88" s="307"/>
      <c r="H88" s="372"/>
      <c r="I88" s="462"/>
      <c r="J88" s="163"/>
      <c r="K88" s="165"/>
      <c r="L88" s="43"/>
    </row>
    <row r="89" spans="1:12" s="45" customFormat="1" ht="8.5500000000000007" customHeight="1" x14ac:dyDescent="0.2">
      <c r="A89" s="43"/>
      <c r="B89" s="463" t="s">
        <v>657</v>
      </c>
      <c r="C89" s="464"/>
      <c r="D89" s="464"/>
      <c r="E89" s="464"/>
      <c r="F89" s="464"/>
      <c r="G89" s="307">
        <v>2001</v>
      </c>
      <c r="H89" s="372">
        <v>99</v>
      </c>
      <c r="I89" s="462" t="s">
        <v>58</v>
      </c>
      <c r="J89" s="162" t="s">
        <v>136</v>
      </c>
      <c r="K89" s="164">
        <v>1</v>
      </c>
      <c r="L89" s="43"/>
    </row>
    <row r="90" spans="1:12" s="45" customFormat="1" ht="8.5500000000000007" customHeight="1" x14ac:dyDescent="0.2">
      <c r="A90" s="43"/>
      <c r="B90" s="463"/>
      <c r="C90" s="464"/>
      <c r="D90" s="464"/>
      <c r="E90" s="464"/>
      <c r="F90" s="464"/>
      <c r="G90" s="307"/>
      <c r="H90" s="372"/>
      <c r="I90" s="462"/>
      <c r="J90" s="163"/>
      <c r="K90" s="165"/>
      <c r="L90" s="43"/>
    </row>
    <row r="91" spans="1:12" s="45" customFormat="1" ht="8.5500000000000007" customHeight="1" x14ac:dyDescent="0.2">
      <c r="A91" s="43"/>
      <c r="B91" s="463" t="s">
        <v>64</v>
      </c>
      <c r="C91" s="464"/>
      <c r="D91" s="464"/>
      <c r="E91" s="464"/>
      <c r="F91" s="464"/>
      <c r="G91" s="307">
        <v>2005</v>
      </c>
      <c r="H91" s="372">
        <v>98</v>
      </c>
      <c r="I91" s="462">
        <v>92</v>
      </c>
      <c r="J91" s="162" t="s">
        <v>193</v>
      </c>
      <c r="K91" s="164">
        <v>2</v>
      </c>
      <c r="L91" s="43"/>
    </row>
    <row r="92" spans="1:12" s="45" customFormat="1" ht="8.5500000000000007" customHeight="1" x14ac:dyDescent="0.2">
      <c r="A92" s="43"/>
      <c r="B92" s="463"/>
      <c r="C92" s="464"/>
      <c r="D92" s="464"/>
      <c r="E92" s="464"/>
      <c r="F92" s="464"/>
      <c r="G92" s="307"/>
      <c r="H92" s="372"/>
      <c r="I92" s="462"/>
      <c r="J92" s="163"/>
      <c r="K92" s="165"/>
      <c r="L92" s="43"/>
    </row>
    <row r="93" spans="1:12" s="45" customFormat="1" ht="8.5500000000000007" customHeight="1" x14ac:dyDescent="0.2">
      <c r="A93" s="43"/>
      <c r="B93" s="463" t="s">
        <v>211</v>
      </c>
      <c r="C93" s="464"/>
      <c r="D93" s="464"/>
      <c r="E93" s="464"/>
      <c r="F93" s="464"/>
      <c r="G93" s="307">
        <v>1979</v>
      </c>
      <c r="H93" s="372">
        <v>92</v>
      </c>
      <c r="I93" s="462"/>
      <c r="J93" s="162"/>
      <c r="K93" s="164">
        <v>1</v>
      </c>
      <c r="L93" s="43"/>
    </row>
    <row r="94" spans="1:12" s="45" customFormat="1" ht="8.5500000000000007" customHeight="1" x14ac:dyDescent="0.2">
      <c r="A94" s="43"/>
      <c r="B94" s="463"/>
      <c r="C94" s="464"/>
      <c r="D94" s="464"/>
      <c r="E94" s="464"/>
      <c r="F94" s="464"/>
      <c r="G94" s="307"/>
      <c r="H94" s="372"/>
      <c r="I94" s="462"/>
      <c r="J94" s="163"/>
      <c r="K94" s="165"/>
      <c r="L94" s="43"/>
    </row>
    <row r="95" spans="1:12" s="45" customFormat="1" ht="8.5500000000000007" customHeight="1" x14ac:dyDescent="0.2">
      <c r="A95" s="43"/>
      <c r="B95" s="463" t="s">
        <v>720</v>
      </c>
      <c r="C95" s="464"/>
      <c r="D95" s="464"/>
      <c r="E95" s="464"/>
      <c r="F95" s="464"/>
      <c r="G95" s="307">
        <v>2001</v>
      </c>
      <c r="H95" s="372">
        <v>99</v>
      </c>
      <c r="I95" s="462">
        <v>95</v>
      </c>
      <c r="J95" s="162" t="s">
        <v>136</v>
      </c>
      <c r="K95" s="164">
        <v>1</v>
      </c>
      <c r="L95" s="43"/>
    </row>
    <row r="96" spans="1:12" s="45" customFormat="1" ht="8.5500000000000007" customHeight="1" x14ac:dyDescent="0.2">
      <c r="A96" s="43"/>
      <c r="B96" s="463"/>
      <c r="C96" s="464"/>
      <c r="D96" s="464"/>
      <c r="E96" s="464"/>
      <c r="F96" s="464"/>
      <c r="G96" s="307"/>
      <c r="H96" s="372"/>
      <c r="I96" s="462"/>
      <c r="J96" s="163"/>
      <c r="K96" s="165"/>
      <c r="L96" s="43"/>
    </row>
    <row r="97" spans="1:12" s="45" customFormat="1" ht="8.5500000000000007" customHeight="1" x14ac:dyDescent="0.2">
      <c r="A97" s="43"/>
      <c r="B97" s="463" t="s">
        <v>211</v>
      </c>
      <c r="C97" s="464"/>
      <c r="D97" s="464"/>
      <c r="E97" s="464"/>
      <c r="F97" s="464"/>
      <c r="G97" s="307">
        <v>2004</v>
      </c>
      <c r="H97" s="372">
        <v>95</v>
      </c>
      <c r="I97" s="462">
        <v>94</v>
      </c>
      <c r="J97" s="162" t="s">
        <v>224</v>
      </c>
      <c r="K97" s="164">
        <v>1</v>
      </c>
      <c r="L97" s="43"/>
    </row>
    <row r="98" spans="1:12" s="45" customFormat="1" ht="8.5500000000000007" customHeight="1" x14ac:dyDescent="0.2">
      <c r="A98" s="43"/>
      <c r="B98" s="463"/>
      <c r="C98" s="464"/>
      <c r="D98" s="464"/>
      <c r="E98" s="464"/>
      <c r="F98" s="464"/>
      <c r="G98" s="307"/>
      <c r="H98" s="372"/>
      <c r="I98" s="462"/>
      <c r="J98" s="163"/>
      <c r="K98" s="165"/>
      <c r="L98" s="43"/>
    </row>
    <row r="99" spans="1:12" s="45" customFormat="1" ht="8.5500000000000007" customHeight="1" x14ac:dyDescent="0.2">
      <c r="A99" s="43"/>
      <c r="B99" s="463" t="s">
        <v>720</v>
      </c>
      <c r="C99" s="464"/>
      <c r="D99" s="464"/>
      <c r="E99" s="464"/>
      <c r="F99" s="464"/>
      <c r="G99" s="307">
        <v>2008</v>
      </c>
      <c r="H99" s="372">
        <v>94</v>
      </c>
      <c r="I99" s="462"/>
      <c r="J99" s="162" t="s">
        <v>256</v>
      </c>
      <c r="K99" s="164">
        <v>2</v>
      </c>
      <c r="L99" s="43"/>
    </row>
    <row r="100" spans="1:12" s="45" customFormat="1" ht="8.5500000000000007" customHeight="1" x14ac:dyDescent="0.2">
      <c r="A100" s="43"/>
      <c r="B100" s="463"/>
      <c r="C100" s="464"/>
      <c r="D100" s="464"/>
      <c r="E100" s="464"/>
      <c r="F100" s="464"/>
      <c r="G100" s="307"/>
      <c r="H100" s="372"/>
      <c r="I100" s="462"/>
      <c r="J100" s="163"/>
      <c r="K100" s="165"/>
      <c r="L100" s="43"/>
    </row>
    <row r="101" spans="1:12" s="45" customFormat="1" ht="8.5500000000000007" customHeight="1" x14ac:dyDescent="0.2">
      <c r="A101" s="43"/>
      <c r="B101" s="463" t="s">
        <v>608</v>
      </c>
      <c r="C101" s="464"/>
      <c r="D101" s="464"/>
      <c r="E101" s="464"/>
      <c r="F101" s="464"/>
      <c r="G101" s="307">
        <v>1990</v>
      </c>
      <c r="H101" s="372">
        <v>92</v>
      </c>
      <c r="I101" s="462"/>
      <c r="J101" s="162" t="s">
        <v>1615</v>
      </c>
      <c r="K101" s="164">
        <v>3</v>
      </c>
      <c r="L101" s="43"/>
    </row>
    <row r="102" spans="1:12" s="45" customFormat="1" ht="8.5500000000000007" customHeight="1" x14ac:dyDescent="0.2">
      <c r="A102" s="43"/>
      <c r="B102" s="463"/>
      <c r="C102" s="464"/>
      <c r="D102" s="464"/>
      <c r="E102" s="464"/>
      <c r="F102" s="464"/>
      <c r="G102" s="307"/>
      <c r="H102" s="372"/>
      <c r="I102" s="462"/>
      <c r="J102" s="163"/>
      <c r="K102" s="165"/>
      <c r="L102" s="43"/>
    </row>
    <row r="103" spans="1:12" s="45" customFormat="1" ht="8.5500000000000007" customHeight="1" x14ac:dyDescent="0.2">
      <c r="A103" s="43"/>
      <c r="B103" s="463" t="s">
        <v>608</v>
      </c>
      <c r="C103" s="464"/>
      <c r="D103" s="464"/>
      <c r="E103" s="464"/>
      <c r="F103" s="464"/>
      <c r="G103" s="307">
        <v>1991</v>
      </c>
      <c r="H103" s="372">
        <v>96</v>
      </c>
      <c r="I103" s="462"/>
      <c r="J103" s="162" t="s">
        <v>259</v>
      </c>
      <c r="K103" s="164">
        <v>2</v>
      </c>
      <c r="L103" s="43"/>
    </row>
    <row r="104" spans="1:12" s="45" customFormat="1" ht="8.5500000000000007" customHeight="1" x14ac:dyDescent="0.2">
      <c r="A104" s="43"/>
      <c r="B104" s="463"/>
      <c r="C104" s="464"/>
      <c r="D104" s="464"/>
      <c r="E104" s="464"/>
      <c r="F104" s="464"/>
      <c r="G104" s="307"/>
      <c r="H104" s="372"/>
      <c r="I104" s="462"/>
      <c r="J104" s="163"/>
      <c r="K104" s="165"/>
      <c r="L104" s="43"/>
    </row>
    <row r="105" spans="1:12" s="45" customFormat="1" ht="8.5500000000000007" customHeight="1" x14ac:dyDescent="0.2">
      <c r="A105" s="43"/>
      <c r="B105" s="463" t="s">
        <v>608</v>
      </c>
      <c r="C105" s="464"/>
      <c r="D105" s="464"/>
      <c r="E105" s="464"/>
      <c r="F105" s="464"/>
      <c r="G105" s="307">
        <v>1992</v>
      </c>
      <c r="H105" s="372">
        <v>95</v>
      </c>
      <c r="I105" s="462"/>
      <c r="J105" s="162" t="s">
        <v>323</v>
      </c>
      <c r="K105" s="164">
        <v>2</v>
      </c>
      <c r="L105" s="43"/>
    </row>
    <row r="106" spans="1:12" s="45" customFormat="1" ht="8.5500000000000007" customHeight="1" x14ac:dyDescent="0.2">
      <c r="A106" s="43"/>
      <c r="B106" s="463"/>
      <c r="C106" s="464"/>
      <c r="D106" s="464"/>
      <c r="E106" s="464"/>
      <c r="F106" s="464"/>
      <c r="G106" s="307"/>
      <c r="H106" s="372"/>
      <c r="I106" s="462"/>
      <c r="J106" s="163"/>
      <c r="K106" s="165"/>
      <c r="L106" s="43"/>
    </row>
    <row r="107" spans="1:12" s="45" customFormat="1" ht="8.5500000000000007" customHeight="1" x14ac:dyDescent="0.2">
      <c r="A107" s="43"/>
      <c r="B107" s="463" t="s">
        <v>608</v>
      </c>
      <c r="C107" s="464"/>
      <c r="D107" s="464"/>
      <c r="E107" s="464"/>
      <c r="F107" s="464"/>
      <c r="G107" s="307">
        <v>1994</v>
      </c>
      <c r="H107" s="372">
        <v>96</v>
      </c>
      <c r="I107" s="462">
        <v>93</v>
      </c>
      <c r="J107" s="162" t="s">
        <v>323</v>
      </c>
      <c r="K107" s="164">
        <v>2</v>
      </c>
      <c r="L107" s="43"/>
    </row>
    <row r="108" spans="1:12" s="45" customFormat="1" ht="8.5500000000000007" customHeight="1" x14ac:dyDescent="0.2">
      <c r="A108" s="43"/>
      <c r="B108" s="463"/>
      <c r="C108" s="464"/>
      <c r="D108" s="464"/>
      <c r="E108" s="464"/>
      <c r="F108" s="464"/>
      <c r="G108" s="307"/>
      <c r="H108" s="372"/>
      <c r="I108" s="462"/>
      <c r="J108" s="163"/>
      <c r="K108" s="165"/>
      <c r="L108" s="43"/>
    </row>
    <row r="109" spans="1:12" s="45" customFormat="1" ht="8.5500000000000007" customHeight="1" x14ac:dyDescent="0.2">
      <c r="A109" s="43"/>
      <c r="B109" s="463" t="s">
        <v>608</v>
      </c>
      <c r="C109" s="464"/>
      <c r="D109" s="464"/>
      <c r="E109" s="464"/>
      <c r="F109" s="464"/>
      <c r="G109" s="307">
        <v>1995</v>
      </c>
      <c r="H109" s="372">
        <v>98</v>
      </c>
      <c r="I109" s="462">
        <v>93</v>
      </c>
      <c r="J109" s="162" t="s">
        <v>323</v>
      </c>
      <c r="K109" s="164">
        <v>1</v>
      </c>
      <c r="L109" s="43"/>
    </row>
    <row r="110" spans="1:12" s="45" customFormat="1" ht="8.5500000000000007" customHeight="1" x14ac:dyDescent="0.2">
      <c r="A110" s="43"/>
      <c r="B110" s="463"/>
      <c r="C110" s="464"/>
      <c r="D110" s="464"/>
      <c r="E110" s="464"/>
      <c r="F110" s="464"/>
      <c r="G110" s="307"/>
      <c r="H110" s="372"/>
      <c r="I110" s="462"/>
      <c r="J110" s="163"/>
      <c r="K110" s="165"/>
      <c r="L110" s="43"/>
    </row>
    <row r="111" spans="1:12" s="45" customFormat="1" ht="8.5500000000000007" customHeight="1" x14ac:dyDescent="0.2">
      <c r="A111" s="43"/>
      <c r="B111" s="463" t="s">
        <v>608</v>
      </c>
      <c r="C111" s="464"/>
      <c r="D111" s="464"/>
      <c r="E111" s="464"/>
      <c r="F111" s="464"/>
      <c r="G111" s="307">
        <v>1996</v>
      </c>
      <c r="H111" s="372">
        <v>93</v>
      </c>
      <c r="I111" s="462">
        <v>92</v>
      </c>
      <c r="J111" s="162" t="s">
        <v>855</v>
      </c>
      <c r="K111" s="164">
        <v>2</v>
      </c>
      <c r="L111" s="43"/>
    </row>
    <row r="112" spans="1:12" s="45" customFormat="1" ht="8.5500000000000007" customHeight="1" x14ac:dyDescent="0.2">
      <c r="A112" s="43"/>
      <c r="B112" s="463"/>
      <c r="C112" s="464"/>
      <c r="D112" s="464"/>
      <c r="E112" s="464"/>
      <c r="F112" s="464"/>
      <c r="G112" s="307"/>
      <c r="H112" s="372"/>
      <c r="I112" s="462"/>
      <c r="J112" s="163"/>
      <c r="K112" s="165"/>
      <c r="L112" s="43"/>
    </row>
    <row r="113" spans="1:12" s="45" customFormat="1" ht="8.5500000000000007" customHeight="1" x14ac:dyDescent="0.2">
      <c r="A113" s="43"/>
      <c r="B113" s="463" t="s">
        <v>608</v>
      </c>
      <c r="C113" s="464"/>
      <c r="D113" s="464"/>
      <c r="E113" s="464"/>
      <c r="F113" s="464"/>
      <c r="G113" s="307">
        <v>1997</v>
      </c>
      <c r="H113" s="372">
        <v>96</v>
      </c>
      <c r="I113" s="462" t="s">
        <v>58</v>
      </c>
      <c r="J113" s="162" t="s">
        <v>95</v>
      </c>
      <c r="K113" s="164">
        <v>2</v>
      </c>
      <c r="L113" s="43"/>
    </row>
    <row r="114" spans="1:12" s="45" customFormat="1" ht="8.5500000000000007" customHeight="1" x14ac:dyDescent="0.2">
      <c r="A114" s="43"/>
      <c r="B114" s="463"/>
      <c r="C114" s="464"/>
      <c r="D114" s="464"/>
      <c r="E114" s="464"/>
      <c r="F114" s="464"/>
      <c r="G114" s="307"/>
      <c r="H114" s="372"/>
      <c r="I114" s="462"/>
      <c r="J114" s="163"/>
      <c r="K114" s="165"/>
      <c r="L114" s="43"/>
    </row>
    <row r="115" spans="1:12" s="45" customFormat="1" ht="8.5500000000000007" customHeight="1" x14ac:dyDescent="0.2">
      <c r="A115" s="43"/>
      <c r="B115" s="463" t="s">
        <v>608</v>
      </c>
      <c r="C115" s="464"/>
      <c r="D115" s="464"/>
      <c r="E115" s="464"/>
      <c r="F115" s="464"/>
      <c r="G115" s="307">
        <v>1999</v>
      </c>
      <c r="H115" s="372">
        <v>97</v>
      </c>
      <c r="I115" s="462">
        <v>94</v>
      </c>
      <c r="J115" s="162" t="s">
        <v>359</v>
      </c>
      <c r="K115" s="164">
        <v>1</v>
      </c>
      <c r="L115" s="43"/>
    </row>
    <row r="116" spans="1:12" s="45" customFormat="1" ht="8.5500000000000007" customHeight="1" x14ac:dyDescent="0.2">
      <c r="A116" s="43"/>
      <c r="B116" s="463"/>
      <c r="C116" s="464"/>
      <c r="D116" s="464"/>
      <c r="E116" s="464"/>
      <c r="F116" s="464"/>
      <c r="G116" s="307"/>
      <c r="H116" s="372"/>
      <c r="I116" s="462"/>
      <c r="J116" s="163"/>
      <c r="K116" s="165"/>
      <c r="L116" s="43"/>
    </row>
    <row r="117" spans="1:12" s="45" customFormat="1" ht="8.5500000000000007" customHeight="1" x14ac:dyDescent="0.2">
      <c r="A117" s="43"/>
      <c r="B117" s="463" t="s">
        <v>608</v>
      </c>
      <c r="C117" s="464"/>
      <c r="D117" s="464"/>
      <c r="E117" s="464"/>
      <c r="F117" s="464"/>
      <c r="G117" s="307">
        <v>2001</v>
      </c>
      <c r="H117" s="372">
        <v>100</v>
      </c>
      <c r="I117" s="462">
        <v>96</v>
      </c>
      <c r="J117" s="162" t="s">
        <v>446</v>
      </c>
      <c r="K117" s="164">
        <v>2</v>
      </c>
      <c r="L117" s="43"/>
    </row>
    <row r="118" spans="1:12" s="45" customFormat="1" ht="8.5500000000000007" customHeight="1" x14ac:dyDescent="0.2">
      <c r="A118" s="43"/>
      <c r="B118" s="463"/>
      <c r="C118" s="464"/>
      <c r="D118" s="464"/>
      <c r="E118" s="464"/>
      <c r="F118" s="464"/>
      <c r="G118" s="307"/>
      <c r="H118" s="372"/>
      <c r="I118" s="462"/>
      <c r="J118" s="163"/>
      <c r="K118" s="165"/>
      <c r="L118" s="43"/>
    </row>
    <row r="119" spans="1:12" s="45" customFormat="1" ht="8.5500000000000007" customHeight="1" x14ac:dyDescent="0.2">
      <c r="A119" s="43"/>
      <c r="B119" s="183" t="s">
        <v>671</v>
      </c>
      <c r="C119" s="183"/>
      <c r="D119" s="183"/>
      <c r="E119" s="183"/>
      <c r="F119" s="184"/>
      <c r="G119" s="307">
        <v>2002</v>
      </c>
      <c r="H119" s="372">
        <v>100</v>
      </c>
      <c r="I119" s="462">
        <v>97</v>
      </c>
      <c r="J119" s="162" t="s">
        <v>387</v>
      </c>
      <c r="K119" s="164">
        <v>1</v>
      </c>
      <c r="L119" s="43"/>
    </row>
    <row r="120" spans="1:12" s="45" customFormat="1" ht="8.5500000000000007" customHeight="1" x14ac:dyDescent="0.2">
      <c r="A120" s="43"/>
      <c r="B120" s="185"/>
      <c r="C120" s="185"/>
      <c r="D120" s="185"/>
      <c r="E120" s="185"/>
      <c r="F120" s="186"/>
      <c r="G120" s="307"/>
      <c r="H120" s="372"/>
      <c r="I120" s="462"/>
      <c r="J120" s="163"/>
      <c r="K120" s="165"/>
      <c r="L120" s="43"/>
    </row>
    <row r="121" spans="1:12" s="45" customFormat="1" ht="8.5500000000000007" customHeight="1" x14ac:dyDescent="0.2">
      <c r="A121" s="43"/>
      <c r="B121" s="463" t="s">
        <v>608</v>
      </c>
      <c r="C121" s="464"/>
      <c r="D121" s="464"/>
      <c r="E121" s="464"/>
      <c r="F121" s="464"/>
      <c r="G121" s="307">
        <v>2005</v>
      </c>
      <c r="H121" s="372">
        <v>97</v>
      </c>
      <c r="I121" s="462">
        <v>92</v>
      </c>
      <c r="J121" s="162" t="s">
        <v>292</v>
      </c>
      <c r="K121" s="164">
        <v>2</v>
      </c>
      <c r="L121" s="43"/>
    </row>
    <row r="122" spans="1:12" s="45" customFormat="1" ht="8.5500000000000007" customHeight="1" x14ac:dyDescent="0.2">
      <c r="A122" s="43"/>
      <c r="B122" s="463"/>
      <c r="C122" s="464"/>
      <c r="D122" s="464"/>
      <c r="E122" s="464"/>
      <c r="F122" s="464"/>
      <c r="G122" s="307"/>
      <c r="H122" s="372"/>
      <c r="I122" s="462"/>
      <c r="J122" s="163"/>
      <c r="K122" s="165"/>
      <c r="L122" s="43"/>
    </row>
    <row r="123" spans="1:12" s="45" customFormat="1" ht="8.5500000000000007" customHeight="1" x14ac:dyDescent="0.2">
      <c r="A123" s="43"/>
      <c r="B123" s="463" t="s">
        <v>613</v>
      </c>
      <c r="C123" s="464"/>
      <c r="D123" s="464"/>
      <c r="E123" s="464"/>
      <c r="F123" s="464"/>
      <c r="G123" s="307">
        <v>1995</v>
      </c>
      <c r="H123" s="372">
        <v>94</v>
      </c>
      <c r="I123" s="462">
        <v>97</v>
      </c>
      <c r="J123" s="162" t="s">
        <v>682</v>
      </c>
      <c r="K123" s="164">
        <v>1</v>
      </c>
      <c r="L123" s="43"/>
    </row>
    <row r="124" spans="1:12" s="45" customFormat="1" ht="8.5500000000000007" customHeight="1" x14ac:dyDescent="0.2">
      <c r="A124" s="43"/>
      <c r="B124" s="463"/>
      <c r="C124" s="464"/>
      <c r="D124" s="464"/>
      <c r="E124" s="464"/>
      <c r="F124" s="464"/>
      <c r="G124" s="307"/>
      <c r="H124" s="372"/>
      <c r="I124" s="462"/>
      <c r="J124" s="163"/>
      <c r="K124" s="165"/>
      <c r="L124" s="43"/>
    </row>
    <row r="125" spans="1:12" s="45" customFormat="1" ht="8.5500000000000007" customHeight="1" x14ac:dyDescent="0.2">
      <c r="A125" s="43"/>
      <c r="B125" s="463" t="s">
        <v>613</v>
      </c>
      <c r="C125" s="464"/>
      <c r="D125" s="464"/>
      <c r="E125" s="464"/>
      <c r="F125" s="464"/>
      <c r="G125" s="307">
        <v>1997</v>
      </c>
      <c r="H125" s="372">
        <v>95</v>
      </c>
      <c r="I125" s="462">
        <v>93</v>
      </c>
      <c r="J125" s="162" t="s">
        <v>400</v>
      </c>
      <c r="K125" s="164">
        <v>1</v>
      </c>
      <c r="L125" s="43"/>
    </row>
    <row r="126" spans="1:12" s="45" customFormat="1" ht="8.5500000000000007" customHeight="1" x14ac:dyDescent="0.2">
      <c r="A126" s="43"/>
      <c r="B126" s="463"/>
      <c r="C126" s="464"/>
      <c r="D126" s="464"/>
      <c r="E126" s="464"/>
      <c r="F126" s="464"/>
      <c r="G126" s="307"/>
      <c r="H126" s="372"/>
      <c r="I126" s="462"/>
      <c r="J126" s="163"/>
      <c r="K126" s="165"/>
      <c r="L126" s="43"/>
    </row>
    <row r="127" spans="1:12" s="45" customFormat="1" ht="8.5500000000000007" customHeight="1" x14ac:dyDescent="0.2">
      <c r="A127" s="43"/>
      <c r="B127" s="463" t="s">
        <v>447</v>
      </c>
      <c r="C127" s="464"/>
      <c r="D127" s="464"/>
      <c r="E127" s="464"/>
      <c r="F127" s="464"/>
      <c r="G127" s="307">
        <v>1997</v>
      </c>
      <c r="H127" s="372">
        <v>95</v>
      </c>
      <c r="I127" s="462">
        <v>93</v>
      </c>
      <c r="J127" s="162" t="s">
        <v>400</v>
      </c>
      <c r="K127" s="164">
        <v>1</v>
      </c>
      <c r="L127" s="43"/>
    </row>
    <row r="128" spans="1:12" s="45" customFormat="1" ht="8.5500000000000007" customHeight="1" x14ac:dyDescent="0.2">
      <c r="A128" s="43"/>
      <c r="B128" s="463"/>
      <c r="C128" s="464"/>
      <c r="D128" s="464"/>
      <c r="E128" s="464"/>
      <c r="F128" s="464"/>
      <c r="G128" s="307"/>
      <c r="H128" s="372"/>
      <c r="I128" s="462"/>
      <c r="J128" s="163"/>
      <c r="K128" s="165"/>
      <c r="L128" s="43"/>
    </row>
    <row r="129" spans="1:12" s="45" customFormat="1" ht="8.5500000000000007" customHeight="1" x14ac:dyDescent="0.2">
      <c r="A129" s="43"/>
      <c r="B129" s="463" t="s">
        <v>447</v>
      </c>
      <c r="C129" s="464"/>
      <c r="D129" s="464"/>
      <c r="E129" s="464"/>
      <c r="F129" s="464"/>
      <c r="G129" s="307">
        <v>2002</v>
      </c>
      <c r="H129" s="372">
        <v>99</v>
      </c>
      <c r="I129" s="462"/>
      <c r="J129" s="162" t="s">
        <v>23</v>
      </c>
      <c r="K129" s="164">
        <v>3</v>
      </c>
      <c r="L129" s="43"/>
    </row>
    <row r="130" spans="1:12" s="45" customFormat="1" ht="8.5500000000000007" customHeight="1" x14ac:dyDescent="0.2">
      <c r="A130" s="43"/>
      <c r="B130" s="463"/>
      <c r="C130" s="464"/>
      <c r="D130" s="464"/>
      <c r="E130" s="464"/>
      <c r="F130" s="464"/>
      <c r="G130" s="307"/>
      <c r="H130" s="372"/>
      <c r="I130" s="462"/>
      <c r="J130" s="163"/>
      <c r="K130" s="165"/>
      <c r="L130" s="43"/>
    </row>
    <row r="131" spans="1:12" s="45" customFormat="1" ht="8.5500000000000007" customHeight="1" x14ac:dyDescent="0.2">
      <c r="A131" s="43"/>
      <c r="B131" s="463" t="s">
        <v>448</v>
      </c>
      <c r="C131" s="464"/>
      <c r="D131" s="464"/>
      <c r="E131" s="464"/>
      <c r="F131" s="464"/>
      <c r="G131" s="307">
        <v>2001</v>
      </c>
      <c r="H131" s="372">
        <v>99</v>
      </c>
      <c r="I131" s="462" t="s">
        <v>299</v>
      </c>
      <c r="J131" s="162" t="s">
        <v>130</v>
      </c>
      <c r="K131" s="164">
        <v>3</v>
      </c>
      <c r="L131" s="43"/>
    </row>
    <row r="132" spans="1:12" s="45" customFormat="1" ht="8.5500000000000007" customHeight="1" x14ac:dyDescent="0.2">
      <c r="A132" s="43"/>
      <c r="B132" s="463"/>
      <c r="C132" s="464"/>
      <c r="D132" s="464"/>
      <c r="E132" s="464"/>
      <c r="F132" s="464"/>
      <c r="G132" s="307"/>
      <c r="H132" s="372"/>
      <c r="I132" s="462"/>
      <c r="J132" s="163"/>
      <c r="K132" s="165"/>
      <c r="L132" s="43"/>
    </row>
    <row r="133" spans="1:12" s="45" customFormat="1" ht="8.5500000000000007" customHeight="1" x14ac:dyDescent="0.2">
      <c r="A133" s="43"/>
      <c r="B133" s="463" t="s">
        <v>449</v>
      </c>
      <c r="C133" s="464"/>
      <c r="D133" s="464"/>
      <c r="E133" s="464"/>
      <c r="F133" s="464"/>
      <c r="G133" s="307">
        <v>2001</v>
      </c>
      <c r="H133" s="372">
        <v>100</v>
      </c>
      <c r="I133" s="462"/>
      <c r="J133" s="162" t="s">
        <v>342</v>
      </c>
      <c r="K133" s="164">
        <v>2</v>
      </c>
      <c r="L133" s="43"/>
    </row>
    <row r="134" spans="1:12" s="45" customFormat="1" ht="8.5500000000000007" customHeight="1" x14ac:dyDescent="0.2">
      <c r="A134" s="43"/>
      <c r="B134" s="463"/>
      <c r="C134" s="464"/>
      <c r="D134" s="464"/>
      <c r="E134" s="464"/>
      <c r="F134" s="464"/>
      <c r="G134" s="307"/>
      <c r="H134" s="372"/>
      <c r="I134" s="462"/>
      <c r="J134" s="163"/>
      <c r="K134" s="165"/>
      <c r="L134" s="43"/>
    </row>
    <row r="135" spans="1:12" s="45" customFormat="1" ht="8.5500000000000007" customHeight="1" x14ac:dyDescent="0.2">
      <c r="A135" s="43"/>
      <c r="B135" s="463" t="s">
        <v>449</v>
      </c>
      <c r="C135" s="464"/>
      <c r="D135" s="464"/>
      <c r="E135" s="464"/>
      <c r="F135" s="464"/>
      <c r="G135" s="307">
        <v>2002</v>
      </c>
      <c r="H135" s="372">
        <v>100</v>
      </c>
      <c r="I135" s="462" t="s">
        <v>299</v>
      </c>
      <c r="J135" s="162" t="s">
        <v>441</v>
      </c>
      <c r="K135" s="164">
        <v>1</v>
      </c>
      <c r="L135" s="43"/>
    </row>
    <row r="136" spans="1:12" s="45" customFormat="1" ht="8.5500000000000007" customHeight="1" x14ac:dyDescent="0.2">
      <c r="A136" s="43"/>
      <c r="B136" s="463"/>
      <c r="C136" s="464"/>
      <c r="D136" s="464"/>
      <c r="E136" s="464"/>
      <c r="F136" s="464"/>
      <c r="G136" s="307"/>
      <c r="H136" s="372"/>
      <c r="I136" s="462"/>
      <c r="J136" s="163"/>
      <c r="K136" s="165"/>
      <c r="L136" s="43"/>
    </row>
    <row r="137" spans="1:12" s="45" customFormat="1" ht="8.5500000000000007" customHeight="1" x14ac:dyDescent="0.2">
      <c r="A137" s="43"/>
      <c r="B137" s="463" t="s">
        <v>719</v>
      </c>
      <c r="C137" s="464"/>
      <c r="D137" s="464"/>
      <c r="E137" s="464"/>
      <c r="F137" s="464"/>
      <c r="G137" s="307">
        <v>2002</v>
      </c>
      <c r="H137" s="372">
        <v>100</v>
      </c>
      <c r="I137" s="462">
        <v>94</v>
      </c>
      <c r="J137" s="162" t="s">
        <v>441</v>
      </c>
      <c r="K137" s="164">
        <v>1</v>
      </c>
      <c r="L137" s="43"/>
    </row>
    <row r="138" spans="1:12" s="45" customFormat="1" ht="8.5500000000000007" customHeight="1" x14ac:dyDescent="0.2">
      <c r="A138" s="43"/>
      <c r="B138" s="463"/>
      <c r="C138" s="464"/>
      <c r="D138" s="464"/>
      <c r="E138" s="464"/>
      <c r="F138" s="464"/>
      <c r="G138" s="307"/>
      <c r="H138" s="372"/>
      <c r="I138" s="462"/>
      <c r="J138" s="163"/>
      <c r="K138" s="165"/>
      <c r="L138" s="43"/>
    </row>
    <row r="139" spans="1:12" s="45" customFormat="1" ht="8.5500000000000007" customHeight="1" x14ac:dyDescent="0.2">
      <c r="A139" s="43"/>
      <c r="B139" s="463" t="s">
        <v>1072</v>
      </c>
      <c r="C139" s="464"/>
      <c r="D139" s="464"/>
      <c r="E139" s="464"/>
      <c r="F139" s="464"/>
      <c r="G139" s="307">
        <v>2002</v>
      </c>
      <c r="H139" s="372">
        <v>100</v>
      </c>
      <c r="I139" s="462">
        <v>94</v>
      </c>
      <c r="J139" s="162" t="s">
        <v>359</v>
      </c>
      <c r="K139" s="164">
        <v>2</v>
      </c>
      <c r="L139" s="43"/>
    </row>
    <row r="140" spans="1:12" s="45" customFormat="1" ht="8.5500000000000007" customHeight="1" x14ac:dyDescent="0.2">
      <c r="A140" s="43"/>
      <c r="B140" s="463"/>
      <c r="C140" s="464"/>
      <c r="D140" s="464"/>
      <c r="E140" s="464"/>
      <c r="F140" s="464"/>
      <c r="G140" s="307"/>
      <c r="H140" s="372"/>
      <c r="I140" s="462"/>
      <c r="J140" s="163"/>
      <c r="K140" s="165"/>
      <c r="L140" s="43"/>
    </row>
    <row r="141" spans="1:12" s="45" customFormat="1" ht="8.5500000000000007" customHeight="1" x14ac:dyDescent="0.2">
      <c r="A141" s="43"/>
      <c r="B141" s="463" t="s">
        <v>1072</v>
      </c>
      <c r="C141" s="464"/>
      <c r="D141" s="464"/>
      <c r="E141" s="464"/>
      <c r="F141" s="464"/>
      <c r="G141" s="307">
        <v>2004</v>
      </c>
      <c r="H141" s="372">
        <v>95</v>
      </c>
      <c r="I141" s="462">
        <v>97</v>
      </c>
      <c r="J141" s="162" t="s">
        <v>446</v>
      </c>
      <c r="K141" s="164">
        <v>2</v>
      </c>
      <c r="L141" s="43"/>
    </row>
    <row r="142" spans="1:12" s="45" customFormat="1" ht="8.5500000000000007" customHeight="1" x14ac:dyDescent="0.2">
      <c r="A142" s="43"/>
      <c r="B142" s="463"/>
      <c r="C142" s="464"/>
      <c r="D142" s="464"/>
      <c r="E142" s="464"/>
      <c r="F142" s="464"/>
      <c r="G142" s="307"/>
      <c r="H142" s="372"/>
      <c r="I142" s="462"/>
      <c r="J142" s="163"/>
      <c r="K142" s="165"/>
      <c r="L142" s="43"/>
    </row>
    <row r="143" spans="1:12" s="45" customFormat="1" ht="8.5500000000000007" customHeight="1" x14ac:dyDescent="0.2">
      <c r="A143" s="43"/>
      <c r="B143" s="463" t="s">
        <v>1073</v>
      </c>
      <c r="C143" s="464"/>
      <c r="D143" s="464"/>
      <c r="E143" s="464"/>
      <c r="F143" s="464"/>
      <c r="G143" s="307">
        <v>2001</v>
      </c>
      <c r="H143" s="372">
        <v>100</v>
      </c>
      <c r="I143" s="462">
        <v>96</v>
      </c>
      <c r="J143" s="162" t="s">
        <v>342</v>
      </c>
      <c r="K143" s="164">
        <v>1</v>
      </c>
      <c r="L143" s="43"/>
    </row>
    <row r="144" spans="1:12" s="45" customFormat="1" ht="8.5500000000000007" customHeight="1" x14ac:dyDescent="0.2">
      <c r="A144" s="43"/>
      <c r="B144" s="463"/>
      <c r="C144" s="464"/>
      <c r="D144" s="464"/>
      <c r="E144" s="464"/>
      <c r="F144" s="464"/>
      <c r="G144" s="307"/>
      <c r="H144" s="372"/>
      <c r="I144" s="462"/>
      <c r="J144" s="163"/>
      <c r="K144" s="165"/>
      <c r="L144" s="43"/>
    </row>
    <row r="145" spans="1:12" s="45" customFormat="1" ht="8.5500000000000007" customHeight="1" x14ac:dyDescent="0.2">
      <c r="A145" s="43"/>
      <c r="B145" s="463" t="s">
        <v>1073</v>
      </c>
      <c r="C145" s="464"/>
      <c r="D145" s="464"/>
      <c r="E145" s="464"/>
      <c r="F145" s="464"/>
      <c r="G145" s="307">
        <v>2002</v>
      </c>
      <c r="H145" s="372">
        <v>100</v>
      </c>
      <c r="I145" s="462"/>
      <c r="J145" s="162" t="s">
        <v>23</v>
      </c>
      <c r="K145" s="164">
        <v>2</v>
      </c>
      <c r="L145" s="43"/>
    </row>
    <row r="146" spans="1:12" s="45" customFormat="1" ht="8.5500000000000007" customHeight="1" x14ac:dyDescent="0.2">
      <c r="A146" s="43"/>
      <c r="B146" s="463"/>
      <c r="C146" s="464"/>
      <c r="D146" s="464"/>
      <c r="E146" s="464"/>
      <c r="F146" s="464"/>
      <c r="G146" s="307"/>
      <c r="H146" s="372"/>
      <c r="I146" s="462"/>
      <c r="J146" s="163"/>
      <c r="K146" s="165"/>
      <c r="L146" s="43"/>
    </row>
    <row r="147" spans="1:12" s="45" customFormat="1" ht="8.5500000000000007" customHeight="1" x14ac:dyDescent="0.2">
      <c r="A147" s="43"/>
      <c r="B147" s="463" t="s">
        <v>1074</v>
      </c>
      <c r="C147" s="464"/>
      <c r="D147" s="464"/>
      <c r="E147" s="464"/>
      <c r="F147" s="464"/>
      <c r="G147" s="307">
        <v>2001</v>
      </c>
      <c r="H147" s="372" t="s">
        <v>626</v>
      </c>
      <c r="I147" s="462">
        <v>94</v>
      </c>
      <c r="J147" s="162" t="s">
        <v>450</v>
      </c>
      <c r="K147" s="164">
        <v>2</v>
      </c>
      <c r="L147" s="43"/>
    </row>
    <row r="148" spans="1:12" s="45" customFormat="1" ht="8.5500000000000007" customHeight="1" x14ac:dyDescent="0.2">
      <c r="A148" s="43"/>
      <c r="B148" s="463"/>
      <c r="C148" s="464"/>
      <c r="D148" s="464"/>
      <c r="E148" s="464"/>
      <c r="F148" s="464"/>
      <c r="G148" s="307"/>
      <c r="H148" s="372"/>
      <c r="I148" s="462"/>
      <c r="J148" s="163"/>
      <c r="K148" s="165"/>
      <c r="L148" s="43"/>
    </row>
    <row r="149" spans="1:12" s="45" customFormat="1" ht="8.5500000000000007" customHeight="1" x14ac:dyDescent="0.2">
      <c r="A149" s="43"/>
      <c r="B149" s="463" t="s">
        <v>1074</v>
      </c>
      <c r="C149" s="464"/>
      <c r="D149" s="464"/>
      <c r="E149" s="464"/>
      <c r="F149" s="464"/>
      <c r="G149" s="307">
        <v>2002</v>
      </c>
      <c r="H149" s="372" t="s">
        <v>629</v>
      </c>
      <c r="I149" s="462">
        <v>95</v>
      </c>
      <c r="J149" s="162" t="s">
        <v>441</v>
      </c>
      <c r="K149" s="164">
        <v>2</v>
      </c>
      <c r="L149" s="43"/>
    </row>
    <row r="150" spans="1:12" s="45" customFormat="1" ht="8.5500000000000007" customHeight="1" x14ac:dyDescent="0.2">
      <c r="A150" s="43"/>
      <c r="B150" s="463"/>
      <c r="C150" s="464"/>
      <c r="D150" s="464"/>
      <c r="E150" s="464"/>
      <c r="F150" s="464"/>
      <c r="G150" s="307"/>
      <c r="H150" s="372"/>
      <c r="I150" s="462"/>
      <c r="J150" s="163"/>
      <c r="K150" s="165"/>
      <c r="L150" s="43"/>
    </row>
    <row r="151" spans="1:12" s="45" customFormat="1" ht="8.5500000000000007" customHeight="1" x14ac:dyDescent="0.2">
      <c r="A151" s="43"/>
      <c r="B151" s="463" t="s">
        <v>1106</v>
      </c>
      <c r="C151" s="464"/>
      <c r="D151" s="464"/>
      <c r="E151" s="464"/>
      <c r="F151" s="464"/>
      <c r="G151" s="307">
        <v>2007</v>
      </c>
      <c r="H151" s="372">
        <v>100</v>
      </c>
      <c r="I151" s="462"/>
      <c r="J151" s="162" t="s">
        <v>1616</v>
      </c>
      <c r="K151" s="164">
        <v>1</v>
      </c>
      <c r="L151" s="43"/>
    </row>
    <row r="152" spans="1:12" s="45" customFormat="1" ht="8.5500000000000007" customHeight="1" x14ac:dyDescent="0.2">
      <c r="A152" s="43"/>
      <c r="B152" s="463"/>
      <c r="C152" s="464"/>
      <c r="D152" s="464"/>
      <c r="E152" s="464"/>
      <c r="F152" s="464"/>
      <c r="G152" s="307"/>
      <c r="H152" s="372"/>
      <c r="I152" s="462"/>
      <c r="J152" s="163"/>
      <c r="K152" s="165"/>
      <c r="L152" s="43"/>
    </row>
    <row r="153" spans="1:12" s="45" customFormat="1" ht="8.5500000000000007" customHeight="1" x14ac:dyDescent="0.2">
      <c r="A153" s="43"/>
      <c r="B153" s="463" t="s">
        <v>1651</v>
      </c>
      <c r="C153" s="464"/>
      <c r="D153" s="464"/>
      <c r="E153" s="464"/>
      <c r="F153" s="464"/>
      <c r="G153" s="307">
        <v>2001</v>
      </c>
      <c r="H153" s="372">
        <v>100</v>
      </c>
      <c r="I153" s="462"/>
      <c r="J153" s="162" t="s">
        <v>451</v>
      </c>
      <c r="K153" s="164">
        <v>2</v>
      </c>
      <c r="L153" s="43"/>
    </row>
    <row r="154" spans="1:12" s="45" customFormat="1" ht="8.5500000000000007" customHeight="1" x14ac:dyDescent="0.2">
      <c r="A154" s="43"/>
      <c r="B154" s="463"/>
      <c r="C154" s="464"/>
      <c r="D154" s="464"/>
      <c r="E154" s="464"/>
      <c r="F154" s="464"/>
      <c r="G154" s="307"/>
      <c r="H154" s="372"/>
      <c r="I154" s="462"/>
      <c r="J154" s="163"/>
      <c r="K154" s="165"/>
      <c r="L154" s="43"/>
    </row>
    <row r="155" spans="1:12" s="45" customFormat="1" ht="8.5500000000000007" customHeight="1" x14ac:dyDescent="0.2">
      <c r="A155" s="43"/>
      <c r="B155" s="463" t="s">
        <v>1652</v>
      </c>
      <c r="C155" s="464"/>
      <c r="D155" s="464"/>
      <c r="E155" s="464"/>
      <c r="F155" s="464"/>
      <c r="G155" s="307">
        <v>2002</v>
      </c>
      <c r="H155" s="372">
        <v>99</v>
      </c>
      <c r="I155" s="462"/>
      <c r="J155" s="162" t="s">
        <v>23</v>
      </c>
      <c r="K155" s="164">
        <v>3</v>
      </c>
      <c r="L155" s="43"/>
    </row>
    <row r="156" spans="1:12" s="45" customFormat="1" ht="8.5500000000000007" customHeight="1" x14ac:dyDescent="0.2">
      <c r="A156" s="43"/>
      <c r="B156" s="463"/>
      <c r="C156" s="464"/>
      <c r="D156" s="464"/>
      <c r="E156" s="464"/>
      <c r="F156" s="464"/>
      <c r="G156" s="307"/>
      <c r="H156" s="372"/>
      <c r="I156" s="462"/>
      <c r="J156" s="163"/>
      <c r="K156" s="165"/>
      <c r="L156" s="43"/>
    </row>
    <row r="157" spans="1:12" s="45" customFormat="1" ht="8.5500000000000007" customHeight="1" x14ac:dyDescent="0.2">
      <c r="A157" s="43"/>
      <c r="B157" s="463" t="s">
        <v>1653</v>
      </c>
      <c r="C157" s="464"/>
      <c r="D157" s="464"/>
      <c r="E157" s="464"/>
      <c r="F157" s="464"/>
      <c r="G157" s="307">
        <v>2003</v>
      </c>
      <c r="H157" s="372">
        <v>98</v>
      </c>
      <c r="I157" s="462"/>
      <c r="J157" s="162" t="s">
        <v>452</v>
      </c>
      <c r="K157" s="164">
        <v>1</v>
      </c>
      <c r="L157" s="43"/>
    </row>
    <row r="158" spans="1:12" s="45" customFormat="1" ht="8.5500000000000007" customHeight="1" x14ac:dyDescent="0.2">
      <c r="A158" s="43"/>
      <c r="B158" s="463"/>
      <c r="C158" s="464"/>
      <c r="D158" s="464"/>
      <c r="E158" s="464"/>
      <c r="F158" s="464"/>
      <c r="G158" s="307"/>
      <c r="H158" s="372"/>
      <c r="I158" s="462"/>
      <c r="J158" s="163"/>
      <c r="K158" s="165"/>
      <c r="L158" s="43"/>
    </row>
    <row r="159" spans="1:12" s="45" customFormat="1" ht="8.5500000000000007" customHeight="1" x14ac:dyDescent="0.2">
      <c r="A159" s="43"/>
      <c r="B159" s="463" t="s">
        <v>1653</v>
      </c>
      <c r="C159" s="464"/>
      <c r="D159" s="464"/>
      <c r="E159" s="464"/>
      <c r="F159" s="464"/>
      <c r="G159" s="307">
        <v>2004</v>
      </c>
      <c r="H159" s="372">
        <v>98</v>
      </c>
      <c r="I159" s="462">
        <v>88</v>
      </c>
      <c r="J159" s="162" t="s">
        <v>69</v>
      </c>
      <c r="K159" s="164">
        <v>2</v>
      </c>
      <c r="L159" s="43"/>
    </row>
    <row r="160" spans="1:12" s="45" customFormat="1" ht="8.5500000000000007" customHeight="1" x14ac:dyDescent="0.2">
      <c r="A160" s="43"/>
      <c r="B160" s="463"/>
      <c r="C160" s="464"/>
      <c r="D160" s="464"/>
      <c r="E160" s="464"/>
      <c r="F160" s="464"/>
      <c r="G160" s="307"/>
      <c r="H160" s="372"/>
      <c r="I160" s="462"/>
      <c r="J160" s="163"/>
      <c r="K160" s="165"/>
      <c r="L160" s="43"/>
    </row>
    <row r="161" spans="1:12" s="45" customFormat="1" ht="8.5500000000000007" customHeight="1" x14ac:dyDescent="0.2">
      <c r="A161" s="43"/>
      <c r="B161" s="463" t="s">
        <v>1651</v>
      </c>
      <c r="C161" s="464"/>
      <c r="D161" s="464"/>
      <c r="E161" s="464"/>
      <c r="F161" s="464"/>
      <c r="G161" s="307">
        <v>2005</v>
      </c>
      <c r="H161" s="372">
        <v>98</v>
      </c>
      <c r="I161" s="462"/>
      <c r="J161" s="162" t="s">
        <v>1617</v>
      </c>
      <c r="K161" s="164">
        <v>2</v>
      </c>
      <c r="L161" s="43"/>
    </row>
    <row r="162" spans="1:12" s="45" customFormat="1" ht="8.5500000000000007" customHeight="1" x14ac:dyDescent="0.2">
      <c r="A162" s="43"/>
      <c r="B162" s="463"/>
      <c r="C162" s="464"/>
      <c r="D162" s="464"/>
      <c r="E162" s="464"/>
      <c r="F162" s="464"/>
      <c r="G162" s="307"/>
      <c r="H162" s="372"/>
      <c r="I162" s="462"/>
      <c r="J162" s="163"/>
      <c r="K162" s="165"/>
      <c r="L162" s="43"/>
    </row>
    <row r="163" spans="1:12" s="45" customFormat="1" ht="8.5500000000000007" customHeight="1" x14ac:dyDescent="0.2">
      <c r="A163" s="43"/>
      <c r="B163" s="463" t="s">
        <v>1651</v>
      </c>
      <c r="C163" s="464"/>
      <c r="D163" s="464"/>
      <c r="E163" s="464"/>
      <c r="F163" s="464"/>
      <c r="G163" s="307">
        <v>2007</v>
      </c>
      <c r="H163" s="372">
        <v>100</v>
      </c>
      <c r="I163" s="462"/>
      <c r="J163" s="162" t="s">
        <v>17</v>
      </c>
      <c r="K163" s="164">
        <v>1</v>
      </c>
      <c r="L163" s="43"/>
    </row>
    <row r="164" spans="1:12" s="45" customFormat="1" ht="8.5500000000000007" customHeight="1" x14ac:dyDescent="0.2">
      <c r="A164" s="43"/>
      <c r="B164" s="463"/>
      <c r="C164" s="464"/>
      <c r="D164" s="464"/>
      <c r="E164" s="464"/>
      <c r="F164" s="464"/>
      <c r="G164" s="307"/>
      <c r="H164" s="372"/>
      <c r="I164" s="462"/>
      <c r="J164" s="163"/>
      <c r="K164" s="165"/>
      <c r="L164" s="43"/>
    </row>
    <row r="165" spans="1:12" s="45" customFormat="1" ht="8.5500000000000007" customHeight="1" x14ac:dyDescent="0.2">
      <c r="A165" s="43"/>
      <c r="B165" s="463" t="s">
        <v>1654</v>
      </c>
      <c r="C165" s="464"/>
      <c r="D165" s="464"/>
      <c r="E165" s="464"/>
      <c r="F165" s="464"/>
      <c r="G165" s="307">
        <v>2002</v>
      </c>
      <c r="H165" s="372">
        <v>98</v>
      </c>
      <c r="I165" s="462"/>
      <c r="J165" s="162" t="s">
        <v>23</v>
      </c>
      <c r="K165" s="164">
        <v>3</v>
      </c>
      <c r="L165" s="43"/>
    </row>
    <row r="166" spans="1:12" s="45" customFormat="1" ht="8.5500000000000007" customHeight="1" x14ac:dyDescent="0.2">
      <c r="A166" s="43"/>
      <c r="B166" s="463"/>
      <c r="C166" s="464"/>
      <c r="D166" s="464"/>
      <c r="E166" s="464"/>
      <c r="F166" s="464"/>
      <c r="G166" s="307"/>
      <c r="H166" s="372"/>
      <c r="I166" s="462"/>
      <c r="J166" s="163"/>
      <c r="K166" s="165"/>
      <c r="L166" s="43"/>
    </row>
    <row r="167" spans="1:12" s="45" customFormat="1" ht="8.5500000000000007" customHeight="1" x14ac:dyDescent="0.2">
      <c r="A167" s="43"/>
      <c r="B167" s="463" t="s">
        <v>1655</v>
      </c>
      <c r="C167" s="464"/>
      <c r="D167" s="464"/>
      <c r="E167" s="464"/>
      <c r="F167" s="464"/>
      <c r="G167" s="307">
        <v>2004</v>
      </c>
      <c r="H167" s="372">
        <v>99</v>
      </c>
      <c r="I167" s="462"/>
      <c r="J167" s="162" t="s">
        <v>67</v>
      </c>
      <c r="K167" s="164">
        <v>3</v>
      </c>
      <c r="L167" s="43"/>
    </row>
    <row r="168" spans="1:12" s="45" customFormat="1" ht="8.5500000000000007" customHeight="1" x14ac:dyDescent="0.2">
      <c r="A168" s="43"/>
      <c r="B168" s="463"/>
      <c r="C168" s="464"/>
      <c r="D168" s="464"/>
      <c r="E168" s="464"/>
      <c r="F168" s="464"/>
      <c r="G168" s="307"/>
      <c r="H168" s="372"/>
      <c r="I168" s="462"/>
      <c r="J168" s="163"/>
      <c r="K168" s="165"/>
      <c r="L168" s="43"/>
    </row>
    <row r="169" spans="1:12" s="45" customFormat="1" ht="8.5500000000000007" customHeight="1" x14ac:dyDescent="0.2">
      <c r="A169" s="43"/>
      <c r="B169" s="463" t="s">
        <v>1656</v>
      </c>
      <c r="C169" s="464"/>
      <c r="D169" s="464"/>
      <c r="E169" s="464"/>
      <c r="F169" s="464"/>
      <c r="G169" s="307">
        <v>2007</v>
      </c>
      <c r="H169" s="372">
        <v>100</v>
      </c>
      <c r="I169" s="462"/>
      <c r="J169" s="162" t="s">
        <v>17</v>
      </c>
      <c r="K169" s="164">
        <v>2</v>
      </c>
      <c r="L169" s="43"/>
    </row>
    <row r="170" spans="1:12" s="45" customFormat="1" ht="8.5500000000000007" customHeight="1" x14ac:dyDescent="0.2">
      <c r="A170" s="43"/>
      <c r="B170" s="463"/>
      <c r="C170" s="464"/>
      <c r="D170" s="464"/>
      <c r="E170" s="464"/>
      <c r="F170" s="464"/>
      <c r="G170" s="307"/>
      <c r="H170" s="372"/>
      <c r="I170" s="462"/>
      <c r="J170" s="163"/>
      <c r="K170" s="165"/>
      <c r="L170" s="43"/>
    </row>
    <row r="171" spans="1:12" s="45" customFormat="1" ht="8.5500000000000007" customHeight="1" x14ac:dyDescent="0.2">
      <c r="A171" s="43"/>
      <c r="B171" s="463" t="s">
        <v>1657</v>
      </c>
      <c r="C171" s="464"/>
      <c r="D171" s="464"/>
      <c r="E171" s="464"/>
      <c r="F171" s="464"/>
      <c r="G171" s="307">
        <v>2002</v>
      </c>
      <c r="H171" s="372">
        <v>93</v>
      </c>
      <c r="I171" s="462"/>
      <c r="J171" s="162" t="s">
        <v>421</v>
      </c>
      <c r="K171" s="164">
        <v>1</v>
      </c>
      <c r="L171" s="43"/>
    </row>
    <row r="172" spans="1:12" s="45" customFormat="1" ht="8.5500000000000007" customHeight="1" x14ac:dyDescent="0.2">
      <c r="A172" s="43"/>
      <c r="B172" s="463"/>
      <c r="C172" s="464"/>
      <c r="D172" s="464"/>
      <c r="E172" s="464"/>
      <c r="F172" s="464"/>
      <c r="G172" s="307"/>
      <c r="H172" s="372"/>
      <c r="I172" s="462"/>
      <c r="J172" s="163"/>
      <c r="K172" s="165"/>
      <c r="L172" s="43"/>
    </row>
    <row r="173" spans="1:12" s="45" customFormat="1" ht="8.5500000000000007" customHeight="1" x14ac:dyDescent="0.2">
      <c r="A173" s="43"/>
      <c r="B173" s="463" t="s">
        <v>1658</v>
      </c>
      <c r="C173" s="464"/>
      <c r="D173" s="464"/>
      <c r="E173" s="464"/>
      <c r="F173" s="464"/>
      <c r="G173" s="307">
        <v>2004</v>
      </c>
      <c r="H173" s="372">
        <v>98</v>
      </c>
      <c r="I173" s="462">
        <v>88</v>
      </c>
      <c r="J173" s="162" t="s">
        <v>53</v>
      </c>
      <c r="K173" s="164">
        <v>2</v>
      </c>
      <c r="L173" s="43"/>
    </row>
    <row r="174" spans="1:12" s="45" customFormat="1" ht="8.5500000000000007" customHeight="1" x14ac:dyDescent="0.2">
      <c r="A174" s="43"/>
      <c r="B174" s="463"/>
      <c r="C174" s="464"/>
      <c r="D174" s="464"/>
      <c r="E174" s="464"/>
      <c r="F174" s="464"/>
      <c r="G174" s="307"/>
      <c r="H174" s="372"/>
      <c r="I174" s="462"/>
      <c r="J174" s="163"/>
      <c r="K174" s="165"/>
      <c r="L174" s="43"/>
    </row>
    <row r="175" spans="1:12" s="45" customFormat="1" ht="8.5500000000000007" customHeight="1" x14ac:dyDescent="0.2">
      <c r="A175" s="43"/>
      <c r="B175" s="463" t="s">
        <v>1658</v>
      </c>
      <c r="C175" s="464"/>
      <c r="D175" s="464"/>
      <c r="E175" s="464"/>
      <c r="F175" s="464"/>
      <c r="G175" s="307">
        <v>2007</v>
      </c>
      <c r="H175" s="372">
        <v>100</v>
      </c>
      <c r="I175" s="462"/>
      <c r="J175" s="162" t="s">
        <v>451</v>
      </c>
      <c r="K175" s="164">
        <v>4</v>
      </c>
      <c r="L175" s="43"/>
    </row>
    <row r="176" spans="1:12" s="45" customFormat="1" ht="8.5500000000000007" customHeight="1" x14ac:dyDescent="0.2">
      <c r="A176" s="43"/>
      <c r="B176" s="463"/>
      <c r="C176" s="464"/>
      <c r="D176" s="464"/>
      <c r="E176" s="464"/>
      <c r="F176" s="464"/>
      <c r="G176" s="307"/>
      <c r="H176" s="372"/>
      <c r="I176" s="462"/>
      <c r="J176" s="163"/>
      <c r="K176" s="165"/>
      <c r="L176" s="43"/>
    </row>
    <row r="177" spans="1:12" s="45" customFormat="1" ht="8.5500000000000007" customHeight="1" x14ac:dyDescent="0.2">
      <c r="A177" s="43"/>
      <c r="B177" s="183" t="s">
        <v>1115</v>
      </c>
      <c r="C177" s="183"/>
      <c r="D177" s="183"/>
      <c r="E177" s="183"/>
      <c r="F177" s="184"/>
      <c r="G177" s="307">
        <v>1997</v>
      </c>
      <c r="H177" s="372">
        <v>92</v>
      </c>
      <c r="I177" s="462"/>
      <c r="J177" s="160"/>
      <c r="K177" s="164">
        <v>1</v>
      </c>
      <c r="L177" s="43"/>
    </row>
    <row r="178" spans="1:12" s="45" customFormat="1" ht="8.5500000000000007" customHeight="1" x14ac:dyDescent="0.2">
      <c r="A178" s="43"/>
      <c r="B178" s="185"/>
      <c r="C178" s="185"/>
      <c r="D178" s="185"/>
      <c r="E178" s="185"/>
      <c r="F178" s="186"/>
      <c r="G178" s="307"/>
      <c r="H178" s="372"/>
      <c r="I178" s="462"/>
      <c r="J178" s="161"/>
      <c r="K178" s="165"/>
      <c r="L178" s="43"/>
    </row>
    <row r="179" spans="1:12" s="45" customFormat="1" ht="8.5500000000000007" customHeight="1" x14ac:dyDescent="0.2">
      <c r="A179" s="43"/>
      <c r="B179" s="183" t="s">
        <v>1638</v>
      </c>
      <c r="C179" s="183"/>
      <c r="D179" s="183"/>
      <c r="E179" s="183"/>
      <c r="F179" s="184"/>
      <c r="G179" s="307">
        <v>2005</v>
      </c>
      <c r="H179" s="372">
        <v>96</v>
      </c>
      <c r="I179" s="462"/>
      <c r="J179" s="160"/>
      <c r="K179" s="164">
        <v>1</v>
      </c>
      <c r="L179" s="43"/>
    </row>
    <row r="180" spans="1:12" s="45" customFormat="1" ht="8.5500000000000007" customHeight="1" x14ac:dyDescent="0.2">
      <c r="A180" s="43"/>
      <c r="B180" s="185"/>
      <c r="C180" s="185"/>
      <c r="D180" s="185"/>
      <c r="E180" s="185"/>
      <c r="F180" s="186"/>
      <c r="G180" s="307"/>
      <c r="H180" s="372"/>
      <c r="I180" s="462"/>
      <c r="J180" s="161"/>
      <c r="K180" s="165"/>
      <c r="L180" s="43"/>
    </row>
    <row r="181" spans="1:12" s="45" customFormat="1" ht="8.5500000000000007" customHeight="1" x14ac:dyDescent="0.2">
      <c r="A181" s="43"/>
      <c r="B181" s="183" t="s">
        <v>886</v>
      </c>
      <c r="C181" s="183"/>
      <c r="D181" s="183"/>
      <c r="E181" s="183"/>
      <c r="F181" s="184"/>
      <c r="G181" s="307">
        <v>2004</v>
      </c>
      <c r="H181" s="372">
        <v>100</v>
      </c>
      <c r="I181" s="462"/>
      <c r="J181" s="162" t="s">
        <v>251</v>
      </c>
      <c r="K181" s="164">
        <v>2</v>
      </c>
      <c r="L181" s="43"/>
    </row>
    <row r="182" spans="1:12" s="45" customFormat="1" ht="8.5500000000000007" customHeight="1" x14ac:dyDescent="0.2">
      <c r="A182" s="43"/>
      <c r="B182" s="185"/>
      <c r="C182" s="185"/>
      <c r="D182" s="185"/>
      <c r="E182" s="185"/>
      <c r="F182" s="186"/>
      <c r="G182" s="307"/>
      <c r="H182" s="372"/>
      <c r="I182" s="462"/>
      <c r="J182" s="163"/>
      <c r="K182" s="165"/>
      <c r="L182" s="43"/>
    </row>
    <row r="183" spans="1:12" s="45" customFormat="1" ht="8.5500000000000007" customHeight="1" x14ac:dyDescent="0.2">
      <c r="A183" s="43"/>
      <c r="B183" s="183" t="s">
        <v>886</v>
      </c>
      <c r="C183" s="183"/>
      <c r="D183" s="183"/>
      <c r="E183" s="183"/>
      <c r="F183" s="184"/>
      <c r="G183" s="307">
        <v>2005</v>
      </c>
      <c r="H183" s="372">
        <v>100</v>
      </c>
      <c r="I183" s="462">
        <v>96</v>
      </c>
      <c r="J183" s="162" t="s">
        <v>426</v>
      </c>
      <c r="K183" s="164">
        <v>2</v>
      </c>
      <c r="L183" s="43"/>
    </row>
    <row r="184" spans="1:12" s="45" customFormat="1" ht="8.5500000000000007" customHeight="1" x14ac:dyDescent="0.2">
      <c r="A184" s="43"/>
      <c r="B184" s="185"/>
      <c r="C184" s="185"/>
      <c r="D184" s="185"/>
      <c r="E184" s="185"/>
      <c r="F184" s="186"/>
      <c r="G184" s="307"/>
      <c r="H184" s="372"/>
      <c r="I184" s="462"/>
      <c r="J184" s="163"/>
      <c r="K184" s="165"/>
      <c r="L184" s="43"/>
    </row>
    <row r="185" spans="1:12" s="45" customFormat="1" ht="8.5500000000000007" customHeight="1" x14ac:dyDescent="0.2">
      <c r="A185" s="43"/>
      <c r="B185" s="183" t="s">
        <v>886</v>
      </c>
      <c r="C185" s="183"/>
      <c r="D185" s="183"/>
      <c r="E185" s="183"/>
      <c r="F185" s="184"/>
      <c r="G185" s="307">
        <v>2006</v>
      </c>
      <c r="H185" s="372">
        <v>100</v>
      </c>
      <c r="I185" s="462">
        <v>97</v>
      </c>
      <c r="J185" s="162" t="s">
        <v>193</v>
      </c>
      <c r="K185" s="164">
        <v>4</v>
      </c>
      <c r="L185" s="43"/>
    </row>
    <row r="186" spans="1:12" s="45" customFormat="1" ht="8.5500000000000007" customHeight="1" x14ac:dyDescent="0.2">
      <c r="A186" s="43"/>
      <c r="B186" s="185"/>
      <c r="C186" s="185"/>
      <c r="D186" s="185"/>
      <c r="E186" s="185"/>
      <c r="F186" s="186"/>
      <c r="G186" s="307"/>
      <c r="H186" s="372"/>
      <c r="I186" s="462"/>
      <c r="J186" s="163"/>
      <c r="K186" s="165"/>
      <c r="L186" s="43"/>
    </row>
    <row r="187" spans="1:12" s="45" customFormat="1" ht="8.5500000000000007" customHeight="1" x14ac:dyDescent="0.2">
      <c r="A187" s="43"/>
      <c r="B187" s="463" t="s">
        <v>1660</v>
      </c>
      <c r="C187" s="464"/>
      <c r="D187" s="464"/>
      <c r="E187" s="464"/>
      <c r="F187" s="464"/>
      <c r="G187" s="307">
        <v>1996</v>
      </c>
      <c r="H187" s="372">
        <v>96</v>
      </c>
      <c r="I187" s="462">
        <v>96</v>
      </c>
      <c r="J187" s="162" t="s">
        <v>339</v>
      </c>
      <c r="K187" s="164">
        <v>1</v>
      </c>
      <c r="L187" s="43"/>
    </row>
    <row r="188" spans="1:12" s="45" customFormat="1" ht="8.5500000000000007" customHeight="1" x14ac:dyDescent="0.2">
      <c r="A188" s="43"/>
      <c r="B188" s="463"/>
      <c r="C188" s="464"/>
      <c r="D188" s="464"/>
      <c r="E188" s="464"/>
      <c r="F188" s="464"/>
      <c r="G188" s="307"/>
      <c r="H188" s="372"/>
      <c r="I188" s="462"/>
      <c r="J188" s="163"/>
      <c r="K188" s="165"/>
      <c r="L188" s="43"/>
    </row>
    <row r="189" spans="1:12" s="45" customFormat="1" ht="8.5500000000000007" customHeight="1" x14ac:dyDescent="0.2">
      <c r="A189" s="43"/>
      <c r="B189" s="463" t="s">
        <v>1659</v>
      </c>
      <c r="C189" s="464"/>
      <c r="D189" s="464"/>
      <c r="E189" s="464"/>
      <c r="F189" s="464"/>
      <c r="G189" s="307">
        <v>2001</v>
      </c>
      <c r="H189" s="372">
        <v>97</v>
      </c>
      <c r="I189" s="462">
        <v>99</v>
      </c>
      <c r="J189" s="162" t="s">
        <v>53</v>
      </c>
      <c r="K189" s="164">
        <v>2</v>
      </c>
      <c r="L189" s="43"/>
    </row>
    <row r="190" spans="1:12" s="45" customFormat="1" ht="8.5500000000000007" customHeight="1" x14ac:dyDescent="0.2">
      <c r="A190" s="43"/>
      <c r="B190" s="463"/>
      <c r="C190" s="464"/>
      <c r="D190" s="464"/>
      <c r="E190" s="464"/>
      <c r="F190" s="464"/>
      <c r="G190" s="307"/>
      <c r="H190" s="372"/>
      <c r="I190" s="462"/>
      <c r="J190" s="163"/>
      <c r="K190" s="165"/>
      <c r="L190" s="43"/>
    </row>
    <row r="191" spans="1:12" s="45" customFormat="1" ht="8.5500000000000007" customHeight="1" x14ac:dyDescent="0.2">
      <c r="A191" s="43"/>
      <c r="B191" s="463" t="s">
        <v>1659</v>
      </c>
      <c r="C191" s="464"/>
      <c r="D191" s="464"/>
      <c r="E191" s="464"/>
      <c r="F191" s="464"/>
      <c r="G191" s="307">
        <v>2002</v>
      </c>
      <c r="H191" s="372">
        <v>99</v>
      </c>
      <c r="I191" s="462">
        <v>92</v>
      </c>
      <c r="J191" s="162" t="s">
        <v>216</v>
      </c>
      <c r="K191" s="164">
        <v>3</v>
      </c>
      <c r="L191" s="43"/>
    </row>
    <row r="192" spans="1:12" s="45" customFormat="1" ht="8.5500000000000007" customHeight="1" x14ac:dyDescent="0.2">
      <c r="A192" s="43"/>
      <c r="B192" s="463"/>
      <c r="C192" s="464"/>
      <c r="D192" s="464"/>
      <c r="E192" s="464"/>
      <c r="F192" s="464"/>
      <c r="G192" s="307"/>
      <c r="H192" s="372"/>
      <c r="I192" s="462"/>
      <c r="J192" s="163"/>
      <c r="K192" s="165"/>
      <c r="L192" s="43"/>
    </row>
    <row r="193" spans="1:12" s="45" customFormat="1" ht="8.5500000000000007" customHeight="1" x14ac:dyDescent="0.2">
      <c r="A193" s="43"/>
      <c r="B193" s="463" t="s">
        <v>1659</v>
      </c>
      <c r="C193" s="464"/>
      <c r="D193" s="464"/>
      <c r="E193" s="464"/>
      <c r="F193" s="464"/>
      <c r="G193" s="307">
        <v>2005</v>
      </c>
      <c r="H193" s="372">
        <v>95</v>
      </c>
      <c r="I193" s="462">
        <v>97</v>
      </c>
      <c r="J193" s="162" t="s">
        <v>426</v>
      </c>
      <c r="K193" s="164">
        <v>2</v>
      </c>
      <c r="L193" s="43"/>
    </row>
    <row r="194" spans="1:12" s="45" customFormat="1" ht="8.5500000000000007" customHeight="1" x14ac:dyDescent="0.2">
      <c r="A194" s="43"/>
      <c r="B194" s="463"/>
      <c r="C194" s="464"/>
      <c r="D194" s="464"/>
      <c r="E194" s="464"/>
      <c r="F194" s="464"/>
      <c r="G194" s="307"/>
      <c r="H194" s="372"/>
      <c r="I194" s="462"/>
      <c r="J194" s="163"/>
      <c r="K194" s="165"/>
      <c r="L194" s="43"/>
    </row>
    <row r="195" spans="1:12" s="45" customFormat="1" ht="8.5500000000000007" customHeight="1" x14ac:dyDescent="0.2">
      <c r="A195" s="43"/>
      <c r="B195" s="463" t="s">
        <v>1661</v>
      </c>
      <c r="C195" s="464"/>
      <c r="D195" s="464"/>
      <c r="E195" s="464"/>
      <c r="F195" s="464"/>
      <c r="G195" s="307">
        <v>2010</v>
      </c>
      <c r="H195" s="372">
        <v>100</v>
      </c>
      <c r="I195" s="462"/>
      <c r="J195" s="162" t="s">
        <v>127</v>
      </c>
      <c r="K195" s="164">
        <v>3</v>
      </c>
      <c r="L195" s="43"/>
    </row>
    <row r="196" spans="1:12" s="45" customFormat="1" ht="8.5500000000000007" customHeight="1" x14ac:dyDescent="0.2">
      <c r="A196" s="43"/>
      <c r="B196" s="463"/>
      <c r="C196" s="464"/>
      <c r="D196" s="464"/>
      <c r="E196" s="464"/>
      <c r="F196" s="464"/>
      <c r="G196" s="307"/>
      <c r="H196" s="372"/>
      <c r="I196" s="462"/>
      <c r="J196" s="163"/>
      <c r="K196" s="165"/>
      <c r="L196" s="43"/>
    </row>
    <row r="197" spans="1:12" s="45" customFormat="1" ht="8.5500000000000007" customHeight="1" x14ac:dyDescent="0.2">
      <c r="A197" s="43"/>
      <c r="B197" s="463" t="s">
        <v>1661</v>
      </c>
      <c r="C197" s="464"/>
      <c r="D197" s="464"/>
      <c r="E197" s="464"/>
      <c r="F197" s="464"/>
      <c r="G197" s="307">
        <v>2012</v>
      </c>
      <c r="H197" s="372" t="s">
        <v>556</v>
      </c>
      <c r="I197" s="462"/>
      <c r="J197" s="162"/>
      <c r="K197" s="164">
        <v>4</v>
      </c>
      <c r="L197" s="43"/>
    </row>
    <row r="198" spans="1:12" s="45" customFormat="1" ht="8.5500000000000007" customHeight="1" x14ac:dyDescent="0.2">
      <c r="A198" s="43"/>
      <c r="B198" s="463"/>
      <c r="C198" s="464"/>
      <c r="D198" s="464"/>
      <c r="E198" s="464"/>
      <c r="F198" s="464"/>
      <c r="G198" s="307"/>
      <c r="H198" s="372"/>
      <c r="I198" s="462"/>
      <c r="J198" s="163"/>
      <c r="K198" s="165"/>
      <c r="L198" s="43"/>
    </row>
    <row r="199" spans="1:12" s="45" customFormat="1" ht="8.5500000000000007" customHeight="1" x14ac:dyDescent="0.2">
      <c r="A199" s="43"/>
      <c r="B199" s="463" t="s">
        <v>1662</v>
      </c>
      <c r="C199" s="464"/>
      <c r="D199" s="464"/>
      <c r="E199" s="464"/>
      <c r="F199" s="464"/>
      <c r="G199" s="307">
        <v>2001</v>
      </c>
      <c r="H199" s="372">
        <v>93</v>
      </c>
      <c r="I199" s="462"/>
      <c r="J199" s="162" t="s">
        <v>723</v>
      </c>
      <c r="K199" s="164">
        <v>1</v>
      </c>
      <c r="L199" s="43"/>
    </row>
    <row r="200" spans="1:12" s="45" customFormat="1" ht="8.5500000000000007" customHeight="1" x14ac:dyDescent="0.2">
      <c r="A200" s="43"/>
      <c r="B200" s="463"/>
      <c r="C200" s="464"/>
      <c r="D200" s="464"/>
      <c r="E200" s="464"/>
      <c r="F200" s="464"/>
      <c r="G200" s="307"/>
      <c r="H200" s="372"/>
      <c r="I200" s="462"/>
      <c r="J200" s="163"/>
      <c r="K200" s="165"/>
      <c r="L200" s="43"/>
    </row>
    <row r="201" spans="1:12" s="45" customFormat="1" ht="8.5500000000000007" customHeight="1" x14ac:dyDescent="0.2">
      <c r="A201" s="43"/>
      <c r="B201" s="463" t="s">
        <v>1662</v>
      </c>
      <c r="C201" s="464"/>
      <c r="D201" s="464"/>
      <c r="E201" s="464"/>
      <c r="F201" s="464"/>
      <c r="G201" s="307">
        <v>2006</v>
      </c>
      <c r="H201" s="372" t="s">
        <v>626</v>
      </c>
      <c r="I201" s="462">
        <v>96</v>
      </c>
      <c r="J201" s="162" t="s">
        <v>262</v>
      </c>
      <c r="K201" s="164">
        <v>1</v>
      </c>
      <c r="L201" s="43"/>
    </row>
    <row r="202" spans="1:12" s="45" customFormat="1" ht="8.5500000000000007" customHeight="1" x14ac:dyDescent="0.2">
      <c r="A202" s="43"/>
      <c r="B202" s="463"/>
      <c r="C202" s="464"/>
      <c r="D202" s="464"/>
      <c r="E202" s="464"/>
      <c r="F202" s="464"/>
      <c r="G202" s="307"/>
      <c r="H202" s="372"/>
      <c r="I202" s="462"/>
      <c r="J202" s="163"/>
      <c r="K202" s="165"/>
      <c r="L202" s="43"/>
    </row>
    <row r="203" spans="1:12" s="45" customFormat="1" ht="8.5500000000000007" customHeight="1" x14ac:dyDescent="0.2">
      <c r="A203" s="43"/>
      <c r="B203" s="463" t="s">
        <v>1413</v>
      </c>
      <c r="C203" s="464"/>
      <c r="D203" s="464"/>
      <c r="E203" s="464"/>
      <c r="F203" s="464"/>
      <c r="G203" s="307">
        <v>1990</v>
      </c>
      <c r="H203" s="372">
        <v>93</v>
      </c>
      <c r="I203" s="462">
        <v>95</v>
      </c>
      <c r="J203" s="162" t="s">
        <v>745</v>
      </c>
      <c r="K203" s="164">
        <v>1</v>
      </c>
      <c r="L203" s="43"/>
    </row>
    <row r="204" spans="1:12" s="45" customFormat="1" ht="8.5500000000000007" customHeight="1" x14ac:dyDescent="0.2">
      <c r="A204" s="43"/>
      <c r="B204" s="463"/>
      <c r="C204" s="464"/>
      <c r="D204" s="464"/>
      <c r="E204" s="464"/>
      <c r="F204" s="464"/>
      <c r="G204" s="307"/>
      <c r="H204" s="372"/>
      <c r="I204" s="462"/>
      <c r="J204" s="163"/>
      <c r="K204" s="165"/>
      <c r="L204" s="43"/>
    </row>
    <row r="205" spans="1:12" s="45" customFormat="1" ht="8.5500000000000007" customHeight="1" x14ac:dyDescent="0.2">
      <c r="A205" s="43"/>
      <c r="B205" s="463" t="s">
        <v>1413</v>
      </c>
      <c r="C205" s="464"/>
      <c r="D205" s="464"/>
      <c r="E205" s="464"/>
      <c r="F205" s="464"/>
      <c r="G205" s="307">
        <v>1991</v>
      </c>
      <c r="H205" s="372">
        <v>95</v>
      </c>
      <c r="I205" s="462">
        <v>97</v>
      </c>
      <c r="J205" s="162" t="s">
        <v>400</v>
      </c>
      <c r="K205" s="164">
        <v>1</v>
      </c>
      <c r="L205" s="43"/>
    </row>
    <row r="206" spans="1:12" s="45" customFormat="1" ht="8.5500000000000007" customHeight="1" x14ac:dyDescent="0.2">
      <c r="A206" s="43"/>
      <c r="B206" s="463"/>
      <c r="C206" s="464"/>
      <c r="D206" s="464"/>
      <c r="E206" s="464"/>
      <c r="F206" s="464"/>
      <c r="G206" s="307"/>
      <c r="H206" s="372"/>
      <c r="I206" s="462"/>
      <c r="J206" s="163"/>
      <c r="K206" s="165"/>
      <c r="L206" s="43"/>
    </row>
    <row r="207" spans="1:12" s="45" customFormat="1" ht="8.5500000000000007" customHeight="1" x14ac:dyDescent="0.2">
      <c r="A207" s="43"/>
      <c r="B207" s="463" t="s">
        <v>1414</v>
      </c>
      <c r="C207" s="464"/>
      <c r="D207" s="464"/>
      <c r="E207" s="464"/>
      <c r="F207" s="464"/>
      <c r="G207" s="307">
        <v>1991</v>
      </c>
      <c r="H207" s="372">
        <v>95</v>
      </c>
      <c r="I207" s="462">
        <v>97</v>
      </c>
      <c r="J207" s="162" t="s">
        <v>400</v>
      </c>
      <c r="K207" s="164">
        <v>1</v>
      </c>
      <c r="L207" s="43"/>
    </row>
    <row r="208" spans="1:12" s="45" customFormat="1" ht="8.5500000000000007" customHeight="1" x14ac:dyDescent="0.2">
      <c r="A208" s="43"/>
      <c r="B208" s="463"/>
      <c r="C208" s="464"/>
      <c r="D208" s="464"/>
      <c r="E208" s="464"/>
      <c r="F208" s="464"/>
      <c r="G208" s="307"/>
      <c r="H208" s="372"/>
      <c r="I208" s="462"/>
      <c r="J208" s="163"/>
      <c r="K208" s="165"/>
      <c r="L208" s="43"/>
    </row>
    <row r="209" spans="1:12" s="45" customFormat="1" ht="8.5500000000000007" customHeight="1" x14ac:dyDescent="0.2">
      <c r="A209" s="43"/>
      <c r="B209" s="463" t="s">
        <v>1414</v>
      </c>
      <c r="C209" s="464"/>
      <c r="D209" s="464"/>
      <c r="E209" s="464"/>
      <c r="F209" s="464"/>
      <c r="G209" s="307">
        <v>1992</v>
      </c>
      <c r="H209" s="372">
        <v>95</v>
      </c>
      <c r="I209" s="462"/>
      <c r="J209" s="162" t="s">
        <v>579</v>
      </c>
      <c r="K209" s="164">
        <v>1</v>
      </c>
      <c r="L209" s="43"/>
    </row>
    <row r="210" spans="1:12" s="45" customFormat="1" ht="8.5500000000000007" customHeight="1" x14ac:dyDescent="0.2">
      <c r="A210" s="43"/>
      <c r="B210" s="463"/>
      <c r="C210" s="464"/>
      <c r="D210" s="464"/>
      <c r="E210" s="464"/>
      <c r="F210" s="464"/>
      <c r="G210" s="307"/>
      <c r="H210" s="372"/>
      <c r="I210" s="462"/>
      <c r="J210" s="163"/>
      <c r="K210" s="165"/>
      <c r="L210" s="43"/>
    </row>
    <row r="211" spans="1:12" s="45" customFormat="1" ht="8.5500000000000007" customHeight="1" x14ac:dyDescent="0.2">
      <c r="A211" s="43"/>
      <c r="B211" s="463" t="s">
        <v>1413</v>
      </c>
      <c r="C211" s="464"/>
      <c r="D211" s="464"/>
      <c r="E211" s="464"/>
      <c r="F211" s="464"/>
      <c r="G211" s="307">
        <v>1992</v>
      </c>
      <c r="H211" s="372">
        <v>95</v>
      </c>
      <c r="I211" s="462"/>
      <c r="J211" s="162" t="s">
        <v>579</v>
      </c>
      <c r="K211" s="164">
        <v>1</v>
      </c>
      <c r="L211" s="43"/>
    </row>
    <row r="212" spans="1:12" s="45" customFormat="1" ht="8.5500000000000007" customHeight="1" x14ac:dyDescent="0.2">
      <c r="A212" s="43"/>
      <c r="B212" s="463"/>
      <c r="C212" s="464"/>
      <c r="D212" s="464"/>
      <c r="E212" s="464"/>
      <c r="F212" s="464"/>
      <c r="G212" s="307"/>
      <c r="H212" s="372"/>
      <c r="I212" s="462"/>
      <c r="J212" s="163"/>
      <c r="K212" s="165"/>
      <c r="L212" s="43"/>
    </row>
    <row r="213" spans="1:12" s="45" customFormat="1" ht="8.5500000000000007" customHeight="1" x14ac:dyDescent="0.2">
      <c r="A213" s="43"/>
      <c r="B213" s="463" t="s">
        <v>1413</v>
      </c>
      <c r="C213" s="464"/>
      <c r="D213" s="464"/>
      <c r="E213" s="464"/>
      <c r="F213" s="464"/>
      <c r="G213" s="307">
        <v>1997</v>
      </c>
      <c r="H213" s="372">
        <v>98</v>
      </c>
      <c r="I213" s="462">
        <v>95</v>
      </c>
      <c r="J213" s="162" t="s">
        <v>125</v>
      </c>
      <c r="K213" s="164">
        <v>1</v>
      </c>
      <c r="L213" s="43"/>
    </row>
    <row r="214" spans="1:12" s="45" customFormat="1" ht="8.5500000000000007" customHeight="1" x14ac:dyDescent="0.2">
      <c r="A214" s="43"/>
      <c r="B214" s="463"/>
      <c r="C214" s="464"/>
      <c r="D214" s="464"/>
      <c r="E214" s="464"/>
      <c r="F214" s="464"/>
      <c r="G214" s="307"/>
      <c r="H214" s="372"/>
      <c r="I214" s="462"/>
      <c r="J214" s="163"/>
      <c r="K214" s="165"/>
      <c r="L214" s="43"/>
    </row>
    <row r="215" spans="1:12" s="45" customFormat="1" ht="8.5500000000000007" customHeight="1" x14ac:dyDescent="0.2">
      <c r="A215" s="43"/>
      <c r="B215" s="463" t="s">
        <v>1414</v>
      </c>
      <c r="C215" s="464"/>
      <c r="D215" s="464"/>
      <c r="E215" s="464"/>
      <c r="F215" s="464"/>
      <c r="G215" s="307">
        <v>1997</v>
      </c>
      <c r="H215" s="372">
        <v>98</v>
      </c>
      <c r="I215" s="462">
        <v>95</v>
      </c>
      <c r="J215" s="162" t="s">
        <v>125</v>
      </c>
      <c r="K215" s="164">
        <v>3</v>
      </c>
      <c r="L215" s="43"/>
    </row>
    <row r="216" spans="1:12" s="45" customFormat="1" ht="8.5500000000000007" customHeight="1" x14ac:dyDescent="0.2">
      <c r="A216" s="43"/>
      <c r="B216" s="463"/>
      <c r="C216" s="464"/>
      <c r="D216" s="464"/>
      <c r="E216" s="464"/>
      <c r="F216" s="464"/>
      <c r="G216" s="307"/>
      <c r="H216" s="372"/>
      <c r="I216" s="462"/>
      <c r="J216" s="163"/>
      <c r="K216" s="165"/>
      <c r="L216" s="43"/>
    </row>
    <row r="217" spans="1:12" s="45" customFormat="1" ht="8.5500000000000007" customHeight="1" x14ac:dyDescent="0.2">
      <c r="A217" s="43"/>
      <c r="B217" s="463" t="s">
        <v>1414</v>
      </c>
      <c r="C217" s="464"/>
      <c r="D217" s="464"/>
      <c r="E217" s="464"/>
      <c r="F217" s="464"/>
      <c r="G217" s="307">
        <v>2000</v>
      </c>
      <c r="H217" s="372">
        <v>90</v>
      </c>
      <c r="I217" s="462"/>
      <c r="J217" s="162" t="s">
        <v>138</v>
      </c>
      <c r="K217" s="164">
        <v>1</v>
      </c>
      <c r="L217" s="43"/>
    </row>
    <row r="218" spans="1:12" s="45" customFormat="1" ht="8.5500000000000007" customHeight="1" x14ac:dyDescent="0.2">
      <c r="A218" s="43"/>
      <c r="B218" s="463"/>
      <c r="C218" s="464"/>
      <c r="D218" s="464"/>
      <c r="E218" s="464"/>
      <c r="F218" s="464"/>
      <c r="G218" s="307"/>
      <c r="H218" s="372"/>
      <c r="I218" s="462"/>
      <c r="J218" s="163"/>
      <c r="K218" s="165"/>
      <c r="L218" s="43"/>
    </row>
    <row r="219" spans="1:12" s="45" customFormat="1" ht="8.5500000000000007" customHeight="1" x14ac:dyDescent="0.2">
      <c r="A219" s="43"/>
      <c r="B219" s="463" t="s">
        <v>1414</v>
      </c>
      <c r="C219" s="464"/>
      <c r="D219" s="464"/>
      <c r="E219" s="464"/>
      <c r="F219" s="464"/>
      <c r="G219" s="307">
        <v>2003</v>
      </c>
      <c r="H219" s="372" t="s">
        <v>74</v>
      </c>
      <c r="I219" s="462">
        <v>87</v>
      </c>
      <c r="J219" s="162" t="s">
        <v>256</v>
      </c>
      <c r="K219" s="164">
        <v>2</v>
      </c>
      <c r="L219" s="43"/>
    </row>
    <row r="220" spans="1:12" s="45" customFormat="1" ht="8.5500000000000007" customHeight="1" x14ac:dyDescent="0.2">
      <c r="A220" s="43"/>
      <c r="B220" s="463"/>
      <c r="C220" s="464"/>
      <c r="D220" s="464"/>
      <c r="E220" s="464"/>
      <c r="F220" s="464"/>
      <c r="G220" s="307"/>
      <c r="H220" s="372"/>
      <c r="I220" s="462"/>
      <c r="J220" s="163"/>
      <c r="K220" s="165"/>
      <c r="L220" s="43"/>
    </row>
    <row r="221" spans="1:12" s="45" customFormat="1" ht="8.5500000000000007" customHeight="1" x14ac:dyDescent="0.2">
      <c r="A221" s="43"/>
      <c r="B221" s="463" t="s">
        <v>456</v>
      </c>
      <c r="C221" s="464"/>
      <c r="D221" s="464"/>
      <c r="E221" s="464"/>
      <c r="F221" s="464"/>
      <c r="G221" s="307">
        <v>1991</v>
      </c>
      <c r="H221" s="372">
        <v>96</v>
      </c>
      <c r="I221" s="462"/>
      <c r="J221" s="162"/>
      <c r="K221" s="164">
        <v>2</v>
      </c>
      <c r="L221" s="43"/>
    </row>
    <row r="222" spans="1:12" s="45" customFormat="1" ht="8.5500000000000007" customHeight="1" x14ac:dyDescent="0.2">
      <c r="A222" s="43"/>
      <c r="B222" s="463"/>
      <c r="C222" s="464"/>
      <c r="D222" s="464"/>
      <c r="E222" s="464"/>
      <c r="F222" s="464"/>
      <c r="G222" s="307"/>
      <c r="H222" s="372"/>
      <c r="I222" s="462"/>
      <c r="J222" s="163"/>
      <c r="K222" s="165"/>
      <c r="L222" s="43"/>
    </row>
    <row r="223" spans="1:12" s="45" customFormat="1" ht="8.5500000000000007" customHeight="1" x14ac:dyDescent="0.2">
      <c r="A223" s="43"/>
      <c r="B223" s="463" t="s">
        <v>456</v>
      </c>
      <c r="C223" s="464"/>
      <c r="D223" s="464"/>
      <c r="E223" s="464"/>
      <c r="F223" s="464"/>
      <c r="G223" s="307">
        <v>1992</v>
      </c>
      <c r="H223" s="372">
        <v>96</v>
      </c>
      <c r="I223" s="462"/>
      <c r="J223" s="162" t="s">
        <v>32</v>
      </c>
      <c r="K223" s="164">
        <v>2</v>
      </c>
      <c r="L223" s="43"/>
    </row>
    <row r="224" spans="1:12" s="45" customFormat="1" ht="8.5500000000000007" customHeight="1" x14ac:dyDescent="0.2">
      <c r="A224" s="43"/>
      <c r="B224" s="463"/>
      <c r="C224" s="464"/>
      <c r="D224" s="464"/>
      <c r="E224" s="464"/>
      <c r="F224" s="464"/>
      <c r="G224" s="307"/>
      <c r="H224" s="372"/>
      <c r="I224" s="462"/>
      <c r="J224" s="163"/>
      <c r="K224" s="165"/>
      <c r="L224" s="43"/>
    </row>
    <row r="225" spans="1:12" s="45" customFormat="1" ht="8.5500000000000007" customHeight="1" x14ac:dyDescent="0.2">
      <c r="A225" s="43"/>
      <c r="B225" s="463" t="s">
        <v>456</v>
      </c>
      <c r="C225" s="464"/>
      <c r="D225" s="464"/>
      <c r="E225" s="464"/>
      <c r="F225" s="464"/>
      <c r="G225" s="307">
        <v>2004</v>
      </c>
      <c r="H225" s="372">
        <v>93</v>
      </c>
      <c r="I225" s="462"/>
      <c r="J225" s="160"/>
      <c r="K225" s="164">
        <v>1</v>
      </c>
      <c r="L225" s="43"/>
    </row>
    <row r="226" spans="1:12" s="45" customFormat="1" ht="8.5500000000000007" customHeight="1" x14ac:dyDescent="0.2">
      <c r="A226" s="43"/>
      <c r="B226" s="463"/>
      <c r="C226" s="464"/>
      <c r="D226" s="464"/>
      <c r="E226" s="464"/>
      <c r="F226" s="464"/>
      <c r="G226" s="307"/>
      <c r="H226" s="372"/>
      <c r="I226" s="462"/>
      <c r="J226" s="161"/>
      <c r="K226" s="165"/>
      <c r="L226" s="43"/>
    </row>
    <row r="227" spans="1:12" s="45" customFormat="1" ht="8.5500000000000007" customHeight="1" x14ac:dyDescent="0.2">
      <c r="A227" s="43"/>
      <c r="B227" s="183" t="s">
        <v>1642</v>
      </c>
      <c r="C227" s="183"/>
      <c r="D227" s="183"/>
      <c r="E227" s="183"/>
      <c r="F227" s="184"/>
      <c r="G227" s="307">
        <v>1982</v>
      </c>
      <c r="H227" s="372">
        <v>86</v>
      </c>
      <c r="I227" s="462"/>
      <c r="J227" s="162"/>
      <c r="K227" s="164">
        <v>2</v>
      </c>
      <c r="L227" s="43"/>
    </row>
    <row r="228" spans="1:12" s="45" customFormat="1" ht="8.5500000000000007" customHeight="1" x14ac:dyDescent="0.2">
      <c r="A228" s="43"/>
      <c r="B228" s="185"/>
      <c r="C228" s="185"/>
      <c r="D228" s="185"/>
      <c r="E228" s="185"/>
      <c r="F228" s="186"/>
      <c r="G228" s="307"/>
      <c r="H228" s="372"/>
      <c r="I228" s="462"/>
      <c r="J228" s="163"/>
      <c r="K228" s="165"/>
      <c r="L228" s="43"/>
    </row>
    <row r="229" spans="1:12" s="45" customFormat="1" ht="8.5500000000000007" customHeight="1" x14ac:dyDescent="0.2">
      <c r="A229" s="43"/>
      <c r="B229" s="183" t="s">
        <v>666</v>
      </c>
      <c r="C229" s="183"/>
      <c r="D229" s="183"/>
      <c r="E229" s="183"/>
      <c r="F229" s="184"/>
      <c r="G229" s="307">
        <v>1987</v>
      </c>
      <c r="H229" s="372">
        <v>93</v>
      </c>
      <c r="I229" s="462">
        <v>96</v>
      </c>
      <c r="J229" s="162" t="s">
        <v>360</v>
      </c>
      <c r="K229" s="164">
        <v>1</v>
      </c>
      <c r="L229" s="43"/>
    </row>
    <row r="230" spans="1:12" s="45" customFormat="1" ht="8.5500000000000007" customHeight="1" x14ac:dyDescent="0.2">
      <c r="A230" s="43"/>
      <c r="B230" s="185"/>
      <c r="C230" s="185"/>
      <c r="D230" s="185"/>
      <c r="E230" s="185"/>
      <c r="F230" s="186"/>
      <c r="G230" s="307"/>
      <c r="H230" s="372"/>
      <c r="I230" s="462"/>
      <c r="J230" s="163"/>
      <c r="K230" s="165"/>
      <c r="L230" s="43"/>
    </row>
    <row r="231" spans="1:12" s="45" customFormat="1" ht="8.5500000000000007" customHeight="1" x14ac:dyDescent="0.2">
      <c r="A231" s="43"/>
      <c r="B231" s="183" t="s">
        <v>666</v>
      </c>
      <c r="C231" s="183"/>
      <c r="D231" s="183"/>
      <c r="E231" s="183"/>
      <c r="F231" s="184"/>
      <c r="G231" s="307">
        <v>1990</v>
      </c>
      <c r="H231" s="372">
        <v>90</v>
      </c>
      <c r="I231" s="462">
        <v>96</v>
      </c>
      <c r="J231" s="162" t="s">
        <v>37</v>
      </c>
      <c r="K231" s="164">
        <v>2</v>
      </c>
      <c r="L231" s="43"/>
    </row>
    <row r="232" spans="1:12" s="45" customFormat="1" ht="8.5500000000000007" customHeight="1" x14ac:dyDescent="0.2">
      <c r="A232" s="43"/>
      <c r="B232" s="185"/>
      <c r="C232" s="185"/>
      <c r="D232" s="185"/>
      <c r="E232" s="185"/>
      <c r="F232" s="186"/>
      <c r="G232" s="307"/>
      <c r="H232" s="372"/>
      <c r="I232" s="462"/>
      <c r="J232" s="163"/>
      <c r="K232" s="165"/>
      <c r="L232" s="43"/>
    </row>
    <row r="233" spans="1:12" s="45" customFormat="1" ht="8.5500000000000007" customHeight="1" x14ac:dyDescent="0.2">
      <c r="A233" s="43"/>
      <c r="B233" s="183" t="s">
        <v>666</v>
      </c>
      <c r="C233" s="183"/>
      <c r="D233" s="183"/>
      <c r="E233" s="183"/>
      <c r="F233" s="184"/>
      <c r="G233" s="307">
        <v>1995</v>
      </c>
      <c r="H233" s="372">
        <v>93</v>
      </c>
      <c r="I233" s="462"/>
      <c r="J233" s="162" t="s">
        <v>121</v>
      </c>
      <c r="K233" s="164">
        <v>1</v>
      </c>
      <c r="L233" s="43"/>
    </row>
    <row r="234" spans="1:12" s="45" customFormat="1" ht="8.5500000000000007" customHeight="1" x14ac:dyDescent="0.2">
      <c r="A234" s="43"/>
      <c r="B234" s="185"/>
      <c r="C234" s="185"/>
      <c r="D234" s="185"/>
      <c r="E234" s="185"/>
      <c r="F234" s="186"/>
      <c r="G234" s="307"/>
      <c r="H234" s="372"/>
      <c r="I234" s="462"/>
      <c r="J234" s="163"/>
      <c r="K234" s="165"/>
      <c r="L234" s="43"/>
    </row>
    <row r="235" spans="1:12" s="45" customFormat="1" ht="8.5500000000000007" customHeight="1" x14ac:dyDescent="0.2">
      <c r="A235" s="43"/>
      <c r="B235" s="183" t="s">
        <v>666</v>
      </c>
      <c r="C235" s="183"/>
      <c r="D235" s="183"/>
      <c r="E235" s="183"/>
      <c r="F235" s="184"/>
      <c r="G235" s="307">
        <v>1996</v>
      </c>
      <c r="H235" s="372"/>
      <c r="I235" s="462"/>
      <c r="J235" s="162"/>
      <c r="K235" s="164">
        <v>3</v>
      </c>
      <c r="L235" s="43"/>
    </row>
    <row r="236" spans="1:12" s="45" customFormat="1" ht="8.5500000000000007" customHeight="1" x14ac:dyDescent="0.2">
      <c r="A236" s="43"/>
      <c r="B236" s="185"/>
      <c r="C236" s="185"/>
      <c r="D236" s="185"/>
      <c r="E236" s="185"/>
      <c r="F236" s="186"/>
      <c r="G236" s="307"/>
      <c r="H236" s="372"/>
      <c r="I236" s="462"/>
      <c r="J236" s="163"/>
      <c r="K236" s="165"/>
      <c r="L236" s="43"/>
    </row>
    <row r="237" spans="1:12" s="45" customFormat="1" ht="8.5500000000000007" customHeight="1" x14ac:dyDescent="0.2">
      <c r="A237" s="43"/>
      <c r="B237" s="458" t="s">
        <v>1984</v>
      </c>
      <c r="C237" s="458"/>
      <c r="D237" s="458"/>
      <c r="E237" s="458"/>
      <c r="F237" s="459"/>
      <c r="G237" s="307">
        <v>2002</v>
      </c>
      <c r="H237" s="372"/>
      <c r="I237" s="462"/>
      <c r="J237" s="162"/>
      <c r="K237" s="164">
        <v>2</v>
      </c>
      <c r="L237" s="43"/>
    </row>
    <row r="238" spans="1:12" s="45" customFormat="1" ht="8.5500000000000007" customHeight="1" x14ac:dyDescent="0.2">
      <c r="A238" s="43"/>
      <c r="B238" s="460"/>
      <c r="C238" s="460"/>
      <c r="D238" s="460"/>
      <c r="E238" s="460"/>
      <c r="F238" s="461"/>
      <c r="G238" s="307"/>
      <c r="H238" s="372"/>
      <c r="I238" s="462"/>
      <c r="J238" s="163"/>
      <c r="K238" s="165"/>
      <c r="L238" s="43"/>
    </row>
    <row r="239" spans="1:12" s="45" customFormat="1" ht="8.5500000000000007" customHeight="1" x14ac:dyDescent="0.2">
      <c r="A239" s="43"/>
      <c r="B239" s="458" t="s">
        <v>1984</v>
      </c>
      <c r="C239" s="458"/>
      <c r="D239" s="458"/>
      <c r="E239" s="458"/>
      <c r="F239" s="459"/>
      <c r="G239" s="307">
        <v>2003</v>
      </c>
      <c r="H239" s="372"/>
      <c r="I239" s="462"/>
      <c r="J239" s="162"/>
      <c r="K239" s="164">
        <v>2</v>
      </c>
      <c r="L239" s="43"/>
    </row>
    <row r="240" spans="1:12" s="45" customFormat="1" ht="8.5500000000000007" customHeight="1" x14ac:dyDescent="0.2">
      <c r="A240" s="43"/>
      <c r="B240" s="460"/>
      <c r="C240" s="460"/>
      <c r="D240" s="460"/>
      <c r="E240" s="460"/>
      <c r="F240" s="461"/>
      <c r="G240" s="307"/>
      <c r="H240" s="372"/>
      <c r="I240" s="462"/>
      <c r="J240" s="163"/>
      <c r="K240" s="165"/>
      <c r="L240" s="43"/>
    </row>
    <row r="241" spans="1:12" s="45" customFormat="1" ht="8.5500000000000007" customHeight="1" x14ac:dyDescent="0.2">
      <c r="A241" s="43"/>
      <c r="B241" s="458" t="s">
        <v>672</v>
      </c>
      <c r="C241" s="458"/>
      <c r="D241" s="458"/>
      <c r="E241" s="458"/>
      <c r="F241" s="459"/>
      <c r="G241" s="307">
        <v>2004</v>
      </c>
      <c r="H241" s="372">
        <v>96</v>
      </c>
      <c r="I241" s="462"/>
      <c r="J241" s="162" t="s">
        <v>34</v>
      </c>
      <c r="K241" s="164">
        <v>1</v>
      </c>
      <c r="L241" s="43"/>
    </row>
    <row r="242" spans="1:12" s="45" customFormat="1" ht="8.5500000000000007" customHeight="1" x14ac:dyDescent="0.2">
      <c r="A242" s="43"/>
      <c r="B242" s="460"/>
      <c r="C242" s="460"/>
      <c r="D242" s="460"/>
      <c r="E242" s="460"/>
      <c r="F242" s="461"/>
      <c r="G242" s="307"/>
      <c r="H242" s="372"/>
      <c r="I242" s="462"/>
      <c r="J242" s="163"/>
      <c r="K242" s="165"/>
      <c r="L242" s="43"/>
    </row>
    <row r="243" spans="1:12" s="45" customFormat="1" ht="8.5500000000000007" customHeight="1" x14ac:dyDescent="0.2">
      <c r="A243" s="43"/>
      <c r="B243" s="458" t="s">
        <v>1984</v>
      </c>
      <c r="C243" s="458"/>
      <c r="D243" s="458"/>
      <c r="E243" s="458"/>
      <c r="F243" s="459"/>
      <c r="G243" s="251">
        <v>2005</v>
      </c>
      <c r="H243" s="304" t="s">
        <v>623</v>
      </c>
      <c r="I243" s="305">
        <v>90</v>
      </c>
      <c r="J243" s="332" t="s">
        <v>55</v>
      </c>
      <c r="K243" s="234">
        <v>1</v>
      </c>
      <c r="L243" s="43"/>
    </row>
    <row r="244" spans="1:12" s="45" customFormat="1" ht="8.5500000000000007" customHeight="1" x14ac:dyDescent="0.2">
      <c r="A244" s="43"/>
      <c r="B244" s="460"/>
      <c r="C244" s="460"/>
      <c r="D244" s="460"/>
      <c r="E244" s="460"/>
      <c r="F244" s="461"/>
      <c r="G244" s="252"/>
      <c r="H244" s="303"/>
      <c r="I244" s="306"/>
      <c r="J244" s="349"/>
      <c r="K244" s="235"/>
      <c r="L244" s="43"/>
    </row>
    <row r="245" spans="1:12" s="45" customFormat="1" ht="8.5500000000000007" customHeight="1" x14ac:dyDescent="0.2">
      <c r="A245" s="43"/>
      <c r="B245" s="458" t="s">
        <v>672</v>
      </c>
      <c r="C245" s="458"/>
      <c r="D245" s="458"/>
      <c r="E245" s="458"/>
      <c r="F245" s="459"/>
      <c r="G245" s="251">
        <v>2005</v>
      </c>
      <c r="H245" s="304" t="s">
        <v>623</v>
      </c>
      <c r="I245" s="305">
        <v>90</v>
      </c>
      <c r="J245" s="332" t="s">
        <v>55</v>
      </c>
      <c r="K245" s="234">
        <v>1</v>
      </c>
      <c r="L245" s="43"/>
    </row>
    <row r="246" spans="1:12" s="45" customFormat="1" ht="8.5500000000000007" customHeight="1" x14ac:dyDescent="0.2">
      <c r="A246" s="43"/>
      <c r="B246" s="460"/>
      <c r="C246" s="460"/>
      <c r="D246" s="460"/>
      <c r="E246" s="460"/>
      <c r="F246" s="461"/>
      <c r="G246" s="252"/>
      <c r="H246" s="303"/>
      <c r="I246" s="306"/>
      <c r="J246" s="349"/>
      <c r="K246" s="235"/>
      <c r="L246" s="43"/>
    </row>
    <row r="247" spans="1:12" s="45" customFormat="1" ht="8.5500000000000007" customHeight="1" x14ac:dyDescent="0.2">
      <c r="A247" s="43"/>
      <c r="B247" s="183" t="s">
        <v>666</v>
      </c>
      <c r="C247" s="183"/>
      <c r="D247" s="183"/>
      <c r="E247" s="183"/>
      <c r="F247" s="184"/>
      <c r="G247" s="307">
        <v>2007</v>
      </c>
      <c r="H247" s="372">
        <v>95</v>
      </c>
      <c r="I247" s="462">
        <v>94</v>
      </c>
      <c r="J247" s="162" t="s">
        <v>51</v>
      </c>
      <c r="K247" s="164">
        <v>2</v>
      </c>
      <c r="L247" s="43"/>
    </row>
    <row r="248" spans="1:12" s="45" customFormat="1" ht="8.5500000000000007" customHeight="1" x14ac:dyDescent="0.2">
      <c r="A248" s="43"/>
      <c r="B248" s="185"/>
      <c r="C248" s="185"/>
      <c r="D248" s="185"/>
      <c r="E248" s="185"/>
      <c r="F248" s="186"/>
      <c r="G248" s="307"/>
      <c r="H248" s="372"/>
      <c r="I248" s="462"/>
      <c r="J248" s="163"/>
      <c r="K248" s="165"/>
      <c r="L248" s="43"/>
    </row>
    <row r="249" spans="1:12" s="45" customFormat="1" ht="8.5500000000000007" customHeight="1" x14ac:dyDescent="0.2">
      <c r="A249" s="43"/>
      <c r="B249" s="183" t="s">
        <v>666</v>
      </c>
      <c r="C249" s="183"/>
      <c r="D249" s="183"/>
      <c r="E249" s="183"/>
      <c r="F249" s="184"/>
      <c r="G249" s="307">
        <v>2010</v>
      </c>
      <c r="H249" s="372">
        <v>96</v>
      </c>
      <c r="I249" s="462"/>
      <c r="J249" s="162"/>
      <c r="K249" s="164">
        <v>2</v>
      </c>
      <c r="L249" s="43"/>
    </row>
    <row r="250" spans="1:12" s="45" customFormat="1" ht="8.5500000000000007" customHeight="1" x14ac:dyDescent="0.2">
      <c r="A250" s="43"/>
      <c r="B250" s="185"/>
      <c r="C250" s="185"/>
      <c r="D250" s="185"/>
      <c r="E250" s="185"/>
      <c r="F250" s="186"/>
      <c r="G250" s="307"/>
      <c r="H250" s="372"/>
      <c r="I250" s="462"/>
      <c r="J250" s="163"/>
      <c r="K250" s="165"/>
      <c r="L250" s="43"/>
    </row>
    <row r="251" spans="1:12" s="45" customFormat="1" ht="8.5500000000000007" customHeight="1" x14ac:dyDescent="0.2">
      <c r="A251" s="43"/>
      <c r="B251" s="183" t="s">
        <v>666</v>
      </c>
      <c r="C251" s="183"/>
      <c r="D251" s="183"/>
      <c r="E251" s="183"/>
      <c r="F251" s="184"/>
      <c r="G251" s="307">
        <v>2012</v>
      </c>
      <c r="H251" s="372">
        <v>96</v>
      </c>
      <c r="I251" s="462"/>
      <c r="J251" s="162" t="s">
        <v>455</v>
      </c>
      <c r="K251" s="164">
        <v>3</v>
      </c>
      <c r="L251" s="43"/>
    </row>
    <row r="252" spans="1:12" s="45" customFormat="1" ht="8.5500000000000007" customHeight="1" x14ac:dyDescent="0.2">
      <c r="A252" s="43"/>
      <c r="B252" s="185"/>
      <c r="C252" s="185"/>
      <c r="D252" s="185"/>
      <c r="E252" s="185"/>
      <c r="F252" s="186"/>
      <c r="G252" s="307"/>
      <c r="H252" s="372"/>
      <c r="I252" s="462"/>
      <c r="J252" s="163"/>
      <c r="K252" s="165"/>
      <c r="L252" s="43"/>
    </row>
    <row r="253" spans="1:12" s="45" customFormat="1" ht="8.5500000000000007" customHeight="1" x14ac:dyDescent="0.2">
      <c r="A253" s="43"/>
      <c r="B253" s="183" t="s">
        <v>666</v>
      </c>
      <c r="C253" s="183"/>
      <c r="D253" s="183"/>
      <c r="E253" s="183"/>
      <c r="F253" s="184"/>
      <c r="G253" s="307">
        <v>2014</v>
      </c>
      <c r="H253" s="372">
        <v>96</v>
      </c>
      <c r="I253" s="462"/>
      <c r="J253" s="162" t="s">
        <v>1618</v>
      </c>
      <c r="K253" s="164">
        <v>5</v>
      </c>
      <c r="L253" s="43"/>
    </row>
    <row r="254" spans="1:12" s="45" customFormat="1" ht="8.5500000000000007" customHeight="1" x14ac:dyDescent="0.2">
      <c r="A254" s="43"/>
      <c r="B254" s="185"/>
      <c r="C254" s="185"/>
      <c r="D254" s="185"/>
      <c r="E254" s="185"/>
      <c r="F254" s="186"/>
      <c r="G254" s="307"/>
      <c r="H254" s="372"/>
      <c r="I254" s="462"/>
      <c r="J254" s="163"/>
      <c r="K254" s="165"/>
      <c r="L254" s="43"/>
    </row>
    <row r="255" spans="1:12" s="45" customFormat="1" ht="8.5500000000000007" customHeight="1" x14ac:dyDescent="0.2">
      <c r="A255" s="43"/>
      <c r="B255" s="183" t="s">
        <v>666</v>
      </c>
      <c r="C255" s="183"/>
      <c r="D255" s="183"/>
      <c r="E255" s="183"/>
      <c r="F255" s="184"/>
      <c r="G255" s="307">
        <v>2018</v>
      </c>
      <c r="H255" s="372">
        <v>98</v>
      </c>
      <c r="I255" s="462"/>
      <c r="J255" s="162" t="s">
        <v>1881</v>
      </c>
      <c r="K255" s="164">
        <v>3</v>
      </c>
      <c r="L255" s="43"/>
    </row>
    <row r="256" spans="1:12" s="45" customFormat="1" ht="8.5500000000000007" customHeight="1" x14ac:dyDescent="0.2">
      <c r="A256" s="43"/>
      <c r="B256" s="185"/>
      <c r="C256" s="185"/>
      <c r="D256" s="185"/>
      <c r="E256" s="185"/>
      <c r="F256" s="186"/>
      <c r="G256" s="307"/>
      <c r="H256" s="372"/>
      <c r="I256" s="462"/>
      <c r="J256" s="163"/>
      <c r="K256" s="165"/>
      <c r="L256" s="43"/>
    </row>
    <row r="257" spans="1:12" s="45" customFormat="1" ht="8.5500000000000007" customHeight="1" x14ac:dyDescent="0.2">
      <c r="A257" s="43"/>
      <c r="B257" s="463" t="s">
        <v>457</v>
      </c>
      <c r="C257" s="464"/>
      <c r="D257" s="464"/>
      <c r="E257" s="464"/>
      <c r="F257" s="464"/>
      <c r="G257" s="307">
        <v>1992</v>
      </c>
      <c r="H257" s="372">
        <v>91</v>
      </c>
      <c r="I257" s="462"/>
      <c r="J257" s="162"/>
      <c r="K257" s="164">
        <v>4</v>
      </c>
      <c r="L257" s="43"/>
    </row>
    <row r="258" spans="1:12" s="45" customFormat="1" ht="8.5500000000000007" customHeight="1" x14ac:dyDescent="0.2">
      <c r="A258" s="43"/>
      <c r="B258" s="463"/>
      <c r="C258" s="464"/>
      <c r="D258" s="464"/>
      <c r="E258" s="464"/>
      <c r="F258" s="464"/>
      <c r="G258" s="307"/>
      <c r="H258" s="372"/>
      <c r="I258" s="462"/>
      <c r="J258" s="163"/>
      <c r="K258" s="165"/>
      <c r="L258" s="43"/>
    </row>
    <row r="259" spans="1:12" s="45" customFormat="1" ht="8.5500000000000007" customHeight="1" x14ac:dyDescent="0.2">
      <c r="A259" s="43"/>
      <c r="B259" s="463" t="s">
        <v>457</v>
      </c>
      <c r="C259" s="464"/>
      <c r="D259" s="464"/>
      <c r="E259" s="464"/>
      <c r="F259" s="464"/>
      <c r="G259" s="307">
        <v>1994</v>
      </c>
      <c r="H259" s="372">
        <v>98</v>
      </c>
      <c r="I259" s="462"/>
      <c r="J259" s="162" t="s">
        <v>1142</v>
      </c>
      <c r="K259" s="164">
        <v>3</v>
      </c>
      <c r="L259" s="43"/>
    </row>
    <row r="260" spans="1:12" s="45" customFormat="1" ht="8.5500000000000007" customHeight="1" x14ac:dyDescent="0.2">
      <c r="A260" s="43"/>
      <c r="B260" s="463"/>
      <c r="C260" s="464"/>
      <c r="D260" s="464"/>
      <c r="E260" s="464"/>
      <c r="F260" s="464"/>
      <c r="G260" s="307"/>
      <c r="H260" s="372"/>
      <c r="I260" s="462"/>
      <c r="J260" s="163"/>
      <c r="K260" s="165"/>
      <c r="L260" s="43"/>
    </row>
    <row r="261" spans="1:12" s="45" customFormat="1" ht="8.5500000000000007" customHeight="1" x14ac:dyDescent="0.2">
      <c r="A261" s="43"/>
      <c r="B261" s="463" t="s">
        <v>457</v>
      </c>
      <c r="C261" s="464"/>
      <c r="D261" s="464"/>
      <c r="E261" s="464"/>
      <c r="F261" s="464"/>
      <c r="G261" s="307">
        <v>1995</v>
      </c>
      <c r="H261" s="372">
        <v>99</v>
      </c>
      <c r="I261" s="462"/>
      <c r="J261" s="162" t="s">
        <v>473</v>
      </c>
      <c r="K261" s="164">
        <v>1</v>
      </c>
      <c r="L261" s="43"/>
    </row>
    <row r="262" spans="1:12" s="45" customFormat="1" ht="8.5500000000000007" customHeight="1" x14ac:dyDescent="0.2">
      <c r="A262" s="43"/>
      <c r="B262" s="463"/>
      <c r="C262" s="464"/>
      <c r="D262" s="464"/>
      <c r="E262" s="464"/>
      <c r="F262" s="464"/>
      <c r="G262" s="307"/>
      <c r="H262" s="372"/>
      <c r="I262" s="462"/>
      <c r="J262" s="163"/>
      <c r="K262" s="165"/>
      <c r="L262" s="43"/>
    </row>
    <row r="263" spans="1:12" s="45" customFormat="1" ht="8.5500000000000007" customHeight="1" x14ac:dyDescent="0.2">
      <c r="A263" s="43"/>
      <c r="B263" s="463" t="s">
        <v>457</v>
      </c>
      <c r="C263" s="464"/>
      <c r="D263" s="464"/>
      <c r="E263" s="464"/>
      <c r="F263" s="464"/>
      <c r="G263" s="307">
        <v>1996</v>
      </c>
      <c r="H263" s="372">
        <v>99</v>
      </c>
      <c r="I263" s="462"/>
      <c r="J263" s="162" t="s">
        <v>1161</v>
      </c>
      <c r="K263" s="164">
        <v>1</v>
      </c>
      <c r="L263" s="43"/>
    </row>
    <row r="264" spans="1:12" s="45" customFormat="1" ht="8.5500000000000007" customHeight="1" x14ac:dyDescent="0.2">
      <c r="A264" s="43"/>
      <c r="B264" s="463"/>
      <c r="C264" s="464"/>
      <c r="D264" s="464"/>
      <c r="E264" s="464"/>
      <c r="F264" s="464"/>
      <c r="G264" s="307"/>
      <c r="H264" s="372"/>
      <c r="I264" s="462"/>
      <c r="J264" s="163"/>
      <c r="K264" s="165"/>
      <c r="L264" s="43"/>
    </row>
    <row r="265" spans="1:12" s="45" customFormat="1" ht="8.5500000000000007" customHeight="1" x14ac:dyDescent="0.2">
      <c r="A265" s="43"/>
      <c r="B265" s="463" t="s">
        <v>457</v>
      </c>
      <c r="C265" s="464"/>
      <c r="D265" s="464"/>
      <c r="E265" s="464"/>
      <c r="F265" s="464"/>
      <c r="G265" s="307">
        <v>1998</v>
      </c>
      <c r="H265" s="372">
        <v>93</v>
      </c>
      <c r="I265" s="462"/>
      <c r="J265" s="162"/>
      <c r="K265" s="164">
        <v>3</v>
      </c>
      <c r="L265" s="43"/>
    </row>
    <row r="266" spans="1:12" s="45" customFormat="1" ht="8.5500000000000007" customHeight="1" x14ac:dyDescent="0.2">
      <c r="A266" s="43"/>
      <c r="B266" s="463"/>
      <c r="C266" s="464"/>
      <c r="D266" s="464"/>
      <c r="E266" s="464"/>
      <c r="F266" s="464"/>
      <c r="G266" s="307"/>
      <c r="H266" s="372"/>
      <c r="I266" s="462"/>
      <c r="J266" s="163"/>
      <c r="K266" s="165"/>
      <c r="L266" s="43"/>
    </row>
    <row r="267" spans="1:12" s="45" customFormat="1" ht="8.5500000000000007" customHeight="1" x14ac:dyDescent="0.2">
      <c r="A267" s="43"/>
      <c r="B267" s="463" t="s">
        <v>457</v>
      </c>
      <c r="C267" s="464"/>
      <c r="D267" s="464"/>
      <c r="E267" s="464"/>
      <c r="F267" s="464"/>
      <c r="G267" s="307">
        <v>2002</v>
      </c>
      <c r="H267" s="372">
        <v>93</v>
      </c>
      <c r="I267" s="462">
        <v>92</v>
      </c>
      <c r="J267" s="162" t="s">
        <v>262</v>
      </c>
      <c r="K267" s="164">
        <v>1</v>
      </c>
      <c r="L267" s="43"/>
    </row>
    <row r="268" spans="1:12" s="45" customFormat="1" ht="8.5500000000000007" customHeight="1" x14ac:dyDescent="0.2">
      <c r="A268" s="43"/>
      <c r="B268" s="463"/>
      <c r="C268" s="464"/>
      <c r="D268" s="464"/>
      <c r="E268" s="464"/>
      <c r="F268" s="464"/>
      <c r="G268" s="307"/>
      <c r="H268" s="372"/>
      <c r="I268" s="462"/>
      <c r="J268" s="163"/>
      <c r="K268" s="165"/>
      <c r="L268" s="43"/>
    </row>
    <row r="269" spans="1:12" s="45" customFormat="1" ht="8.5500000000000007" customHeight="1" x14ac:dyDescent="0.2">
      <c r="A269" s="43"/>
      <c r="B269" s="463" t="s">
        <v>457</v>
      </c>
      <c r="C269" s="464"/>
      <c r="D269" s="464"/>
      <c r="E269" s="464"/>
      <c r="F269" s="464"/>
      <c r="G269" s="307">
        <v>2003</v>
      </c>
      <c r="H269" s="372">
        <v>96</v>
      </c>
      <c r="I269" s="462">
        <v>88</v>
      </c>
      <c r="J269" s="332" t="s">
        <v>224</v>
      </c>
      <c r="K269" s="164">
        <v>1</v>
      </c>
      <c r="L269" s="43"/>
    </row>
    <row r="270" spans="1:12" s="45" customFormat="1" ht="8.5500000000000007" customHeight="1" x14ac:dyDescent="0.2">
      <c r="A270" s="43"/>
      <c r="B270" s="463"/>
      <c r="C270" s="464"/>
      <c r="D270" s="464"/>
      <c r="E270" s="464"/>
      <c r="F270" s="464"/>
      <c r="G270" s="307"/>
      <c r="H270" s="372"/>
      <c r="I270" s="462"/>
      <c r="J270" s="349"/>
      <c r="K270" s="165"/>
      <c r="L270" s="43"/>
    </row>
    <row r="271" spans="1:12" s="45" customFormat="1" ht="8.5500000000000007" customHeight="1" x14ac:dyDescent="0.2">
      <c r="A271" s="43"/>
      <c r="B271" s="463" t="s">
        <v>457</v>
      </c>
      <c r="C271" s="464"/>
      <c r="D271" s="464"/>
      <c r="E271" s="464"/>
      <c r="F271" s="464"/>
      <c r="G271" s="307">
        <v>2004</v>
      </c>
      <c r="H271" s="372">
        <v>98</v>
      </c>
      <c r="I271" s="462"/>
      <c r="J271" s="162" t="s">
        <v>323</v>
      </c>
      <c r="K271" s="164">
        <v>2</v>
      </c>
      <c r="L271" s="43"/>
    </row>
    <row r="272" spans="1:12" s="45" customFormat="1" ht="8.5500000000000007" customHeight="1" x14ac:dyDescent="0.2">
      <c r="A272" s="43"/>
      <c r="B272" s="463"/>
      <c r="C272" s="464"/>
      <c r="D272" s="464"/>
      <c r="E272" s="464"/>
      <c r="F272" s="464"/>
      <c r="G272" s="307"/>
      <c r="H272" s="372"/>
      <c r="I272" s="462"/>
      <c r="J272" s="163"/>
      <c r="K272" s="165"/>
      <c r="L272" s="43"/>
    </row>
    <row r="273" spans="1:12" s="45" customFormat="1" ht="8.5500000000000007" customHeight="1" x14ac:dyDescent="0.2">
      <c r="A273" s="43"/>
      <c r="B273" s="463" t="s">
        <v>458</v>
      </c>
      <c r="C273" s="464"/>
      <c r="D273" s="464"/>
      <c r="E273" s="464"/>
      <c r="F273" s="464"/>
      <c r="G273" s="307">
        <v>1992</v>
      </c>
      <c r="H273" s="372">
        <v>90</v>
      </c>
      <c r="I273" s="462"/>
      <c r="J273" s="162"/>
      <c r="K273" s="164">
        <v>1</v>
      </c>
      <c r="L273" s="43"/>
    </row>
    <row r="274" spans="1:12" s="45" customFormat="1" ht="8.5500000000000007" customHeight="1" x14ac:dyDescent="0.2">
      <c r="A274" s="43"/>
      <c r="B274" s="463"/>
      <c r="C274" s="464"/>
      <c r="D274" s="464"/>
      <c r="E274" s="464"/>
      <c r="F274" s="464"/>
      <c r="G274" s="307"/>
      <c r="H274" s="372"/>
      <c r="I274" s="462"/>
      <c r="J274" s="163"/>
      <c r="K274" s="165"/>
      <c r="L274" s="43"/>
    </row>
    <row r="275" spans="1:12" s="45" customFormat="1" ht="8.5500000000000007" customHeight="1" x14ac:dyDescent="0.2">
      <c r="A275" s="43"/>
      <c r="B275" s="463" t="s">
        <v>458</v>
      </c>
      <c r="C275" s="464"/>
      <c r="D275" s="464"/>
      <c r="E275" s="464"/>
      <c r="F275" s="464"/>
      <c r="G275" s="307">
        <v>1994</v>
      </c>
      <c r="H275" s="372">
        <v>94</v>
      </c>
      <c r="I275" s="462"/>
      <c r="J275" s="162" t="s">
        <v>716</v>
      </c>
      <c r="K275" s="164">
        <v>1</v>
      </c>
      <c r="L275" s="43"/>
    </row>
    <row r="276" spans="1:12" s="45" customFormat="1" ht="8.5500000000000007" customHeight="1" x14ac:dyDescent="0.2">
      <c r="A276" s="43"/>
      <c r="B276" s="463"/>
      <c r="C276" s="464"/>
      <c r="D276" s="464"/>
      <c r="E276" s="464"/>
      <c r="F276" s="464"/>
      <c r="G276" s="307"/>
      <c r="H276" s="372"/>
      <c r="I276" s="462"/>
      <c r="J276" s="163"/>
      <c r="K276" s="165"/>
      <c r="L276" s="43"/>
    </row>
    <row r="277" spans="1:12" s="45" customFormat="1" ht="8.5500000000000007" customHeight="1" x14ac:dyDescent="0.2">
      <c r="A277" s="43"/>
      <c r="B277" s="463" t="s">
        <v>458</v>
      </c>
      <c r="C277" s="464"/>
      <c r="D277" s="464"/>
      <c r="E277" s="464"/>
      <c r="F277" s="464"/>
      <c r="G277" s="307">
        <v>1996</v>
      </c>
      <c r="H277" s="372">
        <v>98</v>
      </c>
      <c r="I277" s="462"/>
      <c r="J277" s="162" t="s">
        <v>125</v>
      </c>
      <c r="K277" s="164">
        <v>3</v>
      </c>
      <c r="L277" s="43"/>
    </row>
    <row r="278" spans="1:12" s="45" customFormat="1" ht="8.5500000000000007" customHeight="1" x14ac:dyDescent="0.2">
      <c r="A278" s="43"/>
      <c r="B278" s="463"/>
      <c r="C278" s="464"/>
      <c r="D278" s="464"/>
      <c r="E278" s="464"/>
      <c r="F278" s="464"/>
      <c r="G278" s="307"/>
      <c r="H278" s="372"/>
      <c r="I278" s="462"/>
      <c r="J278" s="163"/>
      <c r="K278" s="165"/>
      <c r="L278" s="43"/>
    </row>
    <row r="279" spans="1:12" s="45" customFormat="1" ht="8.5500000000000007" customHeight="1" x14ac:dyDescent="0.2">
      <c r="A279" s="43"/>
      <c r="B279" s="463" t="s">
        <v>458</v>
      </c>
      <c r="C279" s="464"/>
      <c r="D279" s="464"/>
      <c r="E279" s="464"/>
      <c r="F279" s="464"/>
      <c r="G279" s="307">
        <v>1997</v>
      </c>
      <c r="H279" s="372">
        <v>100</v>
      </c>
      <c r="I279" s="462"/>
      <c r="J279" s="162" t="s">
        <v>459</v>
      </c>
      <c r="K279" s="164">
        <v>5</v>
      </c>
      <c r="L279" s="43"/>
    </row>
    <row r="280" spans="1:12" s="45" customFormat="1" ht="8.5500000000000007" customHeight="1" x14ac:dyDescent="0.2">
      <c r="A280" s="43"/>
      <c r="B280" s="463"/>
      <c r="C280" s="464"/>
      <c r="D280" s="464"/>
      <c r="E280" s="464"/>
      <c r="F280" s="464"/>
      <c r="G280" s="307"/>
      <c r="H280" s="372"/>
      <c r="I280" s="462"/>
      <c r="J280" s="163"/>
      <c r="K280" s="165"/>
      <c r="L280" s="43"/>
    </row>
    <row r="281" spans="1:12" s="45" customFormat="1" ht="8.5500000000000007" customHeight="1" x14ac:dyDescent="0.2">
      <c r="A281" s="43"/>
      <c r="B281" s="463" t="s">
        <v>458</v>
      </c>
      <c r="C281" s="464"/>
      <c r="D281" s="464"/>
      <c r="E281" s="464"/>
      <c r="F281" s="464"/>
      <c r="G281" s="307">
        <v>2001</v>
      </c>
      <c r="H281" s="372">
        <v>100</v>
      </c>
      <c r="I281" s="462"/>
      <c r="J281" s="162" t="s">
        <v>451</v>
      </c>
      <c r="K281" s="164">
        <v>6</v>
      </c>
      <c r="L281" s="43"/>
    </row>
    <row r="282" spans="1:12" s="45" customFormat="1" ht="8.5500000000000007" customHeight="1" x14ac:dyDescent="0.2">
      <c r="A282" s="43"/>
      <c r="B282" s="463"/>
      <c r="C282" s="464"/>
      <c r="D282" s="464"/>
      <c r="E282" s="464"/>
      <c r="F282" s="464"/>
      <c r="G282" s="307"/>
      <c r="H282" s="372"/>
      <c r="I282" s="462"/>
      <c r="J282" s="163"/>
      <c r="K282" s="165"/>
      <c r="L282" s="43"/>
    </row>
    <row r="283" spans="1:12" s="45" customFormat="1" ht="8.5500000000000007" customHeight="1" x14ac:dyDescent="0.2">
      <c r="A283" s="43"/>
      <c r="B283" s="463" t="s">
        <v>458</v>
      </c>
      <c r="C283" s="464"/>
      <c r="D283" s="464"/>
      <c r="E283" s="464"/>
      <c r="F283" s="464"/>
      <c r="G283" s="307">
        <v>2002</v>
      </c>
      <c r="H283" s="372">
        <v>100</v>
      </c>
      <c r="I283" s="462"/>
      <c r="J283" s="332" t="s">
        <v>359</v>
      </c>
      <c r="K283" s="164">
        <v>2</v>
      </c>
      <c r="L283" s="43"/>
    </row>
    <row r="284" spans="1:12" s="45" customFormat="1" ht="8.5500000000000007" customHeight="1" x14ac:dyDescent="0.2">
      <c r="A284" s="43"/>
      <c r="B284" s="463"/>
      <c r="C284" s="464"/>
      <c r="D284" s="464"/>
      <c r="E284" s="464"/>
      <c r="F284" s="464"/>
      <c r="G284" s="307"/>
      <c r="H284" s="372"/>
      <c r="I284" s="462"/>
      <c r="J284" s="349"/>
      <c r="K284" s="165"/>
      <c r="L284" s="43"/>
    </row>
    <row r="285" spans="1:12" s="45" customFormat="1" ht="8.5500000000000007" customHeight="1" x14ac:dyDescent="0.2">
      <c r="A285" s="43"/>
      <c r="B285" s="463" t="s">
        <v>458</v>
      </c>
      <c r="C285" s="464"/>
      <c r="D285" s="464"/>
      <c r="E285" s="464"/>
      <c r="F285" s="464"/>
      <c r="G285" s="307">
        <v>2003</v>
      </c>
      <c r="H285" s="372">
        <v>95</v>
      </c>
      <c r="I285" s="462"/>
      <c r="J285" s="162" t="s">
        <v>460</v>
      </c>
      <c r="K285" s="164">
        <v>5</v>
      </c>
      <c r="L285" s="43"/>
    </row>
    <row r="286" spans="1:12" s="45" customFormat="1" ht="8.5500000000000007" customHeight="1" x14ac:dyDescent="0.2">
      <c r="A286" s="43"/>
      <c r="B286" s="463"/>
      <c r="C286" s="464"/>
      <c r="D286" s="464"/>
      <c r="E286" s="464"/>
      <c r="F286" s="464"/>
      <c r="G286" s="307"/>
      <c r="H286" s="372"/>
      <c r="I286" s="462"/>
      <c r="J286" s="163"/>
      <c r="K286" s="165"/>
      <c r="L286" s="43"/>
    </row>
    <row r="287" spans="1:12" s="45" customFormat="1" ht="8.5500000000000007" customHeight="1" x14ac:dyDescent="0.2">
      <c r="A287" s="43"/>
      <c r="B287" s="463" t="s">
        <v>458</v>
      </c>
      <c r="C287" s="464"/>
      <c r="D287" s="464"/>
      <c r="E287" s="464"/>
      <c r="F287" s="464"/>
      <c r="G287" s="307">
        <v>2004</v>
      </c>
      <c r="H287" s="372">
        <v>97</v>
      </c>
      <c r="I287" s="462"/>
      <c r="J287" s="162" t="s">
        <v>51</v>
      </c>
      <c r="K287" s="164">
        <v>3</v>
      </c>
      <c r="L287" s="43"/>
    </row>
    <row r="288" spans="1:12" s="45" customFormat="1" ht="8.5500000000000007" customHeight="1" x14ac:dyDescent="0.2">
      <c r="A288" s="43"/>
      <c r="B288" s="463"/>
      <c r="C288" s="464"/>
      <c r="D288" s="464"/>
      <c r="E288" s="464"/>
      <c r="F288" s="464"/>
      <c r="G288" s="307"/>
      <c r="H288" s="372"/>
      <c r="I288" s="462"/>
      <c r="J288" s="163"/>
      <c r="K288" s="165"/>
      <c r="L288" s="43"/>
    </row>
    <row r="289" spans="1:12" s="45" customFormat="1" ht="8.5500000000000007" customHeight="1" x14ac:dyDescent="0.2">
      <c r="A289" s="43"/>
      <c r="B289" s="463" t="s">
        <v>458</v>
      </c>
      <c r="C289" s="464"/>
      <c r="D289" s="464"/>
      <c r="E289" s="464"/>
      <c r="F289" s="464"/>
      <c r="G289" s="307">
        <v>2005</v>
      </c>
      <c r="H289" s="372" t="s">
        <v>620</v>
      </c>
      <c r="I289" s="462"/>
      <c r="J289" s="162" t="s">
        <v>47</v>
      </c>
      <c r="K289" s="164">
        <v>3</v>
      </c>
      <c r="L289" s="43"/>
    </row>
    <row r="290" spans="1:12" s="45" customFormat="1" ht="8.5500000000000007" customHeight="1" x14ac:dyDescent="0.2">
      <c r="A290" s="43"/>
      <c r="B290" s="463"/>
      <c r="C290" s="464"/>
      <c r="D290" s="464"/>
      <c r="E290" s="464"/>
      <c r="F290" s="464"/>
      <c r="G290" s="307"/>
      <c r="H290" s="372"/>
      <c r="I290" s="462"/>
      <c r="J290" s="163"/>
      <c r="K290" s="165"/>
      <c r="L290" s="43"/>
    </row>
    <row r="291" spans="1:12" s="45" customFormat="1" ht="8.5500000000000007" customHeight="1" x14ac:dyDescent="0.2">
      <c r="A291" s="43"/>
      <c r="B291" s="463" t="s">
        <v>458</v>
      </c>
      <c r="C291" s="464"/>
      <c r="D291" s="464"/>
      <c r="E291" s="464"/>
      <c r="F291" s="464"/>
      <c r="G291" s="307">
        <v>2009</v>
      </c>
      <c r="H291" s="372">
        <v>97</v>
      </c>
      <c r="I291" s="462"/>
      <c r="J291" s="162" t="s">
        <v>858</v>
      </c>
      <c r="K291" s="164">
        <v>1</v>
      </c>
      <c r="L291" s="43"/>
    </row>
    <row r="292" spans="1:12" s="45" customFormat="1" ht="8.5500000000000007" customHeight="1" x14ac:dyDescent="0.2">
      <c r="A292" s="43"/>
      <c r="B292" s="463"/>
      <c r="C292" s="464"/>
      <c r="D292" s="464"/>
      <c r="E292" s="464"/>
      <c r="F292" s="464"/>
      <c r="G292" s="307"/>
      <c r="H292" s="372"/>
      <c r="I292" s="462"/>
      <c r="J292" s="163"/>
      <c r="K292" s="165"/>
      <c r="L292" s="43"/>
    </row>
    <row r="293" spans="1:12" s="45" customFormat="1" ht="8.5500000000000007" customHeight="1" x14ac:dyDescent="0.2">
      <c r="A293" s="43"/>
      <c r="B293" s="463" t="s">
        <v>1663</v>
      </c>
      <c r="C293" s="464"/>
      <c r="D293" s="464"/>
      <c r="E293" s="464"/>
      <c r="F293" s="464"/>
      <c r="G293" s="307">
        <v>2001</v>
      </c>
      <c r="H293" s="372">
        <v>100</v>
      </c>
      <c r="I293" s="462"/>
      <c r="J293" s="162" t="s">
        <v>451</v>
      </c>
      <c r="K293" s="164">
        <v>1</v>
      </c>
      <c r="L293" s="43"/>
    </row>
    <row r="294" spans="1:12" s="45" customFormat="1" ht="8.5500000000000007" customHeight="1" x14ac:dyDescent="0.2">
      <c r="A294" s="43"/>
      <c r="B294" s="463"/>
      <c r="C294" s="464"/>
      <c r="D294" s="464"/>
      <c r="E294" s="464"/>
      <c r="F294" s="464"/>
      <c r="G294" s="307"/>
      <c r="H294" s="372"/>
      <c r="I294" s="462"/>
      <c r="J294" s="163"/>
      <c r="K294" s="165"/>
      <c r="L294" s="43"/>
    </row>
    <row r="295" spans="1:12" s="45" customFormat="1" ht="8.5500000000000007" customHeight="1" x14ac:dyDescent="0.2">
      <c r="A295" s="43"/>
      <c r="B295" s="463" t="s">
        <v>1663</v>
      </c>
      <c r="C295" s="464"/>
      <c r="D295" s="464"/>
      <c r="E295" s="464"/>
      <c r="F295" s="464"/>
      <c r="G295" s="307">
        <v>2002</v>
      </c>
      <c r="H295" s="372">
        <v>100</v>
      </c>
      <c r="I295" s="462"/>
      <c r="J295" s="162" t="s">
        <v>126</v>
      </c>
      <c r="K295" s="164">
        <v>3</v>
      </c>
      <c r="L295" s="43"/>
    </row>
    <row r="296" spans="1:12" s="45" customFormat="1" ht="8.5500000000000007" customHeight="1" x14ac:dyDescent="0.2">
      <c r="A296" s="43"/>
      <c r="B296" s="463"/>
      <c r="C296" s="464"/>
      <c r="D296" s="464"/>
      <c r="E296" s="464"/>
      <c r="F296" s="464"/>
      <c r="G296" s="307"/>
      <c r="H296" s="372"/>
      <c r="I296" s="462"/>
      <c r="J296" s="163"/>
      <c r="K296" s="165"/>
      <c r="L296" s="43"/>
    </row>
    <row r="297" spans="1:12" s="45" customFormat="1" ht="8.5500000000000007" customHeight="1" x14ac:dyDescent="0.2">
      <c r="A297" s="43"/>
      <c r="B297" s="463" t="s">
        <v>1663</v>
      </c>
      <c r="C297" s="464"/>
      <c r="D297" s="464"/>
      <c r="E297" s="464"/>
      <c r="F297" s="464"/>
      <c r="G297" s="307">
        <v>2003</v>
      </c>
      <c r="H297" s="372">
        <v>98</v>
      </c>
      <c r="I297" s="462"/>
      <c r="J297" s="162" t="s">
        <v>461</v>
      </c>
      <c r="K297" s="164">
        <v>2</v>
      </c>
      <c r="L297" s="43"/>
    </row>
    <row r="298" spans="1:12" s="45" customFormat="1" ht="8.5500000000000007" customHeight="1" x14ac:dyDescent="0.2">
      <c r="A298" s="43"/>
      <c r="B298" s="463"/>
      <c r="C298" s="464"/>
      <c r="D298" s="464"/>
      <c r="E298" s="464"/>
      <c r="F298" s="464"/>
      <c r="G298" s="307"/>
      <c r="H298" s="372"/>
      <c r="I298" s="462"/>
      <c r="J298" s="163"/>
      <c r="K298" s="165"/>
      <c r="L298" s="43"/>
    </row>
    <row r="299" spans="1:12" s="45" customFormat="1" ht="8.5500000000000007" customHeight="1" x14ac:dyDescent="0.2">
      <c r="A299" s="43"/>
      <c r="B299" s="463" t="s">
        <v>1663</v>
      </c>
      <c r="C299" s="464"/>
      <c r="D299" s="464"/>
      <c r="E299" s="464"/>
      <c r="F299" s="464"/>
      <c r="G299" s="307">
        <v>2004</v>
      </c>
      <c r="H299" s="372">
        <v>98</v>
      </c>
      <c r="I299" s="462"/>
      <c r="J299" s="162" t="s">
        <v>337</v>
      </c>
      <c r="K299" s="164">
        <v>2</v>
      </c>
      <c r="L299" s="43"/>
    </row>
    <row r="300" spans="1:12" s="45" customFormat="1" ht="8.5500000000000007" customHeight="1" x14ac:dyDescent="0.2">
      <c r="A300" s="43"/>
      <c r="B300" s="463"/>
      <c r="C300" s="464"/>
      <c r="D300" s="464"/>
      <c r="E300" s="464"/>
      <c r="F300" s="464"/>
      <c r="G300" s="307"/>
      <c r="H300" s="372"/>
      <c r="I300" s="462"/>
      <c r="J300" s="163"/>
      <c r="K300" s="165"/>
      <c r="L300" s="43"/>
    </row>
    <row r="301" spans="1:12" s="45" customFormat="1" ht="8.5500000000000007" customHeight="1" x14ac:dyDescent="0.2">
      <c r="A301" s="43"/>
      <c r="B301" s="463" t="s">
        <v>1663</v>
      </c>
      <c r="C301" s="464"/>
      <c r="D301" s="464"/>
      <c r="E301" s="464"/>
      <c r="F301" s="464"/>
      <c r="G301" s="307">
        <v>2005</v>
      </c>
      <c r="H301" s="372">
        <v>100</v>
      </c>
      <c r="I301" s="462"/>
      <c r="J301" s="162" t="s">
        <v>26</v>
      </c>
      <c r="K301" s="164">
        <v>3</v>
      </c>
      <c r="L301" s="43"/>
    </row>
    <row r="302" spans="1:12" s="45" customFormat="1" ht="8.5500000000000007" customHeight="1" x14ac:dyDescent="0.2">
      <c r="A302" s="43"/>
      <c r="B302" s="463"/>
      <c r="C302" s="464"/>
      <c r="D302" s="464"/>
      <c r="E302" s="464"/>
      <c r="F302" s="464"/>
      <c r="G302" s="307"/>
      <c r="H302" s="372"/>
      <c r="I302" s="462"/>
      <c r="J302" s="163"/>
      <c r="K302" s="165"/>
      <c r="L302" s="43"/>
    </row>
    <row r="303" spans="1:12" s="45" customFormat="1" ht="8.5500000000000007" customHeight="1" x14ac:dyDescent="0.2">
      <c r="A303" s="43"/>
      <c r="B303" s="463" t="s">
        <v>1664</v>
      </c>
      <c r="C303" s="464"/>
      <c r="D303" s="464"/>
      <c r="E303" s="464"/>
      <c r="F303" s="464"/>
      <c r="G303" s="307">
        <v>2009</v>
      </c>
      <c r="H303" s="372">
        <v>96</v>
      </c>
      <c r="I303" s="462"/>
      <c r="J303" s="162" t="s">
        <v>1619</v>
      </c>
      <c r="K303" s="164">
        <v>1</v>
      </c>
      <c r="L303" s="43"/>
    </row>
    <row r="304" spans="1:12" s="45" customFormat="1" ht="8.5500000000000007" customHeight="1" x14ac:dyDescent="0.2">
      <c r="A304" s="43"/>
      <c r="B304" s="463"/>
      <c r="C304" s="464"/>
      <c r="D304" s="464"/>
      <c r="E304" s="464"/>
      <c r="F304" s="464"/>
      <c r="G304" s="307"/>
      <c r="H304" s="372"/>
      <c r="I304" s="462"/>
      <c r="J304" s="163"/>
      <c r="K304" s="165"/>
      <c r="L304" s="43"/>
    </row>
    <row r="305" spans="1:12" s="45" customFormat="1" ht="8.5500000000000007" customHeight="1" x14ac:dyDescent="0.2">
      <c r="A305" s="43"/>
      <c r="B305" s="463" t="s">
        <v>1665</v>
      </c>
      <c r="C305" s="464"/>
      <c r="D305" s="464"/>
      <c r="E305" s="464"/>
      <c r="F305" s="464"/>
      <c r="G305" s="307">
        <v>2009</v>
      </c>
      <c r="H305" s="372">
        <v>98</v>
      </c>
      <c r="I305" s="462"/>
      <c r="J305" s="162" t="s">
        <v>441</v>
      </c>
      <c r="K305" s="164">
        <v>1</v>
      </c>
      <c r="L305" s="43"/>
    </row>
    <row r="306" spans="1:12" s="45" customFormat="1" ht="8.5500000000000007" customHeight="1" x14ac:dyDescent="0.2">
      <c r="A306" s="43"/>
      <c r="B306" s="463"/>
      <c r="C306" s="464"/>
      <c r="D306" s="464"/>
      <c r="E306" s="464"/>
      <c r="F306" s="464"/>
      <c r="G306" s="307"/>
      <c r="H306" s="372"/>
      <c r="I306" s="462"/>
      <c r="J306" s="163"/>
      <c r="K306" s="165"/>
      <c r="L306" s="43"/>
    </row>
    <row r="307" spans="1:12" s="45" customFormat="1" ht="8.5500000000000007" customHeight="1" x14ac:dyDescent="0.2">
      <c r="A307" s="43"/>
      <c r="B307" s="463" t="s">
        <v>1643</v>
      </c>
      <c r="C307" s="464"/>
      <c r="D307" s="464"/>
      <c r="E307" s="464"/>
      <c r="F307" s="464"/>
      <c r="G307" s="307">
        <v>1991</v>
      </c>
      <c r="H307" s="372">
        <v>98</v>
      </c>
      <c r="I307" s="462"/>
      <c r="J307" s="162" t="s">
        <v>579</v>
      </c>
      <c r="K307" s="164">
        <v>1</v>
      </c>
      <c r="L307" s="43"/>
    </row>
    <row r="308" spans="1:12" s="45" customFormat="1" ht="8.5500000000000007" customHeight="1" x14ac:dyDescent="0.2">
      <c r="A308" s="43"/>
      <c r="B308" s="463"/>
      <c r="C308" s="464"/>
      <c r="D308" s="464"/>
      <c r="E308" s="464"/>
      <c r="F308" s="464"/>
      <c r="G308" s="307"/>
      <c r="H308" s="372"/>
      <c r="I308" s="462"/>
      <c r="J308" s="163"/>
      <c r="K308" s="165"/>
      <c r="L308" s="43"/>
    </row>
    <row r="309" spans="1:12" s="45" customFormat="1" ht="8.5500000000000007" customHeight="1" x14ac:dyDescent="0.2">
      <c r="A309" s="43"/>
      <c r="B309" s="463" t="s">
        <v>659</v>
      </c>
      <c r="C309" s="464"/>
      <c r="D309" s="464"/>
      <c r="E309" s="464"/>
      <c r="F309" s="464"/>
      <c r="G309" s="307">
        <v>1993</v>
      </c>
      <c r="H309" s="372">
        <v>95</v>
      </c>
      <c r="I309" s="462">
        <v>92</v>
      </c>
      <c r="J309" s="162" t="s">
        <v>357</v>
      </c>
      <c r="K309" s="164">
        <v>1</v>
      </c>
      <c r="L309" s="43"/>
    </row>
    <row r="310" spans="1:12" s="45" customFormat="1" ht="8.5500000000000007" customHeight="1" x14ac:dyDescent="0.2">
      <c r="A310" s="43"/>
      <c r="B310" s="463"/>
      <c r="C310" s="464"/>
      <c r="D310" s="464"/>
      <c r="E310" s="464"/>
      <c r="F310" s="464"/>
      <c r="G310" s="307"/>
      <c r="H310" s="372"/>
      <c r="I310" s="462"/>
      <c r="J310" s="163"/>
      <c r="K310" s="165"/>
      <c r="L310" s="43"/>
    </row>
    <row r="311" spans="1:12" s="45" customFormat="1" ht="8.5500000000000007" customHeight="1" x14ac:dyDescent="0.2">
      <c r="A311" s="43"/>
      <c r="B311" s="463" t="s">
        <v>1352</v>
      </c>
      <c r="C311" s="464"/>
      <c r="D311" s="464"/>
      <c r="E311" s="464"/>
      <c r="F311" s="464"/>
      <c r="G311" s="307">
        <v>1993</v>
      </c>
      <c r="H311" s="372">
        <v>95</v>
      </c>
      <c r="I311" s="462">
        <v>92</v>
      </c>
      <c r="J311" s="162" t="s">
        <v>357</v>
      </c>
      <c r="K311" s="164">
        <v>2</v>
      </c>
      <c r="L311" s="43"/>
    </row>
    <row r="312" spans="1:12" s="45" customFormat="1" ht="8.5500000000000007" customHeight="1" x14ac:dyDescent="0.2">
      <c r="A312" s="43"/>
      <c r="B312" s="463"/>
      <c r="C312" s="464"/>
      <c r="D312" s="464"/>
      <c r="E312" s="464"/>
      <c r="F312" s="464"/>
      <c r="G312" s="307"/>
      <c r="H312" s="372"/>
      <c r="I312" s="462"/>
      <c r="J312" s="163"/>
      <c r="K312" s="165"/>
      <c r="L312" s="43"/>
    </row>
    <row r="313" spans="1:12" s="45" customFormat="1" ht="8.5500000000000007" customHeight="1" x14ac:dyDescent="0.2">
      <c r="A313" s="43"/>
      <c r="B313" s="463" t="s">
        <v>462</v>
      </c>
      <c r="C313" s="464"/>
      <c r="D313" s="464"/>
      <c r="E313" s="464"/>
      <c r="F313" s="464"/>
      <c r="G313" s="307">
        <v>1994</v>
      </c>
      <c r="H313" s="372">
        <v>100</v>
      </c>
      <c r="I313" s="462">
        <v>97</v>
      </c>
      <c r="J313" s="332" t="s">
        <v>439</v>
      </c>
      <c r="K313" s="164">
        <v>2</v>
      </c>
      <c r="L313" s="43"/>
    </row>
    <row r="314" spans="1:12" s="45" customFormat="1" ht="8.5500000000000007" customHeight="1" x14ac:dyDescent="0.2">
      <c r="A314" s="43"/>
      <c r="B314" s="463"/>
      <c r="C314" s="464"/>
      <c r="D314" s="464"/>
      <c r="E314" s="464"/>
      <c r="F314" s="464"/>
      <c r="G314" s="307"/>
      <c r="H314" s="372"/>
      <c r="I314" s="462"/>
      <c r="J314" s="349"/>
      <c r="K314" s="165"/>
      <c r="L314" s="43"/>
    </row>
    <row r="315" spans="1:12" s="45" customFormat="1" ht="8.5500000000000007" customHeight="1" x14ac:dyDescent="0.2">
      <c r="A315" s="43"/>
      <c r="B315" s="463" t="s">
        <v>462</v>
      </c>
      <c r="C315" s="464"/>
      <c r="D315" s="464"/>
      <c r="E315" s="464"/>
      <c r="F315" s="464"/>
      <c r="G315" s="307">
        <v>1997</v>
      </c>
      <c r="H315" s="372">
        <v>100</v>
      </c>
      <c r="I315" s="462">
        <v>97</v>
      </c>
      <c r="J315" s="162" t="s">
        <v>445</v>
      </c>
      <c r="K315" s="164">
        <v>1</v>
      </c>
      <c r="L315" s="43"/>
    </row>
    <row r="316" spans="1:12" s="45" customFormat="1" ht="8.5500000000000007" customHeight="1" x14ac:dyDescent="0.2">
      <c r="A316" s="43"/>
      <c r="B316" s="463"/>
      <c r="C316" s="464"/>
      <c r="D316" s="464"/>
      <c r="E316" s="464"/>
      <c r="F316" s="464"/>
      <c r="G316" s="307"/>
      <c r="H316" s="372"/>
      <c r="I316" s="462"/>
      <c r="J316" s="163"/>
      <c r="K316" s="165"/>
      <c r="L316" s="43"/>
    </row>
    <row r="317" spans="1:12" s="45" customFormat="1" ht="8.5500000000000007" customHeight="1" x14ac:dyDescent="0.2">
      <c r="A317" s="43"/>
      <c r="B317" s="463" t="s">
        <v>462</v>
      </c>
      <c r="C317" s="464"/>
      <c r="D317" s="464"/>
      <c r="E317" s="464"/>
      <c r="F317" s="464"/>
      <c r="G317" s="307">
        <v>2001</v>
      </c>
      <c r="H317" s="372">
        <v>100</v>
      </c>
      <c r="I317" s="462">
        <v>97</v>
      </c>
      <c r="J317" s="162" t="s">
        <v>17</v>
      </c>
      <c r="K317" s="164">
        <v>1</v>
      </c>
      <c r="L317" s="43"/>
    </row>
    <row r="318" spans="1:12" s="45" customFormat="1" ht="8.5500000000000007" customHeight="1" x14ac:dyDescent="0.2">
      <c r="A318" s="43"/>
      <c r="B318" s="463"/>
      <c r="C318" s="464"/>
      <c r="D318" s="464"/>
      <c r="E318" s="464"/>
      <c r="F318" s="464"/>
      <c r="G318" s="307"/>
      <c r="H318" s="372"/>
      <c r="I318" s="462"/>
      <c r="J318" s="163"/>
      <c r="K318" s="165"/>
      <c r="L318" s="43"/>
    </row>
    <row r="319" spans="1:12" s="45" customFormat="1" ht="8.5500000000000007" customHeight="1" x14ac:dyDescent="0.2">
      <c r="A319" s="43"/>
      <c r="B319" s="463" t="s">
        <v>462</v>
      </c>
      <c r="C319" s="464"/>
      <c r="D319" s="464"/>
      <c r="E319" s="464"/>
      <c r="F319" s="464"/>
      <c r="G319" s="307">
        <v>2003</v>
      </c>
      <c r="H319" s="372" t="s">
        <v>1621</v>
      </c>
      <c r="I319" s="462"/>
      <c r="J319" s="162" t="s">
        <v>1620</v>
      </c>
      <c r="K319" s="164">
        <v>1</v>
      </c>
      <c r="L319" s="43"/>
    </row>
    <row r="320" spans="1:12" s="45" customFormat="1" ht="8.5500000000000007" customHeight="1" x14ac:dyDescent="0.2">
      <c r="A320" s="43"/>
      <c r="B320" s="463"/>
      <c r="C320" s="464"/>
      <c r="D320" s="464"/>
      <c r="E320" s="464"/>
      <c r="F320" s="464"/>
      <c r="G320" s="307"/>
      <c r="H320" s="372"/>
      <c r="I320" s="462"/>
      <c r="J320" s="163"/>
      <c r="K320" s="165"/>
      <c r="L320" s="43"/>
    </row>
    <row r="321" spans="1:12" s="45" customFormat="1" ht="8.5500000000000007" customHeight="1" x14ac:dyDescent="0.2">
      <c r="A321" s="43"/>
      <c r="B321" s="463" t="s">
        <v>1666</v>
      </c>
      <c r="C321" s="464"/>
      <c r="D321" s="464"/>
      <c r="E321" s="464"/>
      <c r="F321" s="464"/>
      <c r="G321" s="307">
        <v>2001</v>
      </c>
      <c r="H321" s="372">
        <v>99</v>
      </c>
      <c r="I321" s="462">
        <v>96</v>
      </c>
      <c r="J321" s="162" t="s">
        <v>130</v>
      </c>
      <c r="K321" s="164">
        <v>2</v>
      </c>
      <c r="L321" s="43"/>
    </row>
    <row r="322" spans="1:12" s="45" customFormat="1" ht="8.5500000000000007" customHeight="1" x14ac:dyDescent="0.2">
      <c r="A322" s="43"/>
      <c r="B322" s="463"/>
      <c r="C322" s="464"/>
      <c r="D322" s="464"/>
      <c r="E322" s="464"/>
      <c r="F322" s="464"/>
      <c r="G322" s="307"/>
      <c r="H322" s="372"/>
      <c r="I322" s="462"/>
      <c r="J322" s="163"/>
      <c r="K322" s="165"/>
      <c r="L322" s="43"/>
    </row>
    <row r="323" spans="1:12" s="45" customFormat="1" ht="8.5500000000000007" customHeight="1" x14ac:dyDescent="0.2">
      <c r="A323" s="43"/>
      <c r="B323" s="463" t="s">
        <v>1666</v>
      </c>
      <c r="C323" s="464"/>
      <c r="D323" s="464"/>
      <c r="E323" s="464"/>
      <c r="F323" s="464"/>
      <c r="G323" s="307">
        <v>2002</v>
      </c>
      <c r="H323" s="372">
        <v>100</v>
      </c>
      <c r="I323" s="462">
        <v>99</v>
      </c>
      <c r="J323" s="162" t="s">
        <v>137</v>
      </c>
      <c r="K323" s="164">
        <v>4</v>
      </c>
      <c r="L323" s="43"/>
    </row>
    <row r="324" spans="1:12" s="45" customFormat="1" ht="8.5500000000000007" customHeight="1" x14ac:dyDescent="0.2">
      <c r="A324" s="43"/>
      <c r="B324" s="463"/>
      <c r="C324" s="464"/>
      <c r="D324" s="464"/>
      <c r="E324" s="464"/>
      <c r="F324" s="464"/>
      <c r="G324" s="307"/>
      <c r="H324" s="372"/>
      <c r="I324" s="462"/>
      <c r="J324" s="163"/>
      <c r="K324" s="165"/>
      <c r="L324" s="43"/>
    </row>
    <row r="325" spans="1:12" s="45" customFormat="1" ht="8.5500000000000007" customHeight="1" x14ac:dyDescent="0.2">
      <c r="A325" s="43"/>
      <c r="B325" s="463" t="s">
        <v>463</v>
      </c>
      <c r="C325" s="464"/>
      <c r="D325" s="464"/>
      <c r="E325" s="464"/>
      <c r="F325" s="464"/>
      <c r="G325" s="251">
        <v>2001</v>
      </c>
      <c r="H325" s="304">
        <v>98</v>
      </c>
      <c r="I325" s="305">
        <v>97</v>
      </c>
      <c r="J325" s="162" t="s">
        <v>342</v>
      </c>
      <c r="K325" s="164">
        <v>4</v>
      </c>
      <c r="L325" s="43"/>
    </row>
    <row r="326" spans="1:12" s="45" customFormat="1" ht="8.5500000000000007" customHeight="1" x14ac:dyDescent="0.2">
      <c r="A326" s="43"/>
      <c r="B326" s="463"/>
      <c r="C326" s="464"/>
      <c r="D326" s="464"/>
      <c r="E326" s="464"/>
      <c r="F326" s="464"/>
      <c r="G326" s="252"/>
      <c r="H326" s="303"/>
      <c r="I326" s="306"/>
      <c r="J326" s="163"/>
      <c r="K326" s="165"/>
      <c r="L326" s="43"/>
    </row>
    <row r="327" spans="1:12" s="45" customFormat="1" ht="8.5500000000000007" customHeight="1" x14ac:dyDescent="0.2">
      <c r="A327" s="43"/>
      <c r="B327" s="463" t="s">
        <v>463</v>
      </c>
      <c r="C327" s="464"/>
      <c r="D327" s="464"/>
      <c r="E327" s="464"/>
      <c r="F327" s="464"/>
      <c r="G327" s="251">
        <v>2002</v>
      </c>
      <c r="H327" s="304">
        <v>100</v>
      </c>
      <c r="I327" s="305">
        <v>96</v>
      </c>
      <c r="J327" s="162" t="s">
        <v>421</v>
      </c>
      <c r="K327" s="164">
        <v>2</v>
      </c>
      <c r="L327" s="43"/>
    </row>
    <row r="328" spans="1:12" s="45" customFormat="1" ht="8.5500000000000007" customHeight="1" x14ac:dyDescent="0.2">
      <c r="A328" s="43"/>
      <c r="B328" s="463"/>
      <c r="C328" s="464"/>
      <c r="D328" s="464"/>
      <c r="E328" s="464"/>
      <c r="F328" s="464"/>
      <c r="G328" s="252"/>
      <c r="H328" s="303"/>
      <c r="I328" s="306"/>
      <c r="J328" s="163"/>
      <c r="K328" s="165"/>
      <c r="L328" s="43"/>
    </row>
    <row r="329" spans="1:12" s="45" customFormat="1" ht="8.5500000000000007" customHeight="1" x14ac:dyDescent="0.2">
      <c r="A329" s="43"/>
      <c r="B329" s="463" t="s">
        <v>463</v>
      </c>
      <c r="C329" s="464"/>
      <c r="D329" s="464"/>
      <c r="E329" s="464"/>
      <c r="F329" s="464"/>
      <c r="G329" s="251">
        <v>2012</v>
      </c>
      <c r="H329" s="304">
        <v>100</v>
      </c>
      <c r="I329" s="305"/>
      <c r="J329" s="162" t="s">
        <v>26</v>
      </c>
      <c r="K329" s="164">
        <v>1</v>
      </c>
      <c r="L329" s="43"/>
    </row>
    <row r="330" spans="1:12" s="45" customFormat="1" ht="8.5500000000000007" customHeight="1" x14ac:dyDescent="0.2">
      <c r="A330" s="43"/>
      <c r="B330" s="463"/>
      <c r="C330" s="464"/>
      <c r="D330" s="464"/>
      <c r="E330" s="464"/>
      <c r="F330" s="464"/>
      <c r="G330" s="252"/>
      <c r="H330" s="303"/>
      <c r="I330" s="306"/>
      <c r="J330" s="163"/>
      <c r="K330" s="165"/>
      <c r="L330" s="43"/>
    </row>
    <row r="331" spans="1:12" s="45" customFormat="1" ht="8.5500000000000007" customHeight="1" x14ac:dyDescent="0.2">
      <c r="A331" s="43"/>
      <c r="B331" s="463" t="s">
        <v>1667</v>
      </c>
      <c r="C331" s="464"/>
      <c r="D331" s="464"/>
      <c r="E331" s="464"/>
      <c r="F331" s="464"/>
      <c r="G331" s="307">
        <v>2001</v>
      </c>
      <c r="H331" s="372">
        <v>99</v>
      </c>
      <c r="I331" s="462">
        <v>97</v>
      </c>
      <c r="J331" s="162" t="s">
        <v>388</v>
      </c>
      <c r="K331" s="164">
        <v>5</v>
      </c>
      <c r="L331" s="43"/>
    </row>
    <row r="332" spans="1:12" s="45" customFormat="1" ht="8.5500000000000007" customHeight="1" x14ac:dyDescent="0.2">
      <c r="A332" s="43"/>
      <c r="B332" s="463"/>
      <c r="C332" s="464"/>
      <c r="D332" s="464"/>
      <c r="E332" s="464"/>
      <c r="F332" s="464"/>
      <c r="G332" s="307"/>
      <c r="H332" s="372"/>
      <c r="I332" s="462"/>
      <c r="J332" s="163"/>
      <c r="K332" s="165"/>
      <c r="L332" s="43"/>
    </row>
    <row r="333" spans="1:12" s="45" customFormat="1" ht="8.5500000000000007" customHeight="1" x14ac:dyDescent="0.2">
      <c r="A333" s="43"/>
      <c r="B333" s="463" t="s">
        <v>1667</v>
      </c>
      <c r="C333" s="464"/>
      <c r="D333" s="464"/>
      <c r="E333" s="464"/>
      <c r="F333" s="464"/>
      <c r="G333" s="307">
        <v>2002</v>
      </c>
      <c r="H333" s="372">
        <v>99</v>
      </c>
      <c r="I333" s="462">
        <v>95</v>
      </c>
      <c r="J333" s="162" t="s">
        <v>95</v>
      </c>
      <c r="K333" s="164">
        <v>3</v>
      </c>
      <c r="L333" s="43"/>
    </row>
    <row r="334" spans="1:12" s="45" customFormat="1" ht="8.5500000000000007" customHeight="1" x14ac:dyDescent="0.2">
      <c r="A334" s="43"/>
      <c r="B334" s="463"/>
      <c r="C334" s="464"/>
      <c r="D334" s="464"/>
      <c r="E334" s="464"/>
      <c r="F334" s="464"/>
      <c r="G334" s="307"/>
      <c r="H334" s="372"/>
      <c r="I334" s="462"/>
      <c r="J334" s="163"/>
      <c r="K334" s="165"/>
      <c r="L334" s="43"/>
    </row>
    <row r="335" spans="1:12" s="45" customFormat="1" ht="8.5500000000000007" customHeight="1" x14ac:dyDescent="0.2">
      <c r="A335" s="43"/>
      <c r="B335" s="463" t="s">
        <v>1667</v>
      </c>
      <c r="C335" s="464"/>
      <c r="D335" s="464"/>
      <c r="E335" s="464"/>
      <c r="F335" s="464"/>
      <c r="G335" s="307">
        <v>2003</v>
      </c>
      <c r="H335" s="372">
        <v>95</v>
      </c>
      <c r="I335" s="462">
        <v>91</v>
      </c>
      <c r="J335" s="162" t="s">
        <v>53</v>
      </c>
      <c r="K335" s="164">
        <v>2</v>
      </c>
      <c r="L335" s="43"/>
    </row>
    <row r="336" spans="1:12" s="45" customFormat="1" ht="8.5500000000000007" customHeight="1" x14ac:dyDescent="0.2">
      <c r="A336" s="43"/>
      <c r="B336" s="463"/>
      <c r="C336" s="464"/>
      <c r="D336" s="464"/>
      <c r="E336" s="464"/>
      <c r="F336" s="464"/>
      <c r="G336" s="307"/>
      <c r="H336" s="372"/>
      <c r="I336" s="462"/>
      <c r="J336" s="163"/>
      <c r="K336" s="165"/>
      <c r="L336" s="43"/>
    </row>
    <row r="337" spans="1:12" s="45" customFormat="1" ht="8.5500000000000007" customHeight="1" x14ac:dyDescent="0.2">
      <c r="A337" s="43"/>
      <c r="B337" s="463" t="s">
        <v>1667</v>
      </c>
      <c r="C337" s="464"/>
      <c r="D337" s="464"/>
      <c r="E337" s="464"/>
      <c r="F337" s="464"/>
      <c r="G337" s="307">
        <v>2004</v>
      </c>
      <c r="H337" s="372">
        <v>99</v>
      </c>
      <c r="I337" s="462">
        <v>96</v>
      </c>
      <c r="J337" s="162" t="s">
        <v>283</v>
      </c>
      <c r="K337" s="164">
        <v>3</v>
      </c>
      <c r="L337" s="43"/>
    </row>
    <row r="338" spans="1:12" s="45" customFormat="1" ht="8.5500000000000007" customHeight="1" x14ac:dyDescent="0.2">
      <c r="A338" s="43"/>
      <c r="B338" s="463"/>
      <c r="C338" s="464"/>
      <c r="D338" s="464"/>
      <c r="E338" s="464"/>
      <c r="F338" s="464"/>
      <c r="G338" s="307"/>
      <c r="H338" s="372"/>
      <c r="I338" s="462"/>
      <c r="J338" s="163"/>
      <c r="K338" s="165"/>
      <c r="L338" s="43"/>
    </row>
    <row r="339" spans="1:12" s="45" customFormat="1" ht="8.5500000000000007" customHeight="1" x14ac:dyDescent="0.2">
      <c r="A339" s="43"/>
      <c r="B339" s="463" t="s">
        <v>1667</v>
      </c>
      <c r="C339" s="464"/>
      <c r="D339" s="464"/>
      <c r="E339" s="464"/>
      <c r="F339" s="464"/>
      <c r="G339" s="307">
        <v>2005</v>
      </c>
      <c r="H339" s="372">
        <v>100</v>
      </c>
      <c r="I339" s="462">
        <v>94</v>
      </c>
      <c r="J339" s="162" t="s">
        <v>26</v>
      </c>
      <c r="K339" s="164">
        <v>6</v>
      </c>
      <c r="L339" s="43"/>
    </row>
    <row r="340" spans="1:12" s="45" customFormat="1" ht="8.5500000000000007" customHeight="1" x14ac:dyDescent="0.2">
      <c r="A340" s="43"/>
      <c r="B340" s="463"/>
      <c r="C340" s="464"/>
      <c r="D340" s="464"/>
      <c r="E340" s="464"/>
      <c r="F340" s="464"/>
      <c r="G340" s="307"/>
      <c r="H340" s="372"/>
      <c r="I340" s="462"/>
      <c r="J340" s="163"/>
      <c r="K340" s="165"/>
      <c r="L340" s="43"/>
    </row>
    <row r="341" spans="1:12" s="45" customFormat="1" ht="8.5500000000000007" customHeight="1" x14ac:dyDescent="0.2">
      <c r="A341" s="43"/>
      <c r="B341" s="463" t="s">
        <v>1644</v>
      </c>
      <c r="C341" s="464"/>
      <c r="D341" s="464"/>
      <c r="E341" s="464"/>
      <c r="F341" s="464"/>
      <c r="G341" s="307">
        <v>2002</v>
      </c>
      <c r="H341" s="372">
        <v>100</v>
      </c>
      <c r="I341" s="462">
        <v>97</v>
      </c>
      <c r="J341" s="162" t="s">
        <v>344</v>
      </c>
      <c r="K341" s="164">
        <v>2</v>
      </c>
      <c r="L341" s="43"/>
    </row>
    <row r="342" spans="1:12" s="45" customFormat="1" ht="8.5500000000000007" customHeight="1" x14ac:dyDescent="0.2">
      <c r="A342" s="43"/>
      <c r="B342" s="463"/>
      <c r="C342" s="464"/>
      <c r="D342" s="464"/>
      <c r="E342" s="464"/>
      <c r="F342" s="464"/>
      <c r="G342" s="307"/>
      <c r="H342" s="372"/>
      <c r="I342" s="462"/>
      <c r="J342" s="163"/>
      <c r="K342" s="165"/>
      <c r="L342" s="43"/>
    </row>
    <row r="343" spans="1:12" s="45" customFormat="1" ht="8.5500000000000007" customHeight="1" x14ac:dyDescent="0.2">
      <c r="A343" s="43"/>
      <c r="B343" s="463" t="s">
        <v>464</v>
      </c>
      <c r="C343" s="464"/>
      <c r="D343" s="464"/>
      <c r="E343" s="464"/>
      <c r="F343" s="464"/>
      <c r="G343" s="307">
        <v>2003</v>
      </c>
      <c r="H343" s="372">
        <v>95</v>
      </c>
      <c r="I343" s="462">
        <v>98</v>
      </c>
      <c r="J343" s="162" t="s">
        <v>465</v>
      </c>
      <c r="K343" s="164">
        <v>2</v>
      </c>
      <c r="L343" s="43"/>
    </row>
    <row r="344" spans="1:12" s="45" customFormat="1" ht="8.5500000000000007" customHeight="1" x14ac:dyDescent="0.2">
      <c r="A344" s="43"/>
      <c r="B344" s="463"/>
      <c r="C344" s="464"/>
      <c r="D344" s="464"/>
      <c r="E344" s="464"/>
      <c r="F344" s="464"/>
      <c r="G344" s="307"/>
      <c r="H344" s="372"/>
      <c r="I344" s="462"/>
      <c r="J344" s="163"/>
      <c r="K344" s="165"/>
      <c r="L344" s="43"/>
    </row>
    <row r="345" spans="1:12" s="45" customFormat="1" ht="8.5500000000000007" customHeight="1" x14ac:dyDescent="0.2">
      <c r="A345" s="43"/>
      <c r="B345" s="463" t="s">
        <v>1644</v>
      </c>
      <c r="C345" s="464"/>
      <c r="D345" s="464"/>
      <c r="E345" s="464"/>
      <c r="F345" s="464"/>
      <c r="G345" s="307">
        <v>2004</v>
      </c>
      <c r="H345" s="372">
        <v>98</v>
      </c>
      <c r="I345" s="462"/>
      <c r="J345" s="162" t="s">
        <v>460</v>
      </c>
      <c r="K345" s="164">
        <v>4</v>
      </c>
      <c r="L345" s="43"/>
    </row>
    <row r="346" spans="1:12" s="45" customFormat="1" ht="8.5500000000000007" customHeight="1" x14ac:dyDescent="0.2">
      <c r="A346" s="43"/>
      <c r="B346" s="463"/>
      <c r="C346" s="464"/>
      <c r="D346" s="464"/>
      <c r="E346" s="464"/>
      <c r="F346" s="464"/>
      <c r="G346" s="307"/>
      <c r="H346" s="372"/>
      <c r="I346" s="462"/>
      <c r="J346" s="163"/>
      <c r="K346" s="165"/>
      <c r="L346" s="43"/>
    </row>
    <row r="347" spans="1:12" s="45" customFormat="1" ht="8.5500000000000007" customHeight="1" x14ac:dyDescent="0.2">
      <c r="A347" s="43"/>
      <c r="B347" s="463" t="s">
        <v>1644</v>
      </c>
      <c r="C347" s="464"/>
      <c r="D347" s="464"/>
      <c r="E347" s="464"/>
      <c r="F347" s="464"/>
      <c r="G347" s="307">
        <v>2006</v>
      </c>
      <c r="H347" s="372">
        <v>100</v>
      </c>
      <c r="I347" s="462">
        <v>97</v>
      </c>
      <c r="J347" s="162" t="s">
        <v>337</v>
      </c>
      <c r="K347" s="164">
        <v>4</v>
      </c>
      <c r="L347" s="43"/>
    </row>
    <row r="348" spans="1:12" s="45" customFormat="1" ht="8.5500000000000007" customHeight="1" x14ac:dyDescent="0.2">
      <c r="A348" s="43"/>
      <c r="B348" s="463"/>
      <c r="C348" s="464"/>
      <c r="D348" s="464"/>
      <c r="E348" s="464"/>
      <c r="F348" s="464"/>
      <c r="G348" s="307"/>
      <c r="H348" s="372"/>
      <c r="I348" s="462"/>
      <c r="J348" s="163"/>
      <c r="K348" s="165"/>
      <c r="L348" s="43"/>
    </row>
    <row r="349" spans="1:12" s="45" customFormat="1" ht="8.5500000000000007" customHeight="1" x14ac:dyDescent="0.2">
      <c r="A349" s="43"/>
      <c r="B349" s="463" t="s">
        <v>1644</v>
      </c>
      <c r="C349" s="464"/>
      <c r="D349" s="464"/>
      <c r="E349" s="464"/>
      <c r="F349" s="464"/>
      <c r="G349" s="307">
        <v>2007</v>
      </c>
      <c r="H349" s="372">
        <v>100</v>
      </c>
      <c r="I349" s="462"/>
      <c r="J349" s="162" t="s">
        <v>51</v>
      </c>
      <c r="K349" s="164">
        <v>3</v>
      </c>
      <c r="L349" s="43"/>
    </row>
    <row r="350" spans="1:12" s="45" customFormat="1" ht="8.5500000000000007" customHeight="1" x14ac:dyDescent="0.2">
      <c r="A350" s="43"/>
      <c r="B350" s="463"/>
      <c r="C350" s="464"/>
      <c r="D350" s="464"/>
      <c r="E350" s="464"/>
      <c r="F350" s="464"/>
      <c r="G350" s="307"/>
      <c r="H350" s="372"/>
      <c r="I350" s="462"/>
      <c r="J350" s="163"/>
      <c r="K350" s="165"/>
      <c r="L350" s="43"/>
    </row>
    <row r="351" spans="1:12" s="45" customFormat="1" ht="8.5500000000000007" customHeight="1" x14ac:dyDescent="0.2">
      <c r="A351" s="43"/>
      <c r="B351" s="463" t="s">
        <v>1361</v>
      </c>
      <c r="C351" s="464"/>
      <c r="D351" s="464"/>
      <c r="E351" s="464"/>
      <c r="F351" s="464"/>
      <c r="G351" s="307">
        <v>1995</v>
      </c>
      <c r="H351" s="372">
        <v>93</v>
      </c>
      <c r="I351" s="462"/>
      <c r="J351" s="160"/>
      <c r="K351" s="164">
        <v>1</v>
      </c>
      <c r="L351" s="43"/>
    </row>
    <row r="352" spans="1:12" s="45" customFormat="1" ht="8.5500000000000007" customHeight="1" x14ac:dyDescent="0.2">
      <c r="A352" s="43"/>
      <c r="B352" s="463"/>
      <c r="C352" s="464"/>
      <c r="D352" s="464"/>
      <c r="E352" s="464"/>
      <c r="F352" s="464"/>
      <c r="G352" s="307"/>
      <c r="H352" s="372"/>
      <c r="I352" s="462"/>
      <c r="J352" s="161"/>
      <c r="K352" s="165"/>
      <c r="L352" s="43"/>
    </row>
    <row r="353" spans="1:12" s="45" customFormat="1" ht="8.5500000000000007" customHeight="1" x14ac:dyDescent="0.2">
      <c r="A353" s="43"/>
      <c r="B353" s="463" t="s">
        <v>1362</v>
      </c>
      <c r="C353" s="464"/>
      <c r="D353" s="464"/>
      <c r="E353" s="464"/>
      <c r="F353" s="464"/>
      <c r="G353" s="307">
        <v>1996</v>
      </c>
      <c r="H353" s="372">
        <v>87</v>
      </c>
      <c r="I353" s="462"/>
      <c r="J353" s="160"/>
      <c r="K353" s="164">
        <v>1</v>
      </c>
      <c r="L353" s="43"/>
    </row>
    <row r="354" spans="1:12" s="45" customFormat="1" ht="8.5500000000000007" customHeight="1" x14ac:dyDescent="0.2">
      <c r="A354" s="43"/>
      <c r="B354" s="463"/>
      <c r="C354" s="464"/>
      <c r="D354" s="464"/>
      <c r="E354" s="464"/>
      <c r="F354" s="464"/>
      <c r="G354" s="307"/>
      <c r="H354" s="372"/>
      <c r="I354" s="462"/>
      <c r="J354" s="161"/>
      <c r="K354" s="165"/>
      <c r="L354" s="43"/>
    </row>
    <row r="355" spans="1:12" s="45" customFormat="1" ht="8.5500000000000007" customHeight="1" x14ac:dyDescent="0.2">
      <c r="A355" s="43"/>
      <c r="B355" s="463" t="s">
        <v>1729</v>
      </c>
      <c r="C355" s="464"/>
      <c r="D355" s="464"/>
      <c r="E355" s="464"/>
      <c r="F355" s="464"/>
      <c r="G355" s="307">
        <v>1998</v>
      </c>
      <c r="H355" s="372">
        <v>97</v>
      </c>
      <c r="I355" s="462"/>
      <c r="J355" s="160"/>
      <c r="K355" s="164">
        <v>1</v>
      </c>
      <c r="L355" s="43"/>
    </row>
    <row r="356" spans="1:12" s="45" customFormat="1" ht="8.5500000000000007" customHeight="1" x14ac:dyDescent="0.2">
      <c r="A356" s="43"/>
      <c r="B356" s="463"/>
      <c r="C356" s="464"/>
      <c r="D356" s="464"/>
      <c r="E356" s="464"/>
      <c r="F356" s="464"/>
      <c r="G356" s="307"/>
      <c r="H356" s="372"/>
      <c r="I356" s="462"/>
      <c r="J356" s="161"/>
      <c r="K356" s="165"/>
      <c r="L356" s="43"/>
    </row>
    <row r="357" spans="1:12" s="45" customFormat="1" ht="8.5500000000000007" customHeight="1" x14ac:dyDescent="0.2">
      <c r="A357" s="43"/>
      <c r="B357" s="463" t="s">
        <v>1668</v>
      </c>
      <c r="C357" s="464"/>
      <c r="D357" s="464"/>
      <c r="E357" s="464"/>
      <c r="F357" s="464"/>
      <c r="G357" s="307">
        <v>1998</v>
      </c>
      <c r="H357" s="372">
        <v>95</v>
      </c>
      <c r="I357" s="462"/>
      <c r="J357" s="160"/>
      <c r="K357" s="164">
        <v>1</v>
      </c>
      <c r="L357" s="43"/>
    </row>
    <row r="358" spans="1:12" s="45" customFormat="1" ht="8.5500000000000007" customHeight="1" x14ac:dyDescent="0.2">
      <c r="A358" s="43"/>
      <c r="B358" s="463"/>
      <c r="C358" s="464"/>
      <c r="D358" s="464"/>
      <c r="E358" s="464"/>
      <c r="F358" s="464"/>
      <c r="G358" s="307"/>
      <c r="H358" s="372"/>
      <c r="I358" s="462"/>
      <c r="J358" s="161"/>
      <c r="K358" s="165"/>
      <c r="L358" s="43"/>
    </row>
    <row r="359" spans="1:12" s="45" customFormat="1" ht="8.5500000000000007" customHeight="1" x14ac:dyDescent="0.2">
      <c r="A359" s="43"/>
      <c r="B359" s="463" t="s">
        <v>742</v>
      </c>
      <c r="C359" s="464"/>
      <c r="D359" s="464"/>
      <c r="E359" s="464"/>
      <c r="F359" s="464"/>
      <c r="G359" s="307">
        <v>2000</v>
      </c>
      <c r="H359" s="372">
        <v>96</v>
      </c>
      <c r="I359" s="462"/>
      <c r="J359" s="160"/>
      <c r="K359" s="164">
        <v>2</v>
      </c>
      <c r="L359" s="43"/>
    </row>
    <row r="360" spans="1:12" s="45" customFormat="1" ht="8.5500000000000007" customHeight="1" x14ac:dyDescent="0.2">
      <c r="A360" s="43"/>
      <c r="B360" s="463"/>
      <c r="C360" s="464"/>
      <c r="D360" s="464"/>
      <c r="E360" s="464"/>
      <c r="F360" s="464"/>
      <c r="G360" s="307"/>
      <c r="H360" s="372"/>
      <c r="I360" s="462"/>
      <c r="J360" s="161"/>
      <c r="K360" s="165"/>
      <c r="L360" s="43"/>
    </row>
    <row r="361" spans="1:12" s="45" customFormat="1" ht="8.5500000000000007" customHeight="1" x14ac:dyDescent="0.2">
      <c r="A361" s="43"/>
      <c r="B361" s="183" t="s">
        <v>1669</v>
      </c>
      <c r="C361" s="183"/>
      <c r="D361" s="183"/>
      <c r="E361" s="183"/>
      <c r="F361" s="184"/>
      <c r="G361" s="307">
        <v>2001</v>
      </c>
      <c r="H361" s="372">
        <v>96</v>
      </c>
      <c r="I361" s="462"/>
      <c r="J361" s="160"/>
      <c r="K361" s="164">
        <v>1</v>
      </c>
      <c r="L361" s="43"/>
    </row>
    <row r="362" spans="1:12" s="45" customFormat="1" ht="8.5500000000000007" customHeight="1" x14ac:dyDescent="0.2">
      <c r="A362" s="43"/>
      <c r="B362" s="185"/>
      <c r="C362" s="185"/>
      <c r="D362" s="185"/>
      <c r="E362" s="185"/>
      <c r="F362" s="186"/>
      <c r="G362" s="307"/>
      <c r="H362" s="372"/>
      <c r="I362" s="462"/>
      <c r="J362" s="161"/>
      <c r="K362" s="165"/>
      <c r="L362" s="43"/>
    </row>
    <row r="363" spans="1:12" s="45" customFormat="1" ht="8.5500000000000007" customHeight="1" x14ac:dyDescent="0.2">
      <c r="A363" s="43"/>
      <c r="B363" s="183" t="s">
        <v>667</v>
      </c>
      <c r="C363" s="183"/>
      <c r="D363" s="183"/>
      <c r="E363" s="183"/>
      <c r="F363" s="184"/>
      <c r="G363" s="307">
        <v>2002</v>
      </c>
      <c r="H363" s="372">
        <v>100</v>
      </c>
      <c r="I363" s="462"/>
      <c r="J363" s="162" t="s">
        <v>467</v>
      </c>
      <c r="K363" s="164">
        <v>4</v>
      </c>
      <c r="L363" s="43"/>
    </row>
    <row r="364" spans="1:12" s="45" customFormat="1" ht="8.5500000000000007" customHeight="1" x14ac:dyDescent="0.2">
      <c r="A364" s="43"/>
      <c r="B364" s="185"/>
      <c r="C364" s="185"/>
      <c r="D364" s="185"/>
      <c r="E364" s="185"/>
      <c r="F364" s="186"/>
      <c r="G364" s="307"/>
      <c r="H364" s="372"/>
      <c r="I364" s="462"/>
      <c r="J364" s="163"/>
      <c r="K364" s="165"/>
      <c r="L364" s="43"/>
    </row>
    <row r="365" spans="1:12" s="45" customFormat="1" ht="8.5500000000000007" customHeight="1" x14ac:dyDescent="0.2">
      <c r="A365" s="43"/>
      <c r="B365" s="183" t="s">
        <v>668</v>
      </c>
      <c r="C365" s="183"/>
      <c r="D365" s="183"/>
      <c r="E365" s="183"/>
      <c r="F365" s="184"/>
      <c r="G365" s="307">
        <v>2002</v>
      </c>
      <c r="H365" s="372">
        <v>99</v>
      </c>
      <c r="I365" s="462"/>
      <c r="J365" s="162" t="s">
        <v>468</v>
      </c>
      <c r="K365" s="164">
        <v>1</v>
      </c>
      <c r="L365" s="43"/>
    </row>
    <row r="366" spans="1:12" s="45" customFormat="1" ht="8.5500000000000007" customHeight="1" x14ac:dyDescent="0.2">
      <c r="A366" s="43"/>
      <c r="B366" s="185"/>
      <c r="C366" s="185"/>
      <c r="D366" s="185"/>
      <c r="E366" s="185"/>
      <c r="F366" s="186"/>
      <c r="G366" s="307"/>
      <c r="H366" s="372"/>
      <c r="I366" s="462"/>
      <c r="J366" s="163"/>
      <c r="K366" s="165"/>
      <c r="L366" s="43"/>
    </row>
    <row r="367" spans="1:12" s="45" customFormat="1" ht="8.5500000000000007" customHeight="1" x14ac:dyDescent="0.2">
      <c r="A367" s="43"/>
      <c r="B367" s="463" t="s">
        <v>1670</v>
      </c>
      <c r="C367" s="464"/>
      <c r="D367" s="464"/>
      <c r="E367" s="464"/>
      <c r="F367" s="464"/>
      <c r="G367" s="307">
        <v>2003</v>
      </c>
      <c r="H367" s="372">
        <v>99</v>
      </c>
      <c r="I367" s="462"/>
      <c r="J367" s="162" t="s">
        <v>328</v>
      </c>
      <c r="K367" s="164">
        <v>1</v>
      </c>
      <c r="L367" s="43"/>
    </row>
    <row r="368" spans="1:12" s="45" customFormat="1" ht="8.5500000000000007" customHeight="1" x14ac:dyDescent="0.2">
      <c r="A368" s="43"/>
      <c r="B368" s="463"/>
      <c r="C368" s="464"/>
      <c r="D368" s="464"/>
      <c r="E368" s="464"/>
      <c r="F368" s="464"/>
      <c r="G368" s="307"/>
      <c r="H368" s="372"/>
      <c r="I368" s="462"/>
      <c r="J368" s="163"/>
      <c r="K368" s="165"/>
      <c r="L368" s="43"/>
    </row>
    <row r="369" spans="1:12" s="45" customFormat="1" ht="8.5500000000000007" customHeight="1" x14ac:dyDescent="0.2">
      <c r="A369" s="43"/>
      <c r="B369" s="463" t="s">
        <v>1671</v>
      </c>
      <c r="C369" s="464"/>
      <c r="D369" s="464"/>
      <c r="E369" s="464"/>
      <c r="F369" s="464"/>
      <c r="G369" s="307">
        <v>2003</v>
      </c>
      <c r="H369" s="372">
        <v>100</v>
      </c>
      <c r="I369" s="462"/>
      <c r="J369" s="162" t="s">
        <v>328</v>
      </c>
      <c r="K369" s="164">
        <v>2</v>
      </c>
      <c r="L369" s="43"/>
    </row>
    <row r="370" spans="1:12" s="45" customFormat="1" ht="8.5500000000000007" customHeight="1" x14ac:dyDescent="0.2">
      <c r="A370" s="43"/>
      <c r="B370" s="463"/>
      <c r="C370" s="464"/>
      <c r="D370" s="464"/>
      <c r="E370" s="464"/>
      <c r="F370" s="464"/>
      <c r="G370" s="307"/>
      <c r="H370" s="372"/>
      <c r="I370" s="462"/>
      <c r="J370" s="163"/>
      <c r="K370" s="165"/>
      <c r="L370" s="43"/>
    </row>
    <row r="371" spans="1:12" s="45" customFormat="1" ht="8.5500000000000007" customHeight="1" x14ac:dyDescent="0.2">
      <c r="A371" s="43"/>
      <c r="B371" s="463" t="s">
        <v>469</v>
      </c>
      <c r="C371" s="464"/>
      <c r="D371" s="464"/>
      <c r="E371" s="464"/>
      <c r="F371" s="464"/>
      <c r="G371" s="307">
        <v>2003</v>
      </c>
      <c r="H371" s="372">
        <v>98</v>
      </c>
      <c r="I371" s="462"/>
      <c r="J371" s="162" t="s">
        <v>401</v>
      </c>
      <c r="K371" s="164">
        <v>2</v>
      </c>
      <c r="L371" s="43"/>
    </row>
    <row r="372" spans="1:12" s="45" customFormat="1" ht="8.5500000000000007" customHeight="1" x14ac:dyDescent="0.2">
      <c r="A372" s="43"/>
      <c r="B372" s="463"/>
      <c r="C372" s="464"/>
      <c r="D372" s="464"/>
      <c r="E372" s="464"/>
      <c r="F372" s="464"/>
      <c r="G372" s="307"/>
      <c r="H372" s="372"/>
      <c r="I372" s="462"/>
      <c r="J372" s="163"/>
      <c r="K372" s="165"/>
      <c r="L372" s="43"/>
    </row>
    <row r="373" spans="1:12" s="45" customFormat="1" ht="8.5500000000000007" customHeight="1" x14ac:dyDescent="0.2">
      <c r="A373" s="43"/>
      <c r="B373" s="463" t="s">
        <v>1523</v>
      </c>
      <c r="C373" s="464"/>
      <c r="D373" s="464"/>
      <c r="E373" s="464"/>
      <c r="F373" s="464"/>
      <c r="G373" s="307">
        <v>2004</v>
      </c>
      <c r="H373" s="372">
        <v>99</v>
      </c>
      <c r="I373" s="462"/>
      <c r="J373" s="162"/>
      <c r="K373" s="164">
        <v>1</v>
      </c>
      <c r="L373" s="43"/>
    </row>
    <row r="374" spans="1:12" s="45" customFormat="1" ht="8.5500000000000007" customHeight="1" x14ac:dyDescent="0.2">
      <c r="A374" s="43"/>
      <c r="B374" s="463"/>
      <c r="C374" s="464"/>
      <c r="D374" s="464"/>
      <c r="E374" s="464"/>
      <c r="F374" s="464"/>
      <c r="G374" s="307"/>
      <c r="H374" s="372"/>
      <c r="I374" s="462"/>
      <c r="J374" s="163"/>
      <c r="K374" s="165"/>
      <c r="L374" s="43"/>
    </row>
    <row r="375" spans="1:12" s="45" customFormat="1" ht="8.5500000000000007" customHeight="1" x14ac:dyDescent="0.2">
      <c r="A375" s="43"/>
      <c r="B375" s="463" t="s">
        <v>1672</v>
      </c>
      <c r="C375" s="464"/>
      <c r="D375" s="464"/>
      <c r="E375" s="464"/>
      <c r="F375" s="464"/>
      <c r="G375" s="307">
        <v>2004</v>
      </c>
      <c r="H375" s="372">
        <v>100</v>
      </c>
      <c r="I375" s="462"/>
      <c r="J375" s="162" t="s">
        <v>233</v>
      </c>
      <c r="K375" s="164">
        <v>2</v>
      </c>
      <c r="L375" s="43"/>
    </row>
    <row r="376" spans="1:12" s="45" customFormat="1" ht="8.5500000000000007" customHeight="1" x14ac:dyDescent="0.2">
      <c r="A376" s="43"/>
      <c r="B376" s="463"/>
      <c r="C376" s="464"/>
      <c r="D376" s="464"/>
      <c r="E376" s="464"/>
      <c r="F376" s="464"/>
      <c r="G376" s="307"/>
      <c r="H376" s="372"/>
      <c r="I376" s="462"/>
      <c r="J376" s="163"/>
      <c r="K376" s="165"/>
      <c r="L376" s="43"/>
    </row>
    <row r="377" spans="1:12" s="45" customFormat="1" ht="8.5500000000000007" customHeight="1" x14ac:dyDescent="0.2">
      <c r="A377" s="43"/>
      <c r="B377" s="463" t="s">
        <v>1127</v>
      </c>
      <c r="C377" s="464"/>
      <c r="D377" s="464"/>
      <c r="E377" s="464"/>
      <c r="F377" s="464"/>
      <c r="G377" s="307">
        <v>2004</v>
      </c>
      <c r="H377" s="372">
        <v>97</v>
      </c>
      <c r="I377" s="462"/>
      <c r="J377" s="162" t="s">
        <v>251</v>
      </c>
      <c r="K377" s="164">
        <v>2</v>
      </c>
      <c r="L377" s="43"/>
    </row>
    <row r="378" spans="1:12" s="45" customFormat="1" ht="8.5500000000000007" customHeight="1" x14ac:dyDescent="0.2">
      <c r="A378" s="43"/>
      <c r="B378" s="463"/>
      <c r="C378" s="464"/>
      <c r="D378" s="464"/>
      <c r="E378" s="464"/>
      <c r="F378" s="464"/>
      <c r="G378" s="307"/>
      <c r="H378" s="372"/>
      <c r="I378" s="462"/>
      <c r="J378" s="163"/>
      <c r="K378" s="165"/>
      <c r="L378" s="43"/>
    </row>
    <row r="379" spans="1:12" s="45" customFormat="1" ht="8.5500000000000007" customHeight="1" x14ac:dyDescent="0.2">
      <c r="A379" s="43"/>
      <c r="B379" s="183" t="s">
        <v>1645</v>
      </c>
      <c r="C379" s="183"/>
      <c r="D379" s="183"/>
      <c r="E379" s="183"/>
      <c r="F379" s="184"/>
      <c r="G379" s="307">
        <v>2005</v>
      </c>
      <c r="H379" s="372">
        <v>97</v>
      </c>
      <c r="I379" s="462"/>
      <c r="J379" s="162" t="s">
        <v>470</v>
      </c>
      <c r="K379" s="164">
        <v>2</v>
      </c>
      <c r="L379" s="43"/>
    </row>
    <row r="380" spans="1:12" s="45" customFormat="1" ht="8.5500000000000007" customHeight="1" x14ac:dyDescent="0.2">
      <c r="A380" s="43"/>
      <c r="B380" s="185"/>
      <c r="C380" s="185"/>
      <c r="D380" s="185"/>
      <c r="E380" s="185"/>
      <c r="F380" s="186"/>
      <c r="G380" s="307"/>
      <c r="H380" s="372"/>
      <c r="I380" s="462"/>
      <c r="J380" s="163"/>
      <c r="K380" s="165"/>
      <c r="L380" s="43"/>
    </row>
    <row r="381" spans="1:12" s="45" customFormat="1" ht="8.5500000000000007" customHeight="1" x14ac:dyDescent="0.2">
      <c r="A381" s="43"/>
      <c r="B381" s="183" t="s">
        <v>1646</v>
      </c>
      <c r="C381" s="183"/>
      <c r="D381" s="183"/>
      <c r="E381" s="183"/>
      <c r="F381" s="184"/>
      <c r="G381" s="307">
        <v>2005</v>
      </c>
      <c r="H381" s="372">
        <v>97</v>
      </c>
      <c r="I381" s="462"/>
      <c r="J381" s="162" t="s">
        <v>470</v>
      </c>
      <c r="K381" s="164">
        <v>1</v>
      </c>
      <c r="L381" s="43"/>
    </row>
    <row r="382" spans="1:12" s="45" customFormat="1" ht="8.5500000000000007" customHeight="1" x14ac:dyDescent="0.2">
      <c r="A382" s="43"/>
      <c r="B382" s="185"/>
      <c r="C382" s="185"/>
      <c r="D382" s="185"/>
      <c r="E382" s="185"/>
      <c r="F382" s="186"/>
      <c r="G382" s="307"/>
      <c r="H382" s="372"/>
      <c r="I382" s="462"/>
      <c r="J382" s="163"/>
      <c r="K382" s="165"/>
      <c r="L382" s="43"/>
    </row>
    <row r="383" spans="1:12" s="45" customFormat="1" ht="8.5500000000000007" customHeight="1" x14ac:dyDescent="0.2">
      <c r="A383" s="43"/>
      <c r="B383" s="183" t="s">
        <v>705</v>
      </c>
      <c r="C383" s="183"/>
      <c r="D383" s="183"/>
      <c r="E383" s="183"/>
      <c r="F383" s="184"/>
      <c r="G383" s="307">
        <v>2005</v>
      </c>
      <c r="H383" s="372">
        <v>100</v>
      </c>
      <c r="I383" s="462"/>
      <c r="J383" s="162" t="s">
        <v>233</v>
      </c>
      <c r="K383" s="164">
        <v>3</v>
      </c>
      <c r="L383" s="43"/>
    </row>
    <row r="384" spans="1:12" s="45" customFormat="1" ht="8.5500000000000007" customHeight="1" x14ac:dyDescent="0.2">
      <c r="A384" s="43"/>
      <c r="B384" s="185"/>
      <c r="C384" s="185"/>
      <c r="D384" s="185"/>
      <c r="E384" s="185"/>
      <c r="F384" s="186"/>
      <c r="G384" s="307"/>
      <c r="H384" s="372"/>
      <c r="I384" s="462"/>
      <c r="J384" s="163"/>
      <c r="K384" s="165"/>
      <c r="L384" s="43"/>
    </row>
    <row r="385" spans="1:12" s="45" customFormat="1" ht="8.5500000000000007" customHeight="1" x14ac:dyDescent="0.2">
      <c r="A385" s="43"/>
      <c r="B385" s="183" t="s">
        <v>1529</v>
      </c>
      <c r="C385" s="183"/>
      <c r="D385" s="183"/>
      <c r="E385" s="183"/>
      <c r="F385" s="184"/>
      <c r="G385" s="307">
        <v>2005</v>
      </c>
      <c r="H385" s="372"/>
      <c r="I385" s="462"/>
      <c r="J385" s="162"/>
      <c r="K385" s="164">
        <v>1</v>
      </c>
      <c r="L385" s="43"/>
    </row>
    <row r="386" spans="1:12" s="45" customFormat="1" ht="8.5500000000000007" customHeight="1" x14ac:dyDescent="0.2">
      <c r="A386" s="43"/>
      <c r="B386" s="185"/>
      <c r="C386" s="185"/>
      <c r="D386" s="185"/>
      <c r="E386" s="185"/>
      <c r="F386" s="186"/>
      <c r="G386" s="307"/>
      <c r="H386" s="372"/>
      <c r="I386" s="462"/>
      <c r="J386" s="163"/>
      <c r="K386" s="165"/>
      <c r="L386" s="43"/>
    </row>
    <row r="387" spans="1:12" s="45" customFormat="1" ht="8.5500000000000007" customHeight="1" x14ac:dyDescent="0.2">
      <c r="A387" s="43"/>
      <c r="B387" s="183" t="s">
        <v>1674</v>
      </c>
      <c r="C387" s="183"/>
      <c r="D387" s="183"/>
      <c r="E387" s="183"/>
      <c r="F387" s="184"/>
      <c r="G387" s="307">
        <v>2005</v>
      </c>
      <c r="H387" s="372">
        <v>97</v>
      </c>
      <c r="I387" s="462"/>
      <c r="J387" s="162" t="s">
        <v>352</v>
      </c>
      <c r="K387" s="164">
        <v>2</v>
      </c>
      <c r="L387" s="43"/>
    </row>
    <row r="388" spans="1:12" s="45" customFormat="1" ht="8.5500000000000007" customHeight="1" x14ac:dyDescent="0.2">
      <c r="A388" s="43"/>
      <c r="B388" s="185"/>
      <c r="C388" s="185"/>
      <c r="D388" s="185"/>
      <c r="E388" s="185"/>
      <c r="F388" s="186"/>
      <c r="G388" s="307"/>
      <c r="H388" s="372"/>
      <c r="I388" s="462"/>
      <c r="J388" s="163"/>
      <c r="K388" s="165"/>
      <c r="L388" s="43"/>
    </row>
    <row r="389" spans="1:12" s="45" customFormat="1" ht="8.5500000000000007" customHeight="1" x14ac:dyDescent="0.2">
      <c r="A389" s="43"/>
      <c r="B389" s="183" t="s">
        <v>1731</v>
      </c>
      <c r="C389" s="183"/>
      <c r="D389" s="183"/>
      <c r="E389" s="183"/>
      <c r="F389" s="184"/>
      <c r="G389" s="307">
        <v>2005</v>
      </c>
      <c r="H389" s="372"/>
      <c r="I389" s="462"/>
      <c r="J389" s="162"/>
      <c r="K389" s="164">
        <v>1</v>
      </c>
      <c r="L389" s="43"/>
    </row>
    <row r="390" spans="1:12" s="45" customFormat="1" ht="8.5500000000000007" customHeight="1" x14ac:dyDescent="0.2">
      <c r="A390" s="43"/>
      <c r="B390" s="185"/>
      <c r="C390" s="185"/>
      <c r="D390" s="185"/>
      <c r="E390" s="185"/>
      <c r="F390" s="186"/>
      <c r="G390" s="307"/>
      <c r="H390" s="372"/>
      <c r="I390" s="462"/>
      <c r="J390" s="163"/>
      <c r="K390" s="165"/>
      <c r="L390" s="43"/>
    </row>
    <row r="391" spans="1:12" s="45" customFormat="1" ht="8.5500000000000007" customHeight="1" x14ac:dyDescent="0.2">
      <c r="A391" s="43"/>
      <c r="B391" s="183" t="s">
        <v>1673</v>
      </c>
      <c r="C391" s="183"/>
      <c r="D391" s="183"/>
      <c r="E391" s="183"/>
      <c r="F391" s="184"/>
      <c r="G391" s="307">
        <v>2005</v>
      </c>
      <c r="H391" s="372"/>
      <c r="I391" s="462"/>
      <c r="J391" s="162"/>
      <c r="K391" s="164">
        <v>2</v>
      </c>
      <c r="L391" s="43"/>
    </row>
    <row r="392" spans="1:12" s="45" customFormat="1" ht="8.5500000000000007" customHeight="1" x14ac:dyDescent="0.2">
      <c r="A392" s="43"/>
      <c r="B392" s="185"/>
      <c r="C392" s="185"/>
      <c r="D392" s="185"/>
      <c r="E392" s="185"/>
      <c r="F392" s="186"/>
      <c r="G392" s="307"/>
      <c r="H392" s="372"/>
      <c r="I392" s="462"/>
      <c r="J392" s="163"/>
      <c r="K392" s="165"/>
      <c r="L392" s="43"/>
    </row>
    <row r="393" spans="1:12" s="45" customFormat="1" ht="8.5500000000000007" customHeight="1" x14ac:dyDescent="0.2">
      <c r="A393" s="43"/>
      <c r="B393" s="183" t="s">
        <v>744</v>
      </c>
      <c r="C393" s="183"/>
      <c r="D393" s="183"/>
      <c r="E393" s="183"/>
      <c r="F393" s="184"/>
      <c r="G393" s="307">
        <v>2005</v>
      </c>
      <c r="H393" s="372">
        <v>100</v>
      </c>
      <c r="I393" s="462"/>
      <c r="J393" s="162" t="s">
        <v>34</v>
      </c>
      <c r="K393" s="164">
        <v>1</v>
      </c>
      <c r="L393" s="43"/>
    </row>
    <row r="394" spans="1:12" s="45" customFormat="1" ht="8.5500000000000007" customHeight="1" x14ac:dyDescent="0.2">
      <c r="A394" s="43"/>
      <c r="B394" s="185"/>
      <c r="C394" s="185"/>
      <c r="D394" s="185"/>
      <c r="E394" s="185"/>
      <c r="F394" s="186"/>
      <c r="G394" s="307"/>
      <c r="H394" s="372"/>
      <c r="I394" s="462"/>
      <c r="J394" s="163"/>
      <c r="K394" s="165"/>
      <c r="L394" s="43"/>
    </row>
    <row r="395" spans="1:12" s="45" customFormat="1" ht="8.5500000000000007" customHeight="1" x14ac:dyDescent="0.2">
      <c r="A395" s="43"/>
      <c r="B395" s="463" t="s">
        <v>706</v>
      </c>
      <c r="C395" s="464"/>
      <c r="D395" s="464"/>
      <c r="E395" s="464"/>
      <c r="F395" s="464"/>
      <c r="G395" s="307">
        <v>2006</v>
      </c>
      <c r="H395" s="372">
        <v>96</v>
      </c>
      <c r="I395" s="462"/>
      <c r="J395" s="162" t="s">
        <v>34</v>
      </c>
      <c r="K395" s="164">
        <v>2</v>
      </c>
      <c r="L395" s="43"/>
    </row>
    <row r="396" spans="1:12" s="45" customFormat="1" ht="8.5500000000000007" customHeight="1" x14ac:dyDescent="0.2">
      <c r="A396" s="43"/>
      <c r="B396" s="463"/>
      <c r="C396" s="464"/>
      <c r="D396" s="464"/>
      <c r="E396" s="464"/>
      <c r="F396" s="464"/>
      <c r="G396" s="307"/>
      <c r="H396" s="372"/>
      <c r="I396" s="462"/>
      <c r="J396" s="163"/>
      <c r="K396" s="165"/>
      <c r="L396" s="43"/>
    </row>
    <row r="397" spans="1:12" s="45" customFormat="1" ht="8.5500000000000007" customHeight="1" x14ac:dyDescent="0.2">
      <c r="A397" s="43"/>
      <c r="B397" s="463" t="s">
        <v>743</v>
      </c>
      <c r="C397" s="464"/>
      <c r="D397" s="464"/>
      <c r="E397" s="464"/>
      <c r="F397" s="464"/>
      <c r="G397" s="307">
        <v>2006</v>
      </c>
      <c r="H397" s="372">
        <v>100</v>
      </c>
      <c r="I397" s="462"/>
      <c r="J397" s="162" t="s">
        <v>228</v>
      </c>
      <c r="K397" s="164">
        <v>1</v>
      </c>
      <c r="L397" s="43"/>
    </row>
    <row r="398" spans="1:12" s="45" customFormat="1" ht="8.5500000000000007" customHeight="1" x14ac:dyDescent="0.2">
      <c r="A398" s="43"/>
      <c r="B398" s="463"/>
      <c r="C398" s="464"/>
      <c r="D398" s="464"/>
      <c r="E398" s="464"/>
      <c r="F398" s="464"/>
      <c r="G398" s="307"/>
      <c r="H398" s="372"/>
      <c r="I398" s="462"/>
      <c r="J398" s="163"/>
      <c r="K398" s="165"/>
      <c r="L398" s="43"/>
    </row>
    <row r="399" spans="1:12" s="45" customFormat="1" ht="8.5500000000000007" customHeight="1" x14ac:dyDescent="0.2">
      <c r="A399" s="43"/>
      <c r="B399" s="463" t="s">
        <v>1128</v>
      </c>
      <c r="C399" s="464"/>
      <c r="D399" s="464"/>
      <c r="E399" s="464"/>
      <c r="F399" s="464"/>
      <c r="G399" s="307">
        <v>2007</v>
      </c>
      <c r="H399" s="372" t="s">
        <v>660</v>
      </c>
      <c r="I399" s="462">
        <v>95</v>
      </c>
      <c r="J399" s="162" t="s">
        <v>256</v>
      </c>
      <c r="K399" s="164">
        <v>3</v>
      </c>
      <c r="L399" s="43"/>
    </row>
    <row r="400" spans="1:12" s="45" customFormat="1" ht="8.5500000000000007" customHeight="1" x14ac:dyDescent="0.2">
      <c r="A400" s="43"/>
      <c r="B400" s="463"/>
      <c r="C400" s="464"/>
      <c r="D400" s="464"/>
      <c r="E400" s="464"/>
      <c r="F400" s="464"/>
      <c r="G400" s="307"/>
      <c r="H400" s="372"/>
      <c r="I400" s="462"/>
      <c r="J400" s="163"/>
      <c r="K400" s="165"/>
      <c r="L400" s="43"/>
    </row>
    <row r="401" spans="1:12" s="45" customFormat="1" ht="8.5500000000000007" customHeight="1" x14ac:dyDescent="0.2">
      <c r="A401" s="43"/>
      <c r="B401" s="463" t="s">
        <v>1675</v>
      </c>
      <c r="C401" s="464"/>
      <c r="D401" s="464"/>
      <c r="E401" s="464"/>
      <c r="F401" s="464"/>
      <c r="G401" s="307">
        <v>2007</v>
      </c>
      <c r="H401" s="162" t="s">
        <v>68</v>
      </c>
      <c r="I401" s="462"/>
      <c r="J401" s="160"/>
      <c r="K401" s="164">
        <v>2</v>
      </c>
      <c r="L401" s="43"/>
    </row>
    <row r="402" spans="1:12" s="45" customFormat="1" ht="8.5500000000000007" customHeight="1" x14ac:dyDescent="0.2">
      <c r="A402" s="43"/>
      <c r="B402" s="463"/>
      <c r="C402" s="464"/>
      <c r="D402" s="464"/>
      <c r="E402" s="464"/>
      <c r="F402" s="464"/>
      <c r="G402" s="307"/>
      <c r="H402" s="163"/>
      <c r="I402" s="462"/>
      <c r="J402" s="161"/>
      <c r="K402" s="165"/>
      <c r="L402" s="43"/>
    </row>
    <row r="403" spans="1:12" s="45" customFormat="1" ht="8.5500000000000007" customHeight="1" x14ac:dyDescent="0.2">
      <c r="A403" s="43"/>
      <c r="B403" s="463" t="s">
        <v>1676</v>
      </c>
      <c r="C403" s="464"/>
      <c r="D403" s="464"/>
      <c r="E403" s="464"/>
      <c r="F403" s="464"/>
      <c r="G403" s="307">
        <v>2010</v>
      </c>
      <c r="H403" s="372">
        <v>100</v>
      </c>
      <c r="I403" s="462"/>
      <c r="J403" s="162" t="s">
        <v>323</v>
      </c>
      <c r="K403" s="164">
        <v>2</v>
      </c>
      <c r="L403" s="43"/>
    </row>
    <row r="404" spans="1:12" s="45" customFormat="1" ht="8.5500000000000007" customHeight="1" x14ac:dyDescent="0.2">
      <c r="A404" s="43"/>
      <c r="B404" s="463"/>
      <c r="C404" s="464"/>
      <c r="D404" s="464"/>
      <c r="E404" s="464"/>
      <c r="F404" s="464"/>
      <c r="G404" s="307"/>
      <c r="H404" s="372"/>
      <c r="I404" s="462"/>
      <c r="J404" s="163"/>
      <c r="K404" s="165"/>
      <c r="L404" s="43"/>
    </row>
    <row r="405" spans="1:12" s="45" customFormat="1" ht="8.5500000000000007" customHeight="1" x14ac:dyDescent="0.2">
      <c r="A405" s="43"/>
      <c r="B405" s="463" t="s">
        <v>1125</v>
      </c>
      <c r="C405" s="464"/>
      <c r="D405" s="464"/>
      <c r="E405" s="464"/>
      <c r="F405" s="464"/>
      <c r="G405" s="307">
        <v>2010</v>
      </c>
      <c r="H405" s="372" t="s">
        <v>660</v>
      </c>
      <c r="I405" s="462"/>
      <c r="J405" s="162" t="s">
        <v>124</v>
      </c>
      <c r="K405" s="164">
        <v>1</v>
      </c>
      <c r="L405" s="43"/>
    </row>
    <row r="406" spans="1:12" s="45" customFormat="1" ht="8.5500000000000007" customHeight="1" x14ac:dyDescent="0.2">
      <c r="A406" s="43"/>
      <c r="B406" s="463"/>
      <c r="C406" s="464"/>
      <c r="D406" s="464"/>
      <c r="E406" s="464"/>
      <c r="F406" s="464"/>
      <c r="G406" s="307"/>
      <c r="H406" s="372"/>
      <c r="I406" s="462"/>
      <c r="J406" s="163"/>
      <c r="K406" s="165"/>
      <c r="L406" s="43"/>
    </row>
    <row r="407" spans="1:12" s="45" customFormat="1" ht="8.5500000000000007" customHeight="1" x14ac:dyDescent="0.2">
      <c r="A407" s="43"/>
      <c r="B407" s="463" t="s">
        <v>1129</v>
      </c>
      <c r="C407" s="464"/>
      <c r="D407" s="464"/>
      <c r="E407" s="464"/>
      <c r="F407" s="464"/>
      <c r="G407" s="307">
        <v>2011</v>
      </c>
      <c r="H407" s="372">
        <v>99</v>
      </c>
      <c r="I407" s="462"/>
      <c r="J407" s="162" t="s">
        <v>1130</v>
      </c>
      <c r="K407" s="164">
        <v>2</v>
      </c>
      <c r="L407" s="43"/>
    </row>
    <row r="408" spans="1:12" s="45" customFormat="1" ht="8.5500000000000007" customHeight="1" x14ac:dyDescent="0.2">
      <c r="A408" s="43"/>
      <c r="B408" s="463"/>
      <c r="C408" s="464"/>
      <c r="D408" s="464"/>
      <c r="E408" s="464"/>
      <c r="F408" s="464"/>
      <c r="G408" s="307"/>
      <c r="H408" s="372"/>
      <c r="I408" s="462"/>
      <c r="J408" s="163"/>
      <c r="K408" s="165"/>
      <c r="L408" s="43"/>
    </row>
    <row r="409" spans="1:12" s="45" customFormat="1" ht="8.5500000000000007" customHeight="1" x14ac:dyDescent="0.2">
      <c r="A409" s="43"/>
      <c r="B409" s="463" t="s">
        <v>1357</v>
      </c>
      <c r="C409" s="464"/>
      <c r="D409" s="464"/>
      <c r="E409" s="464"/>
      <c r="F409" s="464"/>
      <c r="G409" s="307">
        <v>2011</v>
      </c>
      <c r="H409" s="372">
        <v>99</v>
      </c>
      <c r="I409" s="462"/>
      <c r="J409" s="162"/>
      <c r="K409" s="164">
        <v>1</v>
      </c>
      <c r="L409" s="43"/>
    </row>
    <row r="410" spans="1:12" s="45" customFormat="1" ht="8.5500000000000007" customHeight="1" x14ac:dyDescent="0.2">
      <c r="A410" s="43"/>
      <c r="B410" s="463"/>
      <c r="C410" s="464"/>
      <c r="D410" s="464"/>
      <c r="E410" s="464"/>
      <c r="F410" s="464"/>
      <c r="G410" s="307"/>
      <c r="H410" s="372"/>
      <c r="I410" s="462"/>
      <c r="J410" s="163"/>
      <c r="K410" s="165"/>
      <c r="L410" s="43"/>
    </row>
    <row r="411" spans="1:12" s="45" customFormat="1" ht="8.5500000000000007" customHeight="1" x14ac:dyDescent="0.2">
      <c r="A411" s="43"/>
      <c r="B411" s="463" t="s">
        <v>1138</v>
      </c>
      <c r="C411" s="464"/>
      <c r="D411" s="464"/>
      <c r="E411" s="464"/>
      <c r="F411" s="464"/>
      <c r="G411" s="307">
        <v>2012</v>
      </c>
      <c r="H411" s="372">
        <v>98</v>
      </c>
      <c r="I411" s="462"/>
      <c r="J411" s="162" t="s">
        <v>707</v>
      </c>
      <c r="K411" s="164">
        <v>1</v>
      </c>
      <c r="L411" s="43"/>
    </row>
    <row r="412" spans="1:12" s="45" customFormat="1" ht="8.5500000000000007" customHeight="1" x14ac:dyDescent="0.2">
      <c r="A412" s="43"/>
      <c r="B412" s="463"/>
      <c r="C412" s="464"/>
      <c r="D412" s="464"/>
      <c r="E412" s="464"/>
      <c r="F412" s="464"/>
      <c r="G412" s="307"/>
      <c r="H412" s="372"/>
      <c r="I412" s="462"/>
      <c r="J412" s="163"/>
      <c r="K412" s="165"/>
      <c r="L412" s="43"/>
    </row>
    <row r="413" spans="1:12" s="45" customFormat="1" ht="8.5500000000000007" customHeight="1" x14ac:dyDescent="0.2">
      <c r="A413" s="43"/>
      <c r="B413" s="463" t="s">
        <v>1828</v>
      </c>
      <c r="C413" s="464"/>
      <c r="D413" s="464"/>
      <c r="E413" s="464"/>
      <c r="F413" s="464"/>
      <c r="G413" s="307">
        <v>2012</v>
      </c>
      <c r="H413" s="372">
        <v>100</v>
      </c>
      <c r="I413" s="462"/>
      <c r="J413" s="162" t="s">
        <v>1606</v>
      </c>
      <c r="K413" s="164">
        <v>1</v>
      </c>
      <c r="L413" s="43"/>
    </row>
    <row r="414" spans="1:12" s="45" customFormat="1" ht="8.5500000000000007" customHeight="1" x14ac:dyDescent="0.2">
      <c r="A414" s="43"/>
      <c r="B414" s="463"/>
      <c r="C414" s="464"/>
      <c r="D414" s="464"/>
      <c r="E414" s="464"/>
      <c r="F414" s="464"/>
      <c r="G414" s="307"/>
      <c r="H414" s="372"/>
      <c r="I414" s="462"/>
      <c r="J414" s="163"/>
      <c r="K414" s="165"/>
      <c r="L414" s="43"/>
    </row>
    <row r="415" spans="1:12" s="45" customFormat="1" ht="8.5500000000000007" customHeight="1" x14ac:dyDescent="0.2">
      <c r="A415" s="43"/>
      <c r="B415" s="463" t="s">
        <v>1139</v>
      </c>
      <c r="C415" s="464"/>
      <c r="D415" s="464"/>
      <c r="E415" s="464"/>
      <c r="F415" s="464"/>
      <c r="G415" s="307">
        <v>2013</v>
      </c>
      <c r="H415" s="372">
        <v>98</v>
      </c>
      <c r="I415" s="462"/>
      <c r="J415" s="162"/>
      <c r="K415" s="164">
        <v>2</v>
      </c>
      <c r="L415" s="43"/>
    </row>
    <row r="416" spans="1:12" s="45" customFormat="1" ht="8.5500000000000007" customHeight="1" x14ac:dyDescent="0.2">
      <c r="A416" s="43"/>
      <c r="B416" s="463"/>
      <c r="C416" s="464"/>
      <c r="D416" s="464"/>
      <c r="E416" s="464"/>
      <c r="F416" s="464"/>
      <c r="G416" s="307"/>
      <c r="H416" s="372"/>
      <c r="I416" s="462"/>
      <c r="J416" s="163"/>
      <c r="K416" s="165"/>
      <c r="L416" s="43"/>
    </row>
    <row r="417" spans="1:12" s="45" customFormat="1" ht="8.5500000000000007" customHeight="1" x14ac:dyDescent="0.2">
      <c r="A417" s="43"/>
      <c r="B417" s="463" t="s">
        <v>1140</v>
      </c>
      <c r="C417" s="464"/>
      <c r="D417" s="464"/>
      <c r="E417" s="464"/>
      <c r="F417" s="464"/>
      <c r="G417" s="307">
        <v>2014</v>
      </c>
      <c r="H417" s="372">
        <v>100</v>
      </c>
      <c r="I417" s="462"/>
      <c r="J417" s="162" t="s">
        <v>261</v>
      </c>
      <c r="K417" s="164">
        <v>2</v>
      </c>
      <c r="L417" s="43"/>
    </row>
    <row r="418" spans="1:12" s="45" customFormat="1" ht="8.5500000000000007" customHeight="1" x14ac:dyDescent="0.2">
      <c r="A418" s="43"/>
      <c r="B418" s="463"/>
      <c r="C418" s="464"/>
      <c r="D418" s="464"/>
      <c r="E418" s="464"/>
      <c r="F418" s="464"/>
      <c r="G418" s="307"/>
      <c r="H418" s="372"/>
      <c r="I418" s="462"/>
      <c r="J418" s="163"/>
      <c r="K418" s="165"/>
      <c r="L418" s="43"/>
    </row>
    <row r="419" spans="1:12" s="45" customFormat="1" ht="8.5500000000000007" customHeight="1" x14ac:dyDescent="0.2">
      <c r="A419" s="43"/>
      <c r="B419" s="463" t="s">
        <v>1752</v>
      </c>
      <c r="C419" s="464"/>
      <c r="D419" s="464"/>
      <c r="E419" s="464"/>
      <c r="F419" s="464"/>
      <c r="G419" s="307">
        <v>2015</v>
      </c>
      <c r="H419" s="372">
        <v>98</v>
      </c>
      <c r="I419" s="462"/>
      <c r="J419" s="162"/>
      <c r="K419" s="164">
        <v>1</v>
      </c>
      <c r="L419" s="43"/>
    </row>
    <row r="420" spans="1:12" s="45" customFormat="1" ht="8.5500000000000007" customHeight="1" x14ac:dyDescent="0.2">
      <c r="A420" s="43"/>
      <c r="B420" s="463"/>
      <c r="C420" s="464"/>
      <c r="D420" s="464"/>
      <c r="E420" s="464"/>
      <c r="F420" s="464"/>
      <c r="G420" s="307"/>
      <c r="H420" s="372"/>
      <c r="I420" s="462"/>
      <c r="J420" s="163"/>
      <c r="K420" s="165"/>
      <c r="L420" s="43"/>
    </row>
    <row r="421" spans="1:12" s="45" customFormat="1" ht="8.5500000000000007" customHeight="1" x14ac:dyDescent="0.2">
      <c r="A421" s="43"/>
      <c r="B421" s="183" t="s">
        <v>1833</v>
      </c>
      <c r="C421" s="183"/>
      <c r="D421" s="183"/>
      <c r="E421" s="183"/>
      <c r="F421" s="184"/>
      <c r="G421" s="307">
        <v>1980</v>
      </c>
      <c r="H421" s="372">
        <v>89</v>
      </c>
      <c r="I421" s="462"/>
      <c r="J421" s="162"/>
      <c r="K421" s="164">
        <v>1</v>
      </c>
      <c r="L421" s="43"/>
    </row>
    <row r="422" spans="1:12" s="45" customFormat="1" ht="8.5500000000000007" customHeight="1" x14ac:dyDescent="0.2">
      <c r="A422" s="43"/>
      <c r="B422" s="185"/>
      <c r="C422" s="185"/>
      <c r="D422" s="185"/>
      <c r="E422" s="185"/>
      <c r="F422" s="186"/>
      <c r="G422" s="307"/>
      <c r="H422" s="372"/>
      <c r="I422" s="462"/>
      <c r="J422" s="163"/>
      <c r="K422" s="165"/>
      <c r="L422" s="43"/>
    </row>
    <row r="423" spans="1:12" s="45" customFormat="1" ht="8.5500000000000007" customHeight="1" x14ac:dyDescent="0.2">
      <c r="A423" s="43"/>
      <c r="B423" s="463" t="s">
        <v>1677</v>
      </c>
      <c r="C423" s="464"/>
      <c r="D423" s="464"/>
      <c r="E423" s="464"/>
      <c r="F423" s="464"/>
      <c r="G423" s="307">
        <v>1992</v>
      </c>
      <c r="H423" s="372">
        <v>95</v>
      </c>
      <c r="I423" s="462">
        <v>94</v>
      </c>
      <c r="J423" s="162" t="s">
        <v>861</v>
      </c>
      <c r="K423" s="164">
        <v>2</v>
      </c>
      <c r="L423" s="43"/>
    </row>
    <row r="424" spans="1:12" s="45" customFormat="1" ht="8.5500000000000007" customHeight="1" x14ac:dyDescent="0.2">
      <c r="A424" s="43"/>
      <c r="B424" s="463"/>
      <c r="C424" s="464"/>
      <c r="D424" s="464"/>
      <c r="E424" s="464"/>
      <c r="F424" s="464"/>
      <c r="G424" s="307"/>
      <c r="H424" s="372"/>
      <c r="I424" s="462"/>
      <c r="J424" s="163"/>
      <c r="K424" s="165"/>
      <c r="L424" s="43"/>
    </row>
    <row r="425" spans="1:12" s="45" customFormat="1" ht="8.5500000000000007" customHeight="1" x14ac:dyDescent="0.2">
      <c r="A425" s="43"/>
      <c r="B425" s="463" t="s">
        <v>1677</v>
      </c>
      <c r="C425" s="464"/>
      <c r="D425" s="464"/>
      <c r="E425" s="464"/>
      <c r="F425" s="464"/>
      <c r="G425" s="307">
        <v>1994</v>
      </c>
      <c r="H425" s="372">
        <v>98</v>
      </c>
      <c r="I425" s="462">
        <v>93</v>
      </c>
      <c r="J425" s="162" t="s">
        <v>858</v>
      </c>
      <c r="K425" s="164">
        <v>2</v>
      </c>
      <c r="L425" s="43"/>
    </row>
    <row r="426" spans="1:12" s="45" customFormat="1" ht="8.5500000000000007" customHeight="1" x14ac:dyDescent="0.2">
      <c r="A426" s="43"/>
      <c r="B426" s="463"/>
      <c r="C426" s="464"/>
      <c r="D426" s="464"/>
      <c r="E426" s="464"/>
      <c r="F426" s="464"/>
      <c r="G426" s="307"/>
      <c r="H426" s="372"/>
      <c r="I426" s="462"/>
      <c r="J426" s="163"/>
      <c r="K426" s="165"/>
      <c r="L426" s="43"/>
    </row>
    <row r="427" spans="1:12" s="45" customFormat="1" ht="8.5500000000000007" customHeight="1" x14ac:dyDescent="0.2">
      <c r="A427" s="43"/>
      <c r="B427" s="463" t="s">
        <v>1678</v>
      </c>
      <c r="C427" s="464"/>
      <c r="D427" s="464"/>
      <c r="E427" s="464"/>
      <c r="F427" s="464"/>
      <c r="G427" s="307">
        <v>1995</v>
      </c>
      <c r="H427" s="372">
        <v>98</v>
      </c>
      <c r="I427" s="462">
        <v>94</v>
      </c>
      <c r="J427" s="162" t="s">
        <v>858</v>
      </c>
      <c r="K427" s="164">
        <v>1</v>
      </c>
      <c r="L427" s="43"/>
    </row>
    <row r="428" spans="1:12" s="45" customFormat="1" ht="8.5500000000000007" customHeight="1" x14ac:dyDescent="0.2">
      <c r="A428" s="43"/>
      <c r="B428" s="463"/>
      <c r="C428" s="464"/>
      <c r="D428" s="464"/>
      <c r="E428" s="464"/>
      <c r="F428" s="464"/>
      <c r="G428" s="307"/>
      <c r="H428" s="372"/>
      <c r="I428" s="462"/>
      <c r="J428" s="163"/>
      <c r="K428" s="165"/>
      <c r="L428" s="43"/>
    </row>
    <row r="429" spans="1:12" s="45" customFormat="1" ht="8.5500000000000007" customHeight="1" x14ac:dyDescent="0.2">
      <c r="A429" s="43"/>
      <c r="B429" s="183" t="s">
        <v>1679</v>
      </c>
      <c r="C429" s="183"/>
      <c r="D429" s="183"/>
      <c r="E429" s="183"/>
      <c r="F429" s="184"/>
      <c r="G429" s="307">
        <v>1997</v>
      </c>
      <c r="H429" s="372">
        <v>98</v>
      </c>
      <c r="I429" s="462">
        <v>97</v>
      </c>
      <c r="J429" s="162" t="s">
        <v>339</v>
      </c>
      <c r="K429" s="164">
        <v>1</v>
      </c>
      <c r="L429" s="43"/>
    </row>
    <row r="430" spans="1:12" s="45" customFormat="1" ht="8.5500000000000007" customHeight="1" x14ac:dyDescent="0.2">
      <c r="A430" s="43"/>
      <c r="B430" s="185"/>
      <c r="C430" s="185"/>
      <c r="D430" s="185"/>
      <c r="E430" s="185"/>
      <c r="F430" s="186"/>
      <c r="G430" s="307"/>
      <c r="H430" s="372"/>
      <c r="I430" s="462"/>
      <c r="J430" s="163"/>
      <c r="K430" s="165"/>
      <c r="L430" s="43"/>
    </row>
    <row r="431" spans="1:12" s="45" customFormat="1" ht="8.5500000000000007" customHeight="1" x14ac:dyDescent="0.2">
      <c r="A431" s="43"/>
      <c r="B431" s="183" t="s">
        <v>1679</v>
      </c>
      <c r="C431" s="183"/>
      <c r="D431" s="183"/>
      <c r="E431" s="183"/>
      <c r="F431" s="184"/>
      <c r="G431" s="307">
        <v>1999</v>
      </c>
      <c r="H431" s="372">
        <v>91</v>
      </c>
      <c r="I431" s="462"/>
      <c r="J431" s="162" t="s">
        <v>414</v>
      </c>
      <c r="K431" s="164">
        <v>1</v>
      </c>
      <c r="L431" s="43"/>
    </row>
    <row r="432" spans="1:12" s="45" customFormat="1" ht="8.5500000000000007" customHeight="1" x14ac:dyDescent="0.2">
      <c r="A432" s="43"/>
      <c r="B432" s="185"/>
      <c r="C432" s="185"/>
      <c r="D432" s="185"/>
      <c r="E432" s="185"/>
      <c r="F432" s="186"/>
      <c r="G432" s="307"/>
      <c r="H432" s="372"/>
      <c r="I432" s="462"/>
      <c r="J432" s="163"/>
      <c r="K432" s="165"/>
      <c r="L432" s="43"/>
    </row>
    <row r="433" spans="1:12" s="45" customFormat="1" ht="8.5500000000000007" customHeight="1" x14ac:dyDescent="0.2">
      <c r="A433" s="43"/>
      <c r="B433" s="183" t="s">
        <v>1680</v>
      </c>
      <c r="C433" s="183"/>
      <c r="D433" s="183"/>
      <c r="E433" s="183"/>
      <c r="F433" s="184"/>
      <c r="G433" s="307">
        <v>2001</v>
      </c>
      <c r="H433" s="372">
        <v>99</v>
      </c>
      <c r="I433" s="160"/>
      <c r="J433" s="162" t="s">
        <v>377</v>
      </c>
      <c r="K433" s="164">
        <v>1</v>
      </c>
      <c r="L433" s="43"/>
    </row>
    <row r="434" spans="1:12" s="45" customFormat="1" ht="8.5500000000000007" customHeight="1" x14ac:dyDescent="0.2">
      <c r="A434" s="43"/>
      <c r="B434" s="185"/>
      <c r="C434" s="185"/>
      <c r="D434" s="185"/>
      <c r="E434" s="185"/>
      <c r="F434" s="186"/>
      <c r="G434" s="307"/>
      <c r="H434" s="372"/>
      <c r="I434" s="161"/>
      <c r="J434" s="163"/>
      <c r="K434" s="165"/>
      <c r="L434" s="43"/>
    </row>
    <row r="435" spans="1:12" s="45" customFormat="1" ht="8.5500000000000007" customHeight="1" x14ac:dyDescent="0.2">
      <c r="A435" s="43"/>
      <c r="B435" s="183" t="s">
        <v>1681</v>
      </c>
      <c r="C435" s="183"/>
      <c r="D435" s="183"/>
      <c r="E435" s="183"/>
      <c r="F435" s="184"/>
      <c r="G435" s="307">
        <v>2002</v>
      </c>
      <c r="H435" s="372">
        <v>98</v>
      </c>
      <c r="I435" s="462">
        <v>96</v>
      </c>
      <c r="J435" s="162" t="s">
        <v>31</v>
      </c>
      <c r="K435" s="164">
        <v>2</v>
      </c>
      <c r="L435" s="43"/>
    </row>
    <row r="436" spans="1:12" s="45" customFormat="1" ht="8.5500000000000007" customHeight="1" x14ac:dyDescent="0.2">
      <c r="A436" s="43"/>
      <c r="B436" s="185"/>
      <c r="C436" s="185"/>
      <c r="D436" s="185"/>
      <c r="E436" s="185"/>
      <c r="F436" s="186"/>
      <c r="G436" s="307"/>
      <c r="H436" s="372"/>
      <c r="I436" s="462"/>
      <c r="J436" s="163"/>
      <c r="K436" s="165"/>
      <c r="L436" s="43"/>
    </row>
    <row r="437" spans="1:12" s="45" customFormat="1" ht="8.5500000000000007" customHeight="1" x14ac:dyDescent="0.2">
      <c r="A437" s="43"/>
      <c r="B437" s="463" t="s">
        <v>1682</v>
      </c>
      <c r="C437" s="464"/>
      <c r="D437" s="464"/>
      <c r="E437" s="464"/>
      <c r="F437" s="464"/>
      <c r="G437" s="307">
        <v>2006</v>
      </c>
      <c r="H437" s="372" t="s">
        <v>623</v>
      </c>
      <c r="I437" s="462">
        <v>94</v>
      </c>
      <c r="J437" s="162" t="s">
        <v>724</v>
      </c>
      <c r="K437" s="164">
        <v>1</v>
      </c>
      <c r="L437" s="43"/>
    </row>
    <row r="438" spans="1:12" s="45" customFormat="1" ht="8.5500000000000007" customHeight="1" x14ac:dyDescent="0.2">
      <c r="A438" s="43"/>
      <c r="B438" s="463"/>
      <c r="C438" s="464"/>
      <c r="D438" s="464"/>
      <c r="E438" s="464"/>
      <c r="F438" s="464"/>
      <c r="G438" s="307"/>
      <c r="H438" s="372"/>
      <c r="I438" s="462"/>
      <c r="J438" s="163"/>
      <c r="K438" s="165"/>
      <c r="L438" s="43"/>
    </row>
    <row r="439" spans="1:12" s="45" customFormat="1" ht="8.5500000000000007" customHeight="1" x14ac:dyDescent="0.2">
      <c r="A439" s="43"/>
      <c r="B439" s="463" t="s">
        <v>1678</v>
      </c>
      <c r="C439" s="464"/>
      <c r="D439" s="464"/>
      <c r="E439" s="464"/>
      <c r="F439" s="464"/>
      <c r="G439" s="307">
        <v>2007</v>
      </c>
      <c r="H439" s="372">
        <v>98</v>
      </c>
      <c r="I439" s="462">
        <v>96</v>
      </c>
      <c r="J439" s="162" t="s">
        <v>225</v>
      </c>
      <c r="K439" s="164">
        <v>3</v>
      </c>
      <c r="L439" s="43"/>
    </row>
    <row r="440" spans="1:12" s="45" customFormat="1" ht="8.5500000000000007" customHeight="1" x14ac:dyDescent="0.2">
      <c r="A440" s="43"/>
      <c r="B440" s="463"/>
      <c r="C440" s="464"/>
      <c r="D440" s="464"/>
      <c r="E440" s="464"/>
      <c r="F440" s="464"/>
      <c r="G440" s="307"/>
      <c r="H440" s="372"/>
      <c r="I440" s="462"/>
      <c r="J440" s="163"/>
      <c r="K440" s="165"/>
      <c r="L440" s="43"/>
    </row>
    <row r="441" spans="1:12" s="45" customFormat="1" ht="8.5500000000000007" customHeight="1" x14ac:dyDescent="0.2">
      <c r="A441" s="43"/>
      <c r="B441" s="183" t="s">
        <v>1683</v>
      </c>
      <c r="C441" s="183"/>
      <c r="D441" s="183"/>
      <c r="E441" s="183"/>
      <c r="F441" s="184"/>
      <c r="G441" s="307">
        <v>2008</v>
      </c>
      <c r="H441" s="372">
        <v>97</v>
      </c>
      <c r="I441" s="462">
        <v>94</v>
      </c>
      <c r="J441" s="162" t="s">
        <v>419</v>
      </c>
      <c r="K441" s="164">
        <v>2</v>
      </c>
      <c r="L441" s="43"/>
    </row>
    <row r="442" spans="1:12" s="45" customFormat="1" ht="8.5500000000000007" customHeight="1" x14ac:dyDescent="0.2">
      <c r="A442" s="43"/>
      <c r="B442" s="185"/>
      <c r="C442" s="185"/>
      <c r="D442" s="185"/>
      <c r="E442" s="185"/>
      <c r="F442" s="186"/>
      <c r="G442" s="307"/>
      <c r="H442" s="372"/>
      <c r="I442" s="462"/>
      <c r="J442" s="163"/>
      <c r="K442" s="165"/>
      <c r="L442" s="43"/>
    </row>
    <row r="443" spans="1:12" s="45" customFormat="1" ht="8.5500000000000007" customHeight="1" x14ac:dyDescent="0.2">
      <c r="A443" s="43"/>
      <c r="B443" s="183" t="s">
        <v>1684</v>
      </c>
      <c r="C443" s="183"/>
      <c r="D443" s="183"/>
      <c r="E443" s="183"/>
      <c r="F443" s="184"/>
      <c r="G443" s="307">
        <v>1984</v>
      </c>
      <c r="H443" s="372">
        <v>94</v>
      </c>
      <c r="I443" s="462"/>
      <c r="J443" s="162" t="s">
        <v>862</v>
      </c>
      <c r="K443" s="164">
        <v>1</v>
      </c>
      <c r="L443" s="43"/>
    </row>
    <row r="444" spans="1:12" s="45" customFormat="1" ht="8.5500000000000007" customHeight="1" x14ac:dyDescent="0.2">
      <c r="A444" s="43"/>
      <c r="B444" s="185"/>
      <c r="C444" s="185"/>
      <c r="D444" s="185"/>
      <c r="E444" s="185"/>
      <c r="F444" s="186"/>
      <c r="G444" s="307"/>
      <c r="H444" s="372"/>
      <c r="I444" s="462"/>
      <c r="J444" s="163"/>
      <c r="K444" s="165"/>
      <c r="L444" s="43"/>
    </row>
    <row r="445" spans="1:12" s="45" customFormat="1" ht="8.5500000000000007" customHeight="1" x14ac:dyDescent="0.2">
      <c r="A445" s="43"/>
      <c r="B445" s="183" t="s">
        <v>1684</v>
      </c>
      <c r="C445" s="183"/>
      <c r="D445" s="183"/>
      <c r="E445" s="183"/>
      <c r="F445" s="184"/>
      <c r="G445" s="307">
        <v>1990</v>
      </c>
      <c r="H445" s="162" t="s">
        <v>688</v>
      </c>
      <c r="I445" s="462">
        <v>94</v>
      </c>
      <c r="J445" s="160"/>
      <c r="K445" s="164">
        <v>1</v>
      </c>
      <c r="L445" s="43"/>
    </row>
    <row r="446" spans="1:12" s="45" customFormat="1" ht="8.5500000000000007" customHeight="1" x14ac:dyDescent="0.2">
      <c r="A446" s="43"/>
      <c r="B446" s="185"/>
      <c r="C446" s="185"/>
      <c r="D446" s="185"/>
      <c r="E446" s="185"/>
      <c r="F446" s="186"/>
      <c r="G446" s="307"/>
      <c r="H446" s="163"/>
      <c r="I446" s="462"/>
      <c r="J446" s="161"/>
      <c r="K446" s="165"/>
      <c r="L446" s="43"/>
    </row>
    <row r="447" spans="1:12" s="45" customFormat="1" ht="8.5500000000000007" customHeight="1" x14ac:dyDescent="0.2">
      <c r="A447" s="43"/>
      <c r="B447" s="183" t="s">
        <v>1355</v>
      </c>
      <c r="C447" s="183"/>
      <c r="D447" s="183"/>
      <c r="E447" s="183"/>
      <c r="F447" s="184"/>
      <c r="G447" s="307">
        <v>1968</v>
      </c>
      <c r="H447" s="372"/>
      <c r="I447" s="462"/>
      <c r="J447" s="162"/>
      <c r="K447" s="164">
        <v>1</v>
      </c>
      <c r="L447" s="43"/>
    </row>
    <row r="448" spans="1:12" s="45" customFormat="1" ht="8.5500000000000007" customHeight="1" x14ac:dyDescent="0.2">
      <c r="A448" s="43"/>
      <c r="B448" s="185"/>
      <c r="C448" s="185"/>
      <c r="D448" s="185"/>
      <c r="E448" s="185"/>
      <c r="F448" s="186"/>
      <c r="G448" s="307"/>
      <c r="H448" s="372"/>
      <c r="I448" s="462"/>
      <c r="J448" s="163"/>
      <c r="K448" s="165"/>
      <c r="L448" s="43"/>
    </row>
    <row r="449" spans="1:12" s="45" customFormat="1" ht="8.5500000000000007" customHeight="1" x14ac:dyDescent="0.2">
      <c r="A449" s="43"/>
      <c r="B449" s="183" t="s">
        <v>829</v>
      </c>
      <c r="C449" s="183"/>
      <c r="D449" s="183"/>
      <c r="E449" s="183"/>
      <c r="F449" s="184"/>
      <c r="G449" s="307">
        <v>1969</v>
      </c>
      <c r="H449" s="372"/>
      <c r="I449" s="462"/>
      <c r="J449" s="162"/>
      <c r="K449" s="164">
        <v>2</v>
      </c>
      <c r="L449" s="43"/>
    </row>
    <row r="450" spans="1:12" s="45" customFormat="1" ht="8.5500000000000007" customHeight="1" x14ac:dyDescent="0.2">
      <c r="A450" s="43"/>
      <c r="B450" s="185"/>
      <c r="C450" s="185"/>
      <c r="D450" s="185"/>
      <c r="E450" s="185"/>
      <c r="F450" s="186"/>
      <c r="G450" s="307"/>
      <c r="H450" s="372"/>
      <c r="I450" s="462"/>
      <c r="J450" s="163"/>
      <c r="K450" s="165"/>
      <c r="L450" s="43"/>
    </row>
    <row r="451" spans="1:12" s="45" customFormat="1" ht="8.5500000000000007" customHeight="1" x14ac:dyDescent="0.2">
      <c r="A451" s="43"/>
      <c r="B451" s="183" t="s">
        <v>829</v>
      </c>
      <c r="C451" s="183"/>
      <c r="D451" s="183"/>
      <c r="E451" s="183"/>
      <c r="F451" s="184"/>
      <c r="G451" s="307">
        <v>1994</v>
      </c>
      <c r="H451" s="372">
        <v>98</v>
      </c>
      <c r="I451" s="462">
        <v>95</v>
      </c>
      <c r="J451" s="162" t="s">
        <v>310</v>
      </c>
      <c r="K451" s="164">
        <v>3</v>
      </c>
      <c r="L451" s="43"/>
    </row>
    <row r="452" spans="1:12" s="45" customFormat="1" ht="8.5500000000000007" customHeight="1" x14ac:dyDescent="0.2">
      <c r="A452" s="43"/>
      <c r="B452" s="185"/>
      <c r="C452" s="185"/>
      <c r="D452" s="185"/>
      <c r="E452" s="185"/>
      <c r="F452" s="186"/>
      <c r="G452" s="307"/>
      <c r="H452" s="372"/>
      <c r="I452" s="462"/>
      <c r="J452" s="163"/>
      <c r="K452" s="165"/>
      <c r="L452" s="43"/>
    </row>
    <row r="453" spans="1:12" s="45" customFormat="1" ht="8.5500000000000007" customHeight="1" x14ac:dyDescent="0.2">
      <c r="A453" s="43"/>
      <c r="B453" s="463" t="s">
        <v>471</v>
      </c>
      <c r="C453" s="464"/>
      <c r="D453" s="464"/>
      <c r="E453" s="464"/>
      <c r="F453" s="464"/>
      <c r="G453" s="307">
        <v>2003</v>
      </c>
      <c r="H453" s="372">
        <v>98</v>
      </c>
      <c r="I453" s="462">
        <v>88</v>
      </c>
      <c r="J453" s="162" t="s">
        <v>460</v>
      </c>
      <c r="K453" s="164">
        <v>4</v>
      </c>
      <c r="L453" s="43"/>
    </row>
    <row r="454" spans="1:12" s="45" customFormat="1" ht="8.5500000000000007" customHeight="1" x14ac:dyDescent="0.2">
      <c r="A454" s="43"/>
      <c r="B454" s="463"/>
      <c r="C454" s="464"/>
      <c r="D454" s="464"/>
      <c r="E454" s="464"/>
      <c r="F454" s="464"/>
      <c r="G454" s="307"/>
      <c r="H454" s="372"/>
      <c r="I454" s="462"/>
      <c r="J454" s="163"/>
      <c r="K454" s="165"/>
      <c r="L454" s="43"/>
    </row>
    <row r="455" spans="1:12" s="45" customFormat="1" ht="8.5500000000000007" customHeight="1" x14ac:dyDescent="0.2">
      <c r="A455" s="43"/>
      <c r="B455" s="463" t="s">
        <v>471</v>
      </c>
      <c r="C455" s="464"/>
      <c r="D455" s="464"/>
      <c r="E455" s="464"/>
      <c r="F455" s="464"/>
      <c r="G455" s="307">
        <v>2004</v>
      </c>
      <c r="H455" s="372">
        <v>99</v>
      </c>
      <c r="I455" s="462"/>
      <c r="J455" s="162" t="s">
        <v>323</v>
      </c>
      <c r="K455" s="164">
        <v>3</v>
      </c>
      <c r="L455" s="43"/>
    </row>
    <row r="456" spans="1:12" s="45" customFormat="1" ht="8.5500000000000007" customHeight="1" x14ac:dyDescent="0.2">
      <c r="A456" s="43"/>
      <c r="B456" s="463"/>
      <c r="C456" s="464"/>
      <c r="D456" s="464"/>
      <c r="E456" s="464"/>
      <c r="F456" s="464"/>
      <c r="G456" s="307"/>
      <c r="H456" s="372"/>
      <c r="I456" s="462"/>
      <c r="J456" s="163"/>
      <c r="K456" s="165"/>
      <c r="L456" s="43"/>
    </row>
    <row r="457" spans="1:12" s="45" customFormat="1" ht="8.5500000000000007" customHeight="1" x14ac:dyDescent="0.2">
      <c r="A457" s="43"/>
      <c r="B457" s="463" t="s">
        <v>471</v>
      </c>
      <c r="C457" s="464"/>
      <c r="D457" s="464"/>
      <c r="E457" s="464"/>
      <c r="F457" s="464"/>
      <c r="G457" s="307">
        <v>2005</v>
      </c>
      <c r="H457" s="372">
        <v>98</v>
      </c>
      <c r="I457" s="462"/>
      <c r="J457" s="162" t="s">
        <v>216</v>
      </c>
      <c r="K457" s="164">
        <v>1</v>
      </c>
      <c r="L457" s="43"/>
    </row>
    <row r="458" spans="1:12" s="45" customFormat="1" ht="8.5500000000000007" customHeight="1" x14ac:dyDescent="0.2">
      <c r="A458" s="43"/>
      <c r="B458" s="463"/>
      <c r="C458" s="464"/>
      <c r="D458" s="464"/>
      <c r="E458" s="464"/>
      <c r="F458" s="464"/>
      <c r="G458" s="307"/>
      <c r="H458" s="372"/>
      <c r="I458" s="462"/>
      <c r="J458" s="163"/>
      <c r="K458" s="165"/>
      <c r="L458" s="43"/>
    </row>
    <row r="459" spans="1:12" s="45" customFormat="1" ht="8.5500000000000007" customHeight="1" x14ac:dyDescent="0.2">
      <c r="A459" s="43"/>
      <c r="B459" s="463" t="s">
        <v>471</v>
      </c>
      <c r="C459" s="464"/>
      <c r="D459" s="464"/>
      <c r="E459" s="464"/>
      <c r="F459" s="464"/>
      <c r="G459" s="307">
        <v>2007</v>
      </c>
      <c r="H459" s="372">
        <v>100</v>
      </c>
      <c r="I459" s="462">
        <v>97</v>
      </c>
      <c r="J459" s="162" t="s">
        <v>233</v>
      </c>
      <c r="K459" s="164">
        <v>4</v>
      </c>
      <c r="L459" s="43"/>
    </row>
    <row r="460" spans="1:12" s="45" customFormat="1" ht="8.5500000000000007" customHeight="1" x14ac:dyDescent="0.2">
      <c r="A460" s="43"/>
      <c r="B460" s="463"/>
      <c r="C460" s="464"/>
      <c r="D460" s="464"/>
      <c r="E460" s="464"/>
      <c r="F460" s="464"/>
      <c r="G460" s="307"/>
      <c r="H460" s="372"/>
      <c r="I460" s="462"/>
      <c r="J460" s="163"/>
      <c r="K460" s="165"/>
      <c r="L460" s="43"/>
    </row>
    <row r="461" spans="1:12" s="45" customFormat="1" ht="8.5500000000000007" customHeight="1" x14ac:dyDescent="0.2">
      <c r="A461" s="43"/>
      <c r="B461" s="463" t="s">
        <v>471</v>
      </c>
      <c r="C461" s="464"/>
      <c r="D461" s="464"/>
      <c r="E461" s="464"/>
      <c r="F461" s="464"/>
      <c r="G461" s="307">
        <v>2010</v>
      </c>
      <c r="H461" s="372">
        <v>98</v>
      </c>
      <c r="I461" s="462"/>
      <c r="J461" s="162" t="s">
        <v>47</v>
      </c>
      <c r="K461" s="164">
        <v>3</v>
      </c>
      <c r="L461" s="43"/>
    </row>
    <row r="462" spans="1:12" s="45" customFormat="1" ht="8.5500000000000007" customHeight="1" x14ac:dyDescent="0.2">
      <c r="A462" s="43"/>
      <c r="B462" s="463"/>
      <c r="C462" s="464"/>
      <c r="D462" s="464"/>
      <c r="E462" s="464"/>
      <c r="F462" s="464"/>
      <c r="G462" s="307"/>
      <c r="H462" s="372"/>
      <c r="I462" s="462"/>
      <c r="J462" s="163"/>
      <c r="K462" s="165"/>
      <c r="L462" s="43"/>
    </row>
    <row r="463" spans="1:12" s="45" customFormat="1" ht="8.5500000000000007" customHeight="1" x14ac:dyDescent="0.2">
      <c r="A463" s="43"/>
      <c r="B463" s="463" t="s">
        <v>1354</v>
      </c>
      <c r="C463" s="464"/>
      <c r="D463" s="464"/>
      <c r="E463" s="464"/>
      <c r="F463" s="464"/>
      <c r="G463" s="307">
        <v>1974</v>
      </c>
      <c r="H463" s="372">
        <v>100</v>
      </c>
      <c r="I463" s="462"/>
      <c r="J463" s="162"/>
      <c r="K463" s="164">
        <v>1</v>
      </c>
      <c r="L463" s="43"/>
    </row>
    <row r="464" spans="1:12" s="45" customFormat="1" ht="8.5500000000000007" customHeight="1" x14ac:dyDescent="0.2">
      <c r="A464" s="43"/>
      <c r="B464" s="463"/>
      <c r="C464" s="464"/>
      <c r="D464" s="464"/>
      <c r="E464" s="464"/>
      <c r="F464" s="464"/>
      <c r="G464" s="307"/>
      <c r="H464" s="372"/>
      <c r="I464" s="462"/>
      <c r="J464" s="163"/>
      <c r="K464" s="165"/>
      <c r="L464" s="43"/>
    </row>
    <row r="465" spans="1:12" s="45" customFormat="1" ht="8.5500000000000007" customHeight="1" x14ac:dyDescent="0.2">
      <c r="A465" s="43"/>
      <c r="B465" s="463" t="s">
        <v>1687</v>
      </c>
      <c r="C465" s="464"/>
      <c r="D465" s="464"/>
      <c r="E465" s="464"/>
      <c r="F465" s="464"/>
      <c r="G465" s="307">
        <v>1990</v>
      </c>
      <c r="H465" s="372">
        <v>93</v>
      </c>
      <c r="I465" s="462">
        <v>93</v>
      </c>
      <c r="J465" s="162" t="s">
        <v>440</v>
      </c>
      <c r="K465" s="164">
        <v>4</v>
      </c>
      <c r="L465" s="43"/>
    </row>
    <row r="466" spans="1:12" s="45" customFormat="1" ht="8.5500000000000007" customHeight="1" x14ac:dyDescent="0.2">
      <c r="A466" s="43"/>
      <c r="B466" s="463"/>
      <c r="C466" s="464"/>
      <c r="D466" s="464"/>
      <c r="E466" s="464"/>
      <c r="F466" s="464"/>
      <c r="G466" s="307"/>
      <c r="H466" s="372"/>
      <c r="I466" s="462"/>
      <c r="J466" s="163"/>
      <c r="K466" s="165"/>
      <c r="L466" s="43"/>
    </row>
    <row r="467" spans="1:12" s="45" customFormat="1" ht="8.5500000000000007" customHeight="1" x14ac:dyDescent="0.2">
      <c r="A467" s="43"/>
      <c r="B467" s="463" t="s">
        <v>1687</v>
      </c>
      <c r="C467" s="464"/>
      <c r="D467" s="464"/>
      <c r="E467" s="464"/>
      <c r="F467" s="464"/>
      <c r="G467" s="307">
        <v>1992</v>
      </c>
      <c r="H467" s="372">
        <v>100</v>
      </c>
      <c r="I467" s="462"/>
      <c r="J467" s="162" t="s">
        <v>22</v>
      </c>
      <c r="K467" s="164">
        <v>3</v>
      </c>
      <c r="L467" s="43"/>
    </row>
    <row r="468" spans="1:12" s="45" customFormat="1" ht="8.5500000000000007" customHeight="1" x14ac:dyDescent="0.2">
      <c r="A468" s="43"/>
      <c r="B468" s="463"/>
      <c r="C468" s="464"/>
      <c r="D468" s="464"/>
      <c r="E468" s="464"/>
      <c r="F468" s="464"/>
      <c r="G468" s="307"/>
      <c r="H468" s="372"/>
      <c r="I468" s="462"/>
      <c r="J468" s="163"/>
      <c r="K468" s="165"/>
      <c r="L468" s="43"/>
    </row>
    <row r="469" spans="1:12" s="45" customFormat="1" ht="8.5500000000000007" customHeight="1" x14ac:dyDescent="0.2">
      <c r="A469" s="43"/>
      <c r="B469" s="463" t="s">
        <v>1687</v>
      </c>
      <c r="C469" s="464"/>
      <c r="D469" s="464"/>
      <c r="E469" s="464"/>
      <c r="F469" s="464"/>
      <c r="G469" s="307">
        <v>2001</v>
      </c>
      <c r="H469" s="372">
        <v>99</v>
      </c>
      <c r="I469" s="462">
        <v>95</v>
      </c>
      <c r="J469" s="162" t="s">
        <v>227</v>
      </c>
      <c r="K469" s="164">
        <v>4</v>
      </c>
      <c r="L469" s="43"/>
    </row>
    <row r="470" spans="1:12" s="45" customFormat="1" ht="8.5500000000000007" customHeight="1" x14ac:dyDescent="0.2">
      <c r="A470" s="43"/>
      <c r="B470" s="463"/>
      <c r="C470" s="464"/>
      <c r="D470" s="464"/>
      <c r="E470" s="464"/>
      <c r="F470" s="464"/>
      <c r="G470" s="307"/>
      <c r="H470" s="372"/>
      <c r="I470" s="462"/>
      <c r="J470" s="163"/>
      <c r="K470" s="165"/>
      <c r="L470" s="43"/>
    </row>
    <row r="471" spans="1:12" s="45" customFormat="1" ht="8.5500000000000007" customHeight="1" x14ac:dyDescent="0.2">
      <c r="A471" s="43"/>
      <c r="B471" s="463" t="s">
        <v>1685</v>
      </c>
      <c r="C471" s="464"/>
      <c r="D471" s="464"/>
      <c r="E471" s="464"/>
      <c r="F471" s="464"/>
      <c r="G471" s="307">
        <v>1985</v>
      </c>
      <c r="H471" s="372">
        <v>91</v>
      </c>
      <c r="I471" s="462"/>
      <c r="J471" s="162" t="s">
        <v>579</v>
      </c>
      <c r="K471" s="164">
        <v>5</v>
      </c>
      <c r="L471" s="43"/>
    </row>
    <row r="472" spans="1:12" s="45" customFormat="1" ht="8.5500000000000007" customHeight="1" x14ac:dyDescent="0.2">
      <c r="A472" s="43"/>
      <c r="B472" s="463"/>
      <c r="C472" s="464"/>
      <c r="D472" s="464"/>
      <c r="E472" s="464"/>
      <c r="F472" s="464"/>
      <c r="G472" s="307"/>
      <c r="H472" s="372"/>
      <c r="I472" s="462"/>
      <c r="J472" s="163"/>
      <c r="K472" s="165"/>
      <c r="L472" s="43"/>
    </row>
    <row r="473" spans="1:12" s="45" customFormat="1" ht="8.5500000000000007" customHeight="1" x14ac:dyDescent="0.2">
      <c r="A473" s="43"/>
      <c r="B473" s="463" t="s">
        <v>1686</v>
      </c>
      <c r="C473" s="464"/>
      <c r="D473" s="464"/>
      <c r="E473" s="464"/>
      <c r="F473" s="464"/>
      <c r="G473" s="307">
        <v>1986</v>
      </c>
      <c r="H473" s="372">
        <v>93</v>
      </c>
      <c r="I473" s="462"/>
      <c r="J473" s="162" t="s">
        <v>376</v>
      </c>
      <c r="K473" s="164">
        <v>1</v>
      </c>
      <c r="L473" s="43"/>
    </row>
    <row r="474" spans="1:12" s="45" customFormat="1" ht="8.5500000000000007" customHeight="1" x14ac:dyDescent="0.2">
      <c r="A474" s="43"/>
      <c r="B474" s="463"/>
      <c r="C474" s="464"/>
      <c r="D474" s="464"/>
      <c r="E474" s="464"/>
      <c r="F474" s="464"/>
      <c r="G474" s="307"/>
      <c r="H474" s="372"/>
      <c r="I474" s="462"/>
      <c r="J474" s="163"/>
      <c r="K474" s="165"/>
      <c r="L474" s="43"/>
    </row>
    <row r="475" spans="1:12" s="45" customFormat="1" ht="8.5500000000000007" customHeight="1" x14ac:dyDescent="0.2">
      <c r="A475" s="43"/>
      <c r="B475" s="463" t="s">
        <v>1686</v>
      </c>
      <c r="C475" s="464"/>
      <c r="D475" s="464"/>
      <c r="E475" s="464"/>
      <c r="F475" s="464"/>
      <c r="G475" s="307">
        <v>1987</v>
      </c>
      <c r="H475" s="372">
        <v>96</v>
      </c>
      <c r="I475" s="462"/>
      <c r="J475" s="162" t="s">
        <v>920</v>
      </c>
      <c r="K475" s="164">
        <v>2</v>
      </c>
      <c r="L475" s="43"/>
    </row>
    <row r="476" spans="1:12" s="45" customFormat="1" ht="8.5500000000000007" customHeight="1" x14ac:dyDescent="0.2">
      <c r="A476" s="43"/>
      <c r="B476" s="463"/>
      <c r="C476" s="464"/>
      <c r="D476" s="464"/>
      <c r="E476" s="464"/>
      <c r="F476" s="464"/>
      <c r="G476" s="307"/>
      <c r="H476" s="372"/>
      <c r="I476" s="462"/>
      <c r="J476" s="163"/>
      <c r="K476" s="165"/>
      <c r="L476" s="43"/>
    </row>
    <row r="477" spans="1:12" s="45" customFormat="1" ht="8.5500000000000007" customHeight="1" x14ac:dyDescent="0.2">
      <c r="A477" s="43"/>
      <c r="B477" s="463" t="s">
        <v>1688</v>
      </c>
      <c r="C477" s="464"/>
      <c r="D477" s="464"/>
      <c r="E477" s="464"/>
      <c r="F477" s="464"/>
      <c r="G477" s="307">
        <v>1990</v>
      </c>
      <c r="H477" s="372">
        <v>95</v>
      </c>
      <c r="I477" s="462"/>
      <c r="J477" s="162" t="s">
        <v>921</v>
      </c>
      <c r="K477" s="164">
        <v>4</v>
      </c>
      <c r="L477" s="43"/>
    </row>
    <row r="478" spans="1:12" s="45" customFormat="1" ht="8.5500000000000007" customHeight="1" x14ac:dyDescent="0.2">
      <c r="A478" s="43"/>
      <c r="B478" s="463"/>
      <c r="C478" s="464"/>
      <c r="D478" s="464"/>
      <c r="E478" s="464"/>
      <c r="F478" s="464"/>
      <c r="G478" s="307"/>
      <c r="H478" s="372"/>
      <c r="I478" s="462"/>
      <c r="J478" s="163"/>
      <c r="K478" s="165"/>
      <c r="L478" s="43"/>
    </row>
    <row r="479" spans="1:12" s="45" customFormat="1" ht="8.5500000000000007" customHeight="1" x14ac:dyDescent="0.2">
      <c r="A479" s="43"/>
      <c r="B479" s="463" t="s">
        <v>1688</v>
      </c>
      <c r="C479" s="464"/>
      <c r="D479" s="464"/>
      <c r="E479" s="464"/>
      <c r="F479" s="464"/>
      <c r="G479" s="307">
        <v>1991</v>
      </c>
      <c r="H479" s="372">
        <v>98</v>
      </c>
      <c r="I479" s="462"/>
      <c r="J479" s="162" t="s">
        <v>472</v>
      </c>
      <c r="K479" s="164">
        <v>4</v>
      </c>
      <c r="L479" s="43"/>
    </row>
    <row r="480" spans="1:12" s="45" customFormat="1" ht="8.5500000000000007" customHeight="1" x14ac:dyDescent="0.2">
      <c r="A480" s="43"/>
      <c r="B480" s="463"/>
      <c r="C480" s="464"/>
      <c r="D480" s="464"/>
      <c r="E480" s="464"/>
      <c r="F480" s="464"/>
      <c r="G480" s="307"/>
      <c r="H480" s="372"/>
      <c r="I480" s="462"/>
      <c r="J480" s="163"/>
      <c r="K480" s="165"/>
      <c r="L480" s="43"/>
    </row>
    <row r="481" spans="1:12" s="45" customFormat="1" ht="8.5500000000000007" customHeight="1" x14ac:dyDescent="0.2">
      <c r="A481" s="43"/>
      <c r="B481" s="156" t="s">
        <v>1689</v>
      </c>
      <c r="C481" s="156"/>
      <c r="D481" s="156"/>
      <c r="E481" s="156"/>
      <c r="F481" s="157"/>
      <c r="G481" s="307">
        <v>1991</v>
      </c>
      <c r="H481" s="372">
        <v>98</v>
      </c>
      <c r="I481" s="462">
        <v>93</v>
      </c>
      <c r="J481" s="162" t="s">
        <v>472</v>
      </c>
      <c r="K481" s="164">
        <v>1</v>
      </c>
      <c r="L481" s="43"/>
    </row>
    <row r="482" spans="1:12" s="45" customFormat="1" ht="8.5500000000000007" customHeight="1" x14ac:dyDescent="0.2">
      <c r="A482" s="43"/>
      <c r="B482" s="158"/>
      <c r="C482" s="158"/>
      <c r="D482" s="158"/>
      <c r="E482" s="158"/>
      <c r="F482" s="159"/>
      <c r="G482" s="307"/>
      <c r="H482" s="372"/>
      <c r="I482" s="462"/>
      <c r="J482" s="163"/>
      <c r="K482" s="165"/>
      <c r="L482" s="43"/>
    </row>
    <row r="483" spans="1:12" s="45" customFormat="1" ht="8.5500000000000007" customHeight="1" x14ac:dyDescent="0.2">
      <c r="A483" s="43"/>
      <c r="B483" s="463" t="s">
        <v>1685</v>
      </c>
      <c r="C483" s="464"/>
      <c r="D483" s="464"/>
      <c r="E483" s="464"/>
      <c r="F483" s="464"/>
      <c r="G483" s="307">
        <v>1992</v>
      </c>
      <c r="H483" s="372">
        <v>95</v>
      </c>
      <c r="I483" s="462"/>
      <c r="J483" s="162" t="s">
        <v>579</v>
      </c>
      <c r="K483" s="164">
        <v>1</v>
      </c>
      <c r="L483" s="43"/>
    </row>
    <row r="484" spans="1:12" s="45" customFormat="1" ht="8.5500000000000007" customHeight="1" x14ac:dyDescent="0.2">
      <c r="A484" s="43"/>
      <c r="B484" s="463"/>
      <c r="C484" s="464"/>
      <c r="D484" s="464"/>
      <c r="E484" s="464"/>
      <c r="F484" s="464"/>
      <c r="G484" s="307"/>
      <c r="H484" s="372"/>
      <c r="I484" s="462"/>
      <c r="J484" s="163"/>
      <c r="K484" s="165"/>
      <c r="L484" s="43"/>
    </row>
    <row r="485" spans="1:12" s="45" customFormat="1" ht="8.5500000000000007" customHeight="1" x14ac:dyDescent="0.2">
      <c r="A485" s="43"/>
      <c r="B485" s="463" t="s">
        <v>1685</v>
      </c>
      <c r="C485" s="464"/>
      <c r="D485" s="464"/>
      <c r="E485" s="464"/>
      <c r="F485" s="464"/>
      <c r="G485" s="307">
        <v>1994</v>
      </c>
      <c r="H485" s="372">
        <v>99</v>
      </c>
      <c r="I485" s="462"/>
      <c r="J485" s="162" t="s">
        <v>473</v>
      </c>
      <c r="K485" s="164">
        <v>6</v>
      </c>
      <c r="L485" s="43"/>
    </row>
    <row r="486" spans="1:12" s="45" customFormat="1" ht="8.5500000000000007" customHeight="1" x14ac:dyDescent="0.2">
      <c r="A486" s="43"/>
      <c r="B486" s="463"/>
      <c r="C486" s="464"/>
      <c r="D486" s="464"/>
      <c r="E486" s="464"/>
      <c r="F486" s="464"/>
      <c r="G486" s="307"/>
      <c r="H486" s="372"/>
      <c r="I486" s="462"/>
      <c r="J486" s="163"/>
      <c r="K486" s="165"/>
      <c r="L486" s="43"/>
    </row>
    <row r="487" spans="1:12" s="45" customFormat="1" ht="8.5500000000000007" customHeight="1" x14ac:dyDescent="0.2">
      <c r="A487" s="43"/>
      <c r="B487" s="463" t="s">
        <v>1685</v>
      </c>
      <c r="C487" s="464"/>
      <c r="D487" s="464"/>
      <c r="E487" s="464"/>
      <c r="F487" s="464"/>
      <c r="G487" s="307">
        <v>1995</v>
      </c>
      <c r="H487" s="372">
        <v>93</v>
      </c>
      <c r="I487" s="462"/>
      <c r="J487" s="162" t="s">
        <v>921</v>
      </c>
      <c r="K487" s="164">
        <v>2</v>
      </c>
      <c r="L487" s="43"/>
    </row>
    <row r="488" spans="1:12" s="45" customFormat="1" ht="8.5500000000000007" customHeight="1" x14ac:dyDescent="0.2">
      <c r="A488" s="43"/>
      <c r="B488" s="463"/>
      <c r="C488" s="464"/>
      <c r="D488" s="464"/>
      <c r="E488" s="464"/>
      <c r="F488" s="464"/>
      <c r="G488" s="307"/>
      <c r="H488" s="372"/>
      <c r="I488" s="462"/>
      <c r="J488" s="163"/>
      <c r="K488" s="165"/>
      <c r="L488" s="43"/>
    </row>
    <row r="489" spans="1:12" s="45" customFormat="1" ht="8.5500000000000007" customHeight="1" x14ac:dyDescent="0.2">
      <c r="A489" s="43"/>
      <c r="B489" s="463" t="s">
        <v>1685</v>
      </c>
      <c r="C489" s="464"/>
      <c r="D489" s="464"/>
      <c r="E489" s="464"/>
      <c r="F489" s="464"/>
      <c r="G489" s="307">
        <v>2001</v>
      </c>
      <c r="H489" s="372">
        <v>98</v>
      </c>
      <c r="I489" s="462">
        <v>88</v>
      </c>
      <c r="J489" s="162" t="s">
        <v>130</v>
      </c>
      <c r="K489" s="164">
        <v>4</v>
      </c>
      <c r="L489" s="43"/>
    </row>
    <row r="490" spans="1:12" s="45" customFormat="1" ht="8.5500000000000007" customHeight="1" x14ac:dyDescent="0.2">
      <c r="A490" s="43"/>
      <c r="B490" s="463"/>
      <c r="C490" s="464"/>
      <c r="D490" s="464"/>
      <c r="E490" s="464"/>
      <c r="F490" s="464"/>
      <c r="G490" s="307"/>
      <c r="H490" s="372"/>
      <c r="I490" s="462"/>
      <c r="J490" s="163"/>
      <c r="K490" s="165"/>
      <c r="L490" s="43"/>
    </row>
    <row r="491" spans="1:12" s="45" customFormat="1" ht="8.5500000000000007" customHeight="1" x14ac:dyDescent="0.2">
      <c r="A491" s="43"/>
      <c r="B491" s="463" t="s">
        <v>1685</v>
      </c>
      <c r="C491" s="464"/>
      <c r="D491" s="464"/>
      <c r="E491" s="464"/>
      <c r="F491" s="464"/>
      <c r="G491" s="307">
        <v>2002</v>
      </c>
      <c r="H491" s="372">
        <v>99</v>
      </c>
      <c r="I491" s="462">
        <v>88</v>
      </c>
      <c r="J491" s="162" t="s">
        <v>249</v>
      </c>
      <c r="K491" s="164">
        <v>3</v>
      </c>
      <c r="L491" s="43"/>
    </row>
    <row r="492" spans="1:12" s="45" customFormat="1" ht="8.5500000000000007" customHeight="1" x14ac:dyDescent="0.2">
      <c r="A492" s="43"/>
      <c r="B492" s="463"/>
      <c r="C492" s="464"/>
      <c r="D492" s="464"/>
      <c r="E492" s="464"/>
      <c r="F492" s="464"/>
      <c r="G492" s="307"/>
      <c r="H492" s="372"/>
      <c r="I492" s="462"/>
      <c r="J492" s="163"/>
      <c r="K492" s="165"/>
      <c r="L492" s="43"/>
    </row>
    <row r="493" spans="1:12" s="45" customFormat="1" ht="8.5500000000000007" customHeight="1" x14ac:dyDescent="0.2">
      <c r="A493" s="43"/>
      <c r="B493" s="463" t="s">
        <v>1688</v>
      </c>
      <c r="C493" s="464"/>
      <c r="D493" s="464"/>
      <c r="E493" s="464"/>
      <c r="F493" s="464"/>
      <c r="G493" s="307">
        <v>2007</v>
      </c>
      <c r="H493" s="372">
        <v>98</v>
      </c>
      <c r="I493" s="462">
        <v>88</v>
      </c>
      <c r="J493" s="162" t="s">
        <v>226</v>
      </c>
      <c r="K493" s="164">
        <v>3</v>
      </c>
      <c r="L493" s="43"/>
    </row>
    <row r="494" spans="1:12" s="45" customFormat="1" ht="8.5500000000000007" customHeight="1" x14ac:dyDescent="0.2">
      <c r="A494" s="43"/>
      <c r="B494" s="463"/>
      <c r="C494" s="464"/>
      <c r="D494" s="464"/>
      <c r="E494" s="464"/>
      <c r="F494" s="464"/>
      <c r="G494" s="307"/>
      <c r="H494" s="372"/>
      <c r="I494" s="462"/>
      <c r="J494" s="163"/>
      <c r="K494" s="165"/>
      <c r="L494" s="43"/>
    </row>
    <row r="495" spans="1:12" s="45" customFormat="1" ht="8.5500000000000007" customHeight="1" x14ac:dyDescent="0.2">
      <c r="A495" s="43"/>
      <c r="B495" s="463" t="s">
        <v>1688</v>
      </c>
      <c r="C495" s="464"/>
      <c r="D495" s="464"/>
      <c r="E495" s="464"/>
      <c r="F495" s="464"/>
      <c r="G495" s="307">
        <v>2008</v>
      </c>
      <c r="H495" s="372">
        <v>99</v>
      </c>
      <c r="I495" s="462"/>
      <c r="J495" s="162"/>
      <c r="K495" s="164">
        <v>2</v>
      </c>
      <c r="L495" s="43"/>
    </row>
    <row r="496" spans="1:12" s="45" customFormat="1" ht="8.5500000000000007" customHeight="1" x14ac:dyDescent="0.2">
      <c r="A496" s="43"/>
      <c r="B496" s="463"/>
      <c r="C496" s="464"/>
      <c r="D496" s="464"/>
      <c r="E496" s="464"/>
      <c r="F496" s="464"/>
      <c r="G496" s="307"/>
      <c r="H496" s="372"/>
      <c r="I496" s="462"/>
      <c r="J496" s="163"/>
      <c r="K496" s="165"/>
      <c r="L496" s="43"/>
    </row>
    <row r="497" spans="1:12" s="45" customFormat="1" ht="8.5500000000000007" customHeight="1" x14ac:dyDescent="0.2">
      <c r="A497" s="43"/>
      <c r="B497" s="463" t="s">
        <v>835</v>
      </c>
      <c r="C497" s="464"/>
      <c r="D497" s="464"/>
      <c r="E497" s="464"/>
      <c r="F497" s="464"/>
      <c r="G497" s="307">
        <v>1996</v>
      </c>
      <c r="H497" s="372">
        <v>96</v>
      </c>
      <c r="I497" s="462">
        <v>90</v>
      </c>
      <c r="J497" s="162" t="s">
        <v>125</v>
      </c>
      <c r="K497" s="164">
        <v>1</v>
      </c>
      <c r="L497" s="43"/>
    </row>
    <row r="498" spans="1:12" s="45" customFormat="1" ht="8.5500000000000007" customHeight="1" x14ac:dyDescent="0.2">
      <c r="A498" s="43"/>
      <c r="B498" s="463"/>
      <c r="C498" s="464"/>
      <c r="D498" s="464"/>
      <c r="E498" s="464"/>
      <c r="F498" s="464"/>
      <c r="G498" s="307"/>
      <c r="H498" s="372"/>
      <c r="I498" s="462"/>
      <c r="J498" s="163"/>
      <c r="K498" s="165"/>
      <c r="L498" s="43"/>
    </row>
    <row r="499" spans="1:12" s="45" customFormat="1" ht="8.5500000000000007" customHeight="1" x14ac:dyDescent="0.2">
      <c r="A499" s="43"/>
      <c r="B499" s="463" t="s">
        <v>835</v>
      </c>
      <c r="C499" s="464"/>
      <c r="D499" s="464"/>
      <c r="E499" s="464"/>
      <c r="F499" s="464"/>
      <c r="G499" s="307">
        <v>1998</v>
      </c>
      <c r="H499" s="372">
        <v>91</v>
      </c>
      <c r="I499" s="160"/>
      <c r="J499" s="162" t="s">
        <v>863</v>
      </c>
      <c r="K499" s="164">
        <v>1</v>
      </c>
      <c r="L499" s="43"/>
    </row>
    <row r="500" spans="1:12" s="45" customFormat="1" ht="8.5500000000000007" customHeight="1" x14ac:dyDescent="0.2">
      <c r="A500" s="43"/>
      <c r="B500" s="463"/>
      <c r="C500" s="464"/>
      <c r="D500" s="464"/>
      <c r="E500" s="464"/>
      <c r="F500" s="464"/>
      <c r="G500" s="307"/>
      <c r="H500" s="372"/>
      <c r="I500" s="161"/>
      <c r="J500" s="163"/>
      <c r="K500" s="165"/>
      <c r="L500" s="43"/>
    </row>
    <row r="501" spans="1:12" s="45" customFormat="1" ht="8.5500000000000007" customHeight="1" x14ac:dyDescent="0.2">
      <c r="A501" s="43"/>
      <c r="B501" s="463" t="s">
        <v>1075</v>
      </c>
      <c r="C501" s="464"/>
      <c r="D501" s="464"/>
      <c r="E501" s="464"/>
      <c r="F501" s="464"/>
      <c r="G501" s="307">
        <v>2001</v>
      </c>
      <c r="H501" s="304">
        <v>99</v>
      </c>
      <c r="I501" s="462">
        <v>94</v>
      </c>
      <c r="J501" s="162" t="s">
        <v>250</v>
      </c>
      <c r="K501" s="164">
        <v>5</v>
      </c>
      <c r="L501" s="43"/>
    </row>
    <row r="502" spans="1:12" s="45" customFormat="1" ht="8.5500000000000007" customHeight="1" x14ac:dyDescent="0.2">
      <c r="A502" s="43"/>
      <c r="B502" s="463"/>
      <c r="C502" s="464"/>
      <c r="D502" s="464"/>
      <c r="E502" s="464"/>
      <c r="F502" s="464"/>
      <c r="G502" s="307"/>
      <c r="H502" s="303"/>
      <c r="I502" s="462"/>
      <c r="J502" s="163"/>
      <c r="K502" s="165"/>
      <c r="L502" s="43"/>
    </row>
    <row r="503" spans="1:12" s="45" customFormat="1" ht="8.5500000000000007" customHeight="1" x14ac:dyDescent="0.2">
      <c r="A503" s="43"/>
      <c r="B503" s="463" t="s">
        <v>1076</v>
      </c>
      <c r="C503" s="464"/>
      <c r="D503" s="464"/>
      <c r="E503" s="464"/>
      <c r="F503" s="464"/>
      <c r="G503" s="307">
        <v>2002</v>
      </c>
      <c r="H503" s="372" t="s">
        <v>660</v>
      </c>
      <c r="I503" s="462">
        <v>96</v>
      </c>
      <c r="J503" s="162" t="s">
        <v>707</v>
      </c>
      <c r="K503" s="164">
        <v>4</v>
      </c>
      <c r="L503" s="43"/>
    </row>
    <row r="504" spans="1:12" s="45" customFormat="1" ht="8.5500000000000007" customHeight="1" x14ac:dyDescent="0.2">
      <c r="A504" s="43"/>
      <c r="B504" s="463"/>
      <c r="C504" s="464"/>
      <c r="D504" s="464"/>
      <c r="E504" s="464"/>
      <c r="F504" s="464"/>
      <c r="G504" s="307"/>
      <c r="H504" s="372"/>
      <c r="I504" s="462"/>
      <c r="J504" s="163"/>
      <c r="K504" s="165"/>
      <c r="L504" s="43"/>
    </row>
    <row r="505" spans="1:12" s="45" customFormat="1" ht="8.5500000000000007" customHeight="1" x14ac:dyDescent="0.2">
      <c r="A505" s="43"/>
      <c r="B505" s="463" t="s">
        <v>1077</v>
      </c>
      <c r="C505" s="464"/>
      <c r="D505" s="464"/>
      <c r="E505" s="464"/>
      <c r="F505" s="464"/>
      <c r="G505" s="307">
        <v>2005</v>
      </c>
      <c r="H505" s="372">
        <v>96</v>
      </c>
      <c r="I505" s="462"/>
      <c r="J505" s="162" t="s">
        <v>356</v>
      </c>
      <c r="K505" s="164">
        <v>1</v>
      </c>
      <c r="L505" s="43"/>
    </row>
    <row r="506" spans="1:12" s="45" customFormat="1" ht="8.5500000000000007" customHeight="1" x14ac:dyDescent="0.2">
      <c r="A506" s="43"/>
      <c r="B506" s="463"/>
      <c r="C506" s="464"/>
      <c r="D506" s="464"/>
      <c r="E506" s="464"/>
      <c r="F506" s="464"/>
      <c r="G506" s="307"/>
      <c r="H506" s="372"/>
      <c r="I506" s="462"/>
      <c r="J506" s="163"/>
      <c r="K506" s="165"/>
      <c r="L506" s="43"/>
    </row>
    <row r="507" spans="1:12" s="45" customFormat="1" ht="8.5500000000000007" customHeight="1" x14ac:dyDescent="0.2">
      <c r="A507" s="43"/>
      <c r="B507" s="463" t="s">
        <v>1078</v>
      </c>
      <c r="C507" s="464"/>
      <c r="D507" s="464"/>
      <c r="E507" s="464"/>
      <c r="F507" s="464"/>
      <c r="G507" s="307">
        <v>2006</v>
      </c>
      <c r="H507" s="372">
        <v>98</v>
      </c>
      <c r="I507" s="462">
        <v>99</v>
      </c>
      <c r="J507" s="162" t="s">
        <v>233</v>
      </c>
      <c r="K507" s="164">
        <v>2</v>
      </c>
      <c r="L507" s="43"/>
    </row>
    <row r="508" spans="1:12" s="45" customFormat="1" ht="8.5500000000000007" customHeight="1" x14ac:dyDescent="0.2">
      <c r="A508" s="43"/>
      <c r="B508" s="463"/>
      <c r="C508" s="464"/>
      <c r="D508" s="464"/>
      <c r="E508" s="464"/>
      <c r="F508" s="464"/>
      <c r="G508" s="307"/>
      <c r="H508" s="372"/>
      <c r="I508" s="462"/>
      <c r="J508" s="163"/>
      <c r="K508" s="165"/>
      <c r="L508" s="43"/>
    </row>
    <row r="509" spans="1:12" s="45" customFormat="1" ht="8.5500000000000007" customHeight="1" x14ac:dyDescent="0.2">
      <c r="A509" s="43"/>
      <c r="B509" s="463" t="s">
        <v>1079</v>
      </c>
      <c r="C509" s="464"/>
      <c r="D509" s="464"/>
      <c r="E509" s="464"/>
      <c r="F509" s="464"/>
      <c r="G509" s="307">
        <v>2001</v>
      </c>
      <c r="H509" s="372" t="s">
        <v>620</v>
      </c>
      <c r="I509" s="462">
        <v>95</v>
      </c>
      <c r="J509" s="162" t="s">
        <v>248</v>
      </c>
      <c r="K509" s="164">
        <v>3</v>
      </c>
      <c r="L509" s="43"/>
    </row>
    <row r="510" spans="1:12" s="45" customFormat="1" ht="8.5500000000000007" customHeight="1" x14ac:dyDescent="0.2">
      <c r="A510" s="43"/>
      <c r="B510" s="463"/>
      <c r="C510" s="464"/>
      <c r="D510" s="464"/>
      <c r="E510" s="464"/>
      <c r="F510" s="464"/>
      <c r="G510" s="307"/>
      <c r="H510" s="372"/>
      <c r="I510" s="462"/>
      <c r="J510" s="163"/>
      <c r="K510" s="165"/>
      <c r="L510" s="43"/>
    </row>
    <row r="511" spans="1:12" s="45" customFormat="1" ht="8.5500000000000007" customHeight="1" x14ac:dyDescent="0.2">
      <c r="A511" s="43"/>
      <c r="B511" s="463" t="s">
        <v>1079</v>
      </c>
      <c r="C511" s="464"/>
      <c r="D511" s="464"/>
      <c r="E511" s="464"/>
      <c r="F511" s="464"/>
      <c r="G511" s="307">
        <v>2006</v>
      </c>
      <c r="H511" s="372">
        <v>99</v>
      </c>
      <c r="I511" s="462">
        <v>93</v>
      </c>
      <c r="J511" s="162" t="s">
        <v>233</v>
      </c>
      <c r="K511" s="164">
        <v>3</v>
      </c>
      <c r="L511" s="43"/>
    </row>
    <row r="512" spans="1:12" s="45" customFormat="1" ht="8.5500000000000007" customHeight="1" x14ac:dyDescent="0.2">
      <c r="A512" s="43"/>
      <c r="B512" s="463"/>
      <c r="C512" s="464"/>
      <c r="D512" s="464"/>
      <c r="E512" s="464"/>
      <c r="F512" s="464"/>
      <c r="G512" s="307"/>
      <c r="H512" s="372"/>
      <c r="I512" s="462"/>
      <c r="J512" s="163"/>
      <c r="K512" s="165"/>
      <c r="L512" s="43"/>
    </row>
    <row r="513" spans="1:12" s="45" customFormat="1" ht="8.5500000000000007" customHeight="1" x14ac:dyDescent="0.2">
      <c r="A513" s="43"/>
      <c r="B513" s="463" t="s">
        <v>12</v>
      </c>
      <c r="C513" s="464"/>
      <c r="D513" s="464"/>
      <c r="E513" s="464"/>
      <c r="F513" s="464"/>
      <c r="G513" s="307">
        <v>1995</v>
      </c>
      <c r="H513" s="372">
        <v>94</v>
      </c>
      <c r="I513" s="462">
        <v>96</v>
      </c>
      <c r="J513" s="162" t="s">
        <v>358</v>
      </c>
      <c r="K513" s="164">
        <v>1</v>
      </c>
      <c r="L513" s="43"/>
    </row>
    <row r="514" spans="1:12" s="45" customFormat="1" ht="8.5500000000000007" customHeight="1" x14ac:dyDescent="0.2">
      <c r="A514" s="43"/>
      <c r="B514" s="463"/>
      <c r="C514" s="464"/>
      <c r="D514" s="464"/>
      <c r="E514" s="464"/>
      <c r="F514" s="464"/>
      <c r="G514" s="307"/>
      <c r="H514" s="372"/>
      <c r="I514" s="462"/>
      <c r="J514" s="163"/>
      <c r="K514" s="165"/>
      <c r="L514" s="43"/>
    </row>
    <row r="515" spans="1:12" s="45" customFormat="1" ht="8.5500000000000007" customHeight="1" x14ac:dyDescent="0.2">
      <c r="A515" s="43"/>
      <c r="B515" s="463" t="s">
        <v>1647</v>
      </c>
      <c r="C515" s="464"/>
      <c r="D515" s="464"/>
      <c r="E515" s="464"/>
      <c r="F515" s="464"/>
      <c r="G515" s="307">
        <v>1960</v>
      </c>
      <c r="H515" s="372">
        <v>89</v>
      </c>
      <c r="I515" s="462"/>
      <c r="J515" s="162"/>
      <c r="K515" s="164">
        <v>1</v>
      </c>
      <c r="L515" s="43"/>
    </row>
    <row r="516" spans="1:12" s="45" customFormat="1" ht="8.5500000000000007" customHeight="1" x14ac:dyDescent="0.2">
      <c r="A516" s="43"/>
      <c r="B516" s="463"/>
      <c r="C516" s="464"/>
      <c r="D516" s="464"/>
      <c r="E516" s="464"/>
      <c r="F516" s="464"/>
      <c r="G516" s="307"/>
      <c r="H516" s="372"/>
      <c r="I516" s="462"/>
      <c r="J516" s="163"/>
      <c r="K516" s="165"/>
      <c r="L516" s="43"/>
    </row>
    <row r="517" spans="1:12" s="45" customFormat="1" ht="8.5500000000000007" customHeight="1" x14ac:dyDescent="0.2">
      <c r="A517" s="43"/>
      <c r="B517" s="468" t="s">
        <v>212</v>
      </c>
      <c r="C517" s="464"/>
      <c r="D517" s="464"/>
      <c r="E517" s="464"/>
      <c r="F517" s="464"/>
      <c r="G517" s="307">
        <v>1997</v>
      </c>
      <c r="H517" s="372">
        <v>90</v>
      </c>
      <c r="I517" s="462">
        <v>95</v>
      </c>
      <c r="J517" s="162" t="s">
        <v>133</v>
      </c>
      <c r="K517" s="164">
        <v>1</v>
      </c>
      <c r="L517" s="43"/>
    </row>
    <row r="518" spans="1:12" s="45" customFormat="1" ht="8.5500000000000007" customHeight="1" x14ac:dyDescent="0.2">
      <c r="A518" s="43"/>
      <c r="B518" s="463"/>
      <c r="C518" s="464"/>
      <c r="D518" s="464"/>
      <c r="E518" s="464"/>
      <c r="F518" s="464"/>
      <c r="G518" s="307"/>
      <c r="H518" s="372"/>
      <c r="I518" s="462"/>
      <c r="J518" s="163"/>
      <c r="K518" s="165"/>
      <c r="L518" s="43"/>
    </row>
    <row r="519" spans="1:12" s="45" customFormat="1" ht="8.5500000000000007" customHeight="1" x14ac:dyDescent="0.2">
      <c r="A519" s="43"/>
      <c r="B519" s="468" t="s">
        <v>828</v>
      </c>
      <c r="C519" s="464"/>
      <c r="D519" s="464"/>
      <c r="E519" s="464"/>
      <c r="F519" s="464"/>
      <c r="G519" s="307">
        <v>2001</v>
      </c>
      <c r="H519" s="372">
        <v>99</v>
      </c>
      <c r="I519" s="462">
        <v>92</v>
      </c>
      <c r="J519" s="162" t="s">
        <v>216</v>
      </c>
      <c r="K519" s="164">
        <v>1</v>
      </c>
      <c r="L519" s="43"/>
    </row>
    <row r="520" spans="1:12" s="45" customFormat="1" ht="8.5500000000000007" customHeight="1" x14ac:dyDescent="0.2">
      <c r="A520" s="43"/>
      <c r="B520" s="463"/>
      <c r="C520" s="464"/>
      <c r="D520" s="464"/>
      <c r="E520" s="464"/>
      <c r="F520" s="464"/>
      <c r="G520" s="307"/>
      <c r="H520" s="372"/>
      <c r="I520" s="462"/>
      <c r="J520" s="163"/>
      <c r="K520" s="165"/>
      <c r="L520" s="43"/>
    </row>
    <row r="521" spans="1:12" s="45" customFormat="1" ht="8.5500000000000007" customHeight="1" x14ac:dyDescent="0.2">
      <c r="A521" s="43"/>
      <c r="B521" s="468" t="s">
        <v>828</v>
      </c>
      <c r="C521" s="464"/>
      <c r="D521" s="464"/>
      <c r="E521" s="464"/>
      <c r="F521" s="464"/>
      <c r="G521" s="307">
        <v>2005</v>
      </c>
      <c r="H521" s="372">
        <v>98</v>
      </c>
      <c r="I521" s="160"/>
      <c r="J521" s="162" t="s">
        <v>55</v>
      </c>
      <c r="K521" s="164">
        <v>2</v>
      </c>
      <c r="L521" s="43"/>
    </row>
    <row r="522" spans="1:12" s="45" customFormat="1" ht="8.5500000000000007" customHeight="1" x14ac:dyDescent="0.2">
      <c r="A522" s="43"/>
      <c r="B522" s="463"/>
      <c r="C522" s="464"/>
      <c r="D522" s="464"/>
      <c r="E522" s="464"/>
      <c r="F522" s="464"/>
      <c r="G522" s="307"/>
      <c r="H522" s="372"/>
      <c r="I522" s="161"/>
      <c r="J522" s="163"/>
      <c r="K522" s="165"/>
      <c r="L522" s="43"/>
    </row>
    <row r="523" spans="1:12" s="45" customFormat="1" ht="8.5500000000000007" customHeight="1" x14ac:dyDescent="0.2">
      <c r="A523" s="43"/>
      <c r="B523" s="468" t="s">
        <v>828</v>
      </c>
      <c r="C523" s="464"/>
      <c r="D523" s="464"/>
      <c r="E523" s="464"/>
      <c r="F523" s="464"/>
      <c r="G523" s="307">
        <v>2006</v>
      </c>
      <c r="H523" s="372">
        <v>98</v>
      </c>
      <c r="I523" s="462">
        <v>91</v>
      </c>
      <c r="J523" s="162" t="s">
        <v>864</v>
      </c>
      <c r="K523" s="164">
        <v>1</v>
      </c>
      <c r="L523" s="43"/>
    </row>
    <row r="524" spans="1:12" s="45" customFormat="1" ht="8.5500000000000007" customHeight="1" x14ac:dyDescent="0.2">
      <c r="A524" s="43"/>
      <c r="B524" s="463"/>
      <c r="C524" s="464"/>
      <c r="D524" s="464"/>
      <c r="E524" s="464"/>
      <c r="F524" s="464"/>
      <c r="G524" s="307"/>
      <c r="H524" s="372"/>
      <c r="I524" s="462"/>
      <c r="J524" s="163"/>
      <c r="K524" s="165"/>
      <c r="L524" s="43"/>
    </row>
    <row r="525" spans="1:12" s="45" customFormat="1" ht="8.5500000000000007" customHeight="1" x14ac:dyDescent="0.2">
      <c r="A525" s="43"/>
      <c r="B525" s="468" t="s">
        <v>828</v>
      </c>
      <c r="C525" s="464"/>
      <c r="D525" s="464"/>
      <c r="E525" s="464"/>
      <c r="F525" s="464"/>
      <c r="G525" s="307">
        <v>2009</v>
      </c>
      <c r="H525" s="372">
        <v>96</v>
      </c>
      <c r="I525" s="462"/>
      <c r="J525" s="162" t="s">
        <v>1619</v>
      </c>
      <c r="K525" s="164">
        <v>1</v>
      </c>
      <c r="L525" s="43"/>
    </row>
    <row r="526" spans="1:12" s="45" customFormat="1" ht="8.5500000000000007" customHeight="1" x14ac:dyDescent="0.2">
      <c r="A526" s="43"/>
      <c r="B526" s="463"/>
      <c r="C526" s="464"/>
      <c r="D526" s="464"/>
      <c r="E526" s="464"/>
      <c r="F526" s="464"/>
      <c r="G526" s="307"/>
      <c r="H526" s="372"/>
      <c r="I526" s="462"/>
      <c r="J526" s="163"/>
      <c r="K526" s="165"/>
      <c r="L526" s="43"/>
    </row>
    <row r="527" spans="1:12" s="45" customFormat="1" ht="8.5500000000000007" customHeight="1" x14ac:dyDescent="0.2">
      <c r="A527" s="43"/>
      <c r="B527" s="468" t="s">
        <v>836</v>
      </c>
      <c r="C527" s="464"/>
      <c r="D527" s="464"/>
      <c r="E527" s="464"/>
      <c r="F527" s="464"/>
      <c r="G527" s="307">
        <v>2001</v>
      </c>
      <c r="H527" s="372">
        <v>90</v>
      </c>
      <c r="I527" s="462" t="s">
        <v>58</v>
      </c>
      <c r="J527" s="162" t="s">
        <v>137</v>
      </c>
      <c r="K527" s="164">
        <v>1</v>
      </c>
      <c r="L527" s="43"/>
    </row>
    <row r="528" spans="1:12" s="45" customFormat="1" ht="8.5500000000000007" customHeight="1" x14ac:dyDescent="0.2">
      <c r="A528" s="43"/>
      <c r="B528" s="463"/>
      <c r="C528" s="464"/>
      <c r="D528" s="464"/>
      <c r="E528" s="464"/>
      <c r="F528" s="464"/>
      <c r="G528" s="307"/>
      <c r="H528" s="372"/>
      <c r="I528" s="462"/>
      <c r="J528" s="163"/>
      <c r="K528" s="165"/>
      <c r="L528" s="43"/>
    </row>
    <row r="529" spans="1:12" s="45" customFormat="1" ht="8.5500000000000007" customHeight="1" x14ac:dyDescent="0.2">
      <c r="A529" s="43"/>
      <c r="B529" s="463" t="s">
        <v>1702</v>
      </c>
      <c r="C529" s="464"/>
      <c r="D529" s="464"/>
      <c r="E529" s="464"/>
      <c r="F529" s="464"/>
      <c r="G529" s="307">
        <v>2002</v>
      </c>
      <c r="H529" s="372">
        <v>100</v>
      </c>
      <c r="I529" s="462">
        <v>94</v>
      </c>
      <c r="J529" s="162" t="s">
        <v>249</v>
      </c>
      <c r="K529" s="164">
        <v>3</v>
      </c>
      <c r="L529" s="43"/>
    </row>
    <row r="530" spans="1:12" s="45" customFormat="1" ht="8.5500000000000007" customHeight="1" x14ac:dyDescent="0.2">
      <c r="A530" s="43"/>
      <c r="B530" s="463"/>
      <c r="C530" s="464"/>
      <c r="D530" s="464"/>
      <c r="E530" s="464"/>
      <c r="F530" s="464"/>
      <c r="G530" s="307"/>
      <c r="H530" s="372"/>
      <c r="I530" s="462"/>
      <c r="J530" s="163"/>
      <c r="K530" s="165"/>
      <c r="L530" s="43"/>
    </row>
    <row r="531" spans="1:12" s="45" customFormat="1" ht="8.5500000000000007" customHeight="1" x14ac:dyDescent="0.2">
      <c r="A531" s="43"/>
      <c r="B531" s="463" t="s">
        <v>1703</v>
      </c>
      <c r="C531" s="464"/>
      <c r="D531" s="464"/>
      <c r="E531" s="464"/>
      <c r="F531" s="464"/>
      <c r="G531" s="307">
        <v>2003</v>
      </c>
      <c r="H531" s="372">
        <v>98</v>
      </c>
      <c r="I531" s="462"/>
      <c r="J531" s="162" t="s">
        <v>261</v>
      </c>
      <c r="K531" s="164">
        <v>1</v>
      </c>
      <c r="L531" s="43"/>
    </row>
    <row r="532" spans="1:12" s="45" customFormat="1" ht="8.5500000000000007" customHeight="1" x14ac:dyDescent="0.2">
      <c r="A532" s="43"/>
      <c r="B532" s="463"/>
      <c r="C532" s="464"/>
      <c r="D532" s="464"/>
      <c r="E532" s="464"/>
      <c r="F532" s="464"/>
      <c r="G532" s="307"/>
      <c r="H532" s="372"/>
      <c r="I532" s="462"/>
      <c r="J532" s="163"/>
      <c r="K532" s="165"/>
      <c r="L532" s="43"/>
    </row>
    <row r="533" spans="1:12" s="45" customFormat="1" ht="8.5500000000000007" customHeight="1" x14ac:dyDescent="0.2">
      <c r="A533" s="43"/>
      <c r="B533" s="463" t="s">
        <v>1702</v>
      </c>
      <c r="C533" s="464"/>
      <c r="D533" s="464"/>
      <c r="E533" s="464"/>
      <c r="F533" s="464"/>
      <c r="G533" s="307">
        <v>2005</v>
      </c>
      <c r="H533" s="372">
        <v>100</v>
      </c>
      <c r="I533" s="462"/>
      <c r="J533" s="162" t="s">
        <v>248</v>
      </c>
      <c r="K533" s="164">
        <v>3</v>
      </c>
      <c r="L533" s="43"/>
    </row>
    <row r="534" spans="1:12" s="45" customFormat="1" ht="8.5500000000000007" customHeight="1" x14ac:dyDescent="0.2">
      <c r="A534" s="43"/>
      <c r="B534" s="463"/>
      <c r="C534" s="464"/>
      <c r="D534" s="464"/>
      <c r="E534" s="464"/>
      <c r="F534" s="464"/>
      <c r="G534" s="307"/>
      <c r="H534" s="372"/>
      <c r="I534" s="462"/>
      <c r="J534" s="163"/>
      <c r="K534" s="165"/>
      <c r="L534" s="43"/>
    </row>
    <row r="535" spans="1:12" s="45" customFormat="1" ht="8.5500000000000007" customHeight="1" x14ac:dyDescent="0.2">
      <c r="A535" s="43"/>
      <c r="B535" s="463" t="s">
        <v>1702</v>
      </c>
      <c r="C535" s="464"/>
      <c r="D535" s="464"/>
      <c r="E535" s="464"/>
      <c r="F535" s="464"/>
      <c r="G535" s="307">
        <v>2006</v>
      </c>
      <c r="H535" s="372">
        <v>98</v>
      </c>
      <c r="I535" s="462"/>
      <c r="J535" s="162" t="s">
        <v>261</v>
      </c>
      <c r="K535" s="164">
        <v>3</v>
      </c>
      <c r="L535" s="43"/>
    </row>
    <row r="536" spans="1:12" s="45" customFormat="1" ht="8.5500000000000007" customHeight="1" x14ac:dyDescent="0.2">
      <c r="A536" s="43"/>
      <c r="B536" s="463"/>
      <c r="C536" s="464"/>
      <c r="D536" s="464"/>
      <c r="E536" s="464"/>
      <c r="F536" s="464"/>
      <c r="G536" s="307"/>
      <c r="H536" s="372"/>
      <c r="I536" s="462"/>
      <c r="J536" s="163"/>
      <c r="K536" s="165"/>
      <c r="L536" s="43"/>
    </row>
    <row r="537" spans="1:12" s="45" customFormat="1" ht="8.5500000000000007" customHeight="1" x14ac:dyDescent="0.2">
      <c r="A537" s="43"/>
      <c r="B537" s="463" t="s">
        <v>1702</v>
      </c>
      <c r="C537" s="464"/>
      <c r="D537" s="464"/>
      <c r="E537" s="464"/>
      <c r="F537" s="464"/>
      <c r="G537" s="307">
        <v>2008</v>
      </c>
      <c r="H537" s="372">
        <v>94</v>
      </c>
      <c r="I537" s="462"/>
      <c r="J537" s="162" t="s">
        <v>1882</v>
      </c>
      <c r="K537" s="164">
        <v>2</v>
      </c>
      <c r="L537" s="43"/>
    </row>
    <row r="538" spans="1:12" s="45" customFormat="1" ht="8.5500000000000007" customHeight="1" x14ac:dyDescent="0.2">
      <c r="A538" s="43"/>
      <c r="B538" s="463"/>
      <c r="C538" s="464"/>
      <c r="D538" s="464"/>
      <c r="E538" s="464"/>
      <c r="F538" s="464"/>
      <c r="G538" s="307"/>
      <c r="H538" s="372"/>
      <c r="I538" s="462"/>
      <c r="J538" s="163"/>
      <c r="K538" s="165"/>
      <c r="L538" s="43"/>
    </row>
    <row r="539" spans="1:12" s="45" customFormat="1" ht="8.5500000000000007" customHeight="1" x14ac:dyDescent="0.2">
      <c r="A539" s="43"/>
      <c r="B539" s="463" t="s">
        <v>1704</v>
      </c>
      <c r="C539" s="464"/>
      <c r="D539" s="464"/>
      <c r="E539" s="464"/>
      <c r="F539" s="464"/>
      <c r="G539" s="307">
        <v>2010</v>
      </c>
      <c r="H539" s="372">
        <v>98</v>
      </c>
      <c r="I539" s="462"/>
      <c r="J539" s="162"/>
      <c r="K539" s="164">
        <v>1</v>
      </c>
      <c r="L539" s="43"/>
    </row>
    <row r="540" spans="1:12" s="45" customFormat="1" ht="8.5500000000000007" customHeight="1" x14ac:dyDescent="0.2">
      <c r="A540" s="43"/>
      <c r="B540" s="463"/>
      <c r="C540" s="464"/>
      <c r="D540" s="464"/>
      <c r="E540" s="464"/>
      <c r="F540" s="464"/>
      <c r="G540" s="307"/>
      <c r="H540" s="372"/>
      <c r="I540" s="462"/>
      <c r="J540" s="163"/>
      <c r="K540" s="165"/>
      <c r="L540" s="43"/>
    </row>
    <row r="541" spans="1:12" s="45" customFormat="1" ht="8.5500000000000007" customHeight="1" x14ac:dyDescent="0.2">
      <c r="A541" s="43"/>
      <c r="B541" s="463" t="s">
        <v>1701</v>
      </c>
      <c r="C541" s="464"/>
      <c r="D541" s="464"/>
      <c r="E541" s="464"/>
      <c r="F541" s="464"/>
      <c r="G541" s="307">
        <v>2016</v>
      </c>
      <c r="H541" s="372">
        <v>100</v>
      </c>
      <c r="I541" s="462"/>
      <c r="J541" s="162"/>
      <c r="K541" s="164">
        <v>1</v>
      </c>
      <c r="L541" s="43"/>
    </row>
    <row r="542" spans="1:12" s="45" customFormat="1" ht="8.5500000000000007" customHeight="1" x14ac:dyDescent="0.2">
      <c r="A542" s="43"/>
      <c r="B542" s="463"/>
      <c r="C542" s="464"/>
      <c r="D542" s="464"/>
      <c r="E542" s="464"/>
      <c r="F542" s="464"/>
      <c r="G542" s="307"/>
      <c r="H542" s="372"/>
      <c r="I542" s="462"/>
      <c r="J542" s="163"/>
      <c r="K542" s="165"/>
      <c r="L542" s="43"/>
    </row>
    <row r="543" spans="1:12" s="45" customFormat="1" ht="8.5500000000000007" customHeight="1" x14ac:dyDescent="0.2">
      <c r="A543" s="43"/>
      <c r="B543" s="201" t="s">
        <v>1690</v>
      </c>
      <c r="C543" s="201"/>
      <c r="D543" s="201"/>
      <c r="E543" s="201"/>
      <c r="F543" s="157"/>
      <c r="G543" s="251">
        <v>2005</v>
      </c>
      <c r="H543" s="304">
        <v>96</v>
      </c>
      <c r="I543" s="305">
        <v>93</v>
      </c>
      <c r="J543" s="332" t="s">
        <v>292</v>
      </c>
      <c r="K543" s="234">
        <v>2</v>
      </c>
      <c r="L543" s="43"/>
    </row>
    <row r="544" spans="1:12" s="45" customFormat="1" ht="8.5500000000000007" customHeight="1" x14ac:dyDescent="0.2">
      <c r="A544" s="43"/>
      <c r="B544" s="158"/>
      <c r="C544" s="158"/>
      <c r="D544" s="158"/>
      <c r="E544" s="158"/>
      <c r="F544" s="159"/>
      <c r="G544" s="252"/>
      <c r="H544" s="303"/>
      <c r="I544" s="306"/>
      <c r="J544" s="349"/>
      <c r="K544" s="235"/>
      <c r="L544" s="43"/>
    </row>
    <row r="545" spans="1:12" s="45" customFormat="1" ht="8.5500000000000007" customHeight="1" x14ac:dyDescent="0.2">
      <c r="A545" s="43"/>
      <c r="B545" s="463" t="s">
        <v>1691</v>
      </c>
      <c r="C545" s="464"/>
      <c r="D545" s="464"/>
      <c r="E545" s="464"/>
      <c r="F545" s="464"/>
      <c r="G545" s="307">
        <v>2005</v>
      </c>
      <c r="H545" s="372">
        <v>95</v>
      </c>
      <c r="I545" s="462">
        <v>95</v>
      </c>
      <c r="J545" s="162" t="s">
        <v>16</v>
      </c>
      <c r="K545" s="164">
        <v>1</v>
      </c>
      <c r="L545" s="43"/>
    </row>
    <row r="546" spans="1:12" s="45" customFormat="1" ht="8.5500000000000007" customHeight="1" x14ac:dyDescent="0.2">
      <c r="A546" s="43"/>
      <c r="B546" s="463"/>
      <c r="C546" s="464"/>
      <c r="D546" s="464"/>
      <c r="E546" s="464"/>
      <c r="F546" s="464"/>
      <c r="G546" s="307"/>
      <c r="H546" s="372"/>
      <c r="I546" s="462"/>
      <c r="J546" s="163"/>
      <c r="K546" s="165"/>
      <c r="L546" s="43"/>
    </row>
    <row r="547" spans="1:12" s="45" customFormat="1" ht="8.5500000000000007" customHeight="1" x14ac:dyDescent="0.2">
      <c r="A547" s="43"/>
      <c r="B547" s="463" t="s">
        <v>466</v>
      </c>
      <c r="C547" s="464"/>
      <c r="D547" s="464"/>
      <c r="E547" s="464"/>
      <c r="F547" s="464"/>
      <c r="G547" s="307">
        <v>2006</v>
      </c>
      <c r="H547" s="372">
        <v>92</v>
      </c>
      <c r="I547" s="462">
        <v>90</v>
      </c>
      <c r="J547" s="162" t="s">
        <v>235</v>
      </c>
      <c r="K547" s="164">
        <v>2</v>
      </c>
      <c r="L547" s="43"/>
    </row>
    <row r="548" spans="1:12" s="45" customFormat="1" ht="8.5500000000000007" customHeight="1" x14ac:dyDescent="0.2">
      <c r="A548" s="43"/>
      <c r="B548" s="463"/>
      <c r="C548" s="464"/>
      <c r="D548" s="464"/>
      <c r="E548" s="464"/>
      <c r="F548" s="464"/>
      <c r="G548" s="307"/>
      <c r="H548" s="372"/>
      <c r="I548" s="462"/>
      <c r="J548" s="163"/>
      <c r="K548" s="165"/>
      <c r="L548" s="43"/>
    </row>
    <row r="549" spans="1:12" s="45" customFormat="1" ht="8.5500000000000007" customHeight="1" x14ac:dyDescent="0.2">
      <c r="A549" s="43"/>
      <c r="B549" s="463" t="s">
        <v>1692</v>
      </c>
      <c r="C549" s="464"/>
      <c r="D549" s="464"/>
      <c r="E549" s="464"/>
      <c r="F549" s="464"/>
      <c r="G549" s="307">
        <v>2007</v>
      </c>
      <c r="H549" s="372">
        <v>96</v>
      </c>
      <c r="I549" s="462">
        <v>92</v>
      </c>
      <c r="J549" s="162" t="s">
        <v>361</v>
      </c>
      <c r="K549" s="164">
        <v>2</v>
      </c>
      <c r="L549" s="43"/>
    </row>
    <row r="550" spans="1:12" s="45" customFormat="1" ht="8.5500000000000007" customHeight="1" x14ac:dyDescent="0.2">
      <c r="A550" s="43"/>
      <c r="B550" s="463"/>
      <c r="C550" s="464"/>
      <c r="D550" s="464"/>
      <c r="E550" s="464"/>
      <c r="F550" s="464"/>
      <c r="G550" s="307"/>
      <c r="H550" s="372"/>
      <c r="I550" s="462"/>
      <c r="J550" s="163"/>
      <c r="K550" s="165"/>
      <c r="L550" s="43"/>
    </row>
    <row r="551" spans="1:12" s="45" customFormat="1" ht="8.5500000000000007" customHeight="1" x14ac:dyDescent="0.2">
      <c r="A551" s="43"/>
      <c r="B551" s="463" t="s">
        <v>1356</v>
      </c>
      <c r="C551" s="464"/>
      <c r="D551" s="464"/>
      <c r="E551" s="464"/>
      <c r="F551" s="464"/>
      <c r="G551" s="307">
        <v>2005</v>
      </c>
      <c r="H551" s="372" t="s">
        <v>660</v>
      </c>
      <c r="I551" s="462"/>
      <c r="J551" s="162"/>
      <c r="K551" s="164">
        <v>2</v>
      </c>
      <c r="L551" s="43"/>
    </row>
    <row r="552" spans="1:12" s="45" customFormat="1" ht="8.5500000000000007" customHeight="1" x14ac:dyDescent="0.2">
      <c r="A552" s="43"/>
      <c r="B552" s="463"/>
      <c r="C552" s="464"/>
      <c r="D552" s="464"/>
      <c r="E552" s="464"/>
      <c r="F552" s="464"/>
      <c r="G552" s="307"/>
      <c r="H552" s="372"/>
      <c r="I552" s="462"/>
      <c r="J552" s="163"/>
      <c r="K552" s="165"/>
      <c r="L552" s="43"/>
    </row>
    <row r="553" spans="1:12" s="45" customFormat="1" ht="8.5500000000000007" customHeight="1" x14ac:dyDescent="0.2">
      <c r="A553" s="43"/>
      <c r="B553" s="463" t="s">
        <v>1356</v>
      </c>
      <c r="C553" s="464"/>
      <c r="D553" s="464"/>
      <c r="E553" s="464"/>
      <c r="F553" s="464"/>
      <c r="G553" s="307">
        <v>2007</v>
      </c>
      <c r="H553" s="372">
        <v>100</v>
      </c>
      <c r="I553" s="462">
        <v>94</v>
      </c>
      <c r="J553" s="162" t="s">
        <v>52</v>
      </c>
      <c r="K553" s="164">
        <v>3</v>
      </c>
      <c r="L553" s="43"/>
    </row>
    <row r="554" spans="1:12" s="45" customFormat="1" ht="8.5500000000000007" customHeight="1" x14ac:dyDescent="0.2">
      <c r="A554" s="43"/>
      <c r="B554" s="463"/>
      <c r="C554" s="464"/>
      <c r="D554" s="464"/>
      <c r="E554" s="464"/>
      <c r="F554" s="464"/>
      <c r="G554" s="307"/>
      <c r="H554" s="372"/>
      <c r="I554" s="462"/>
      <c r="J554" s="163"/>
      <c r="K554" s="165"/>
      <c r="L554" s="43"/>
    </row>
    <row r="555" spans="1:12" s="45" customFormat="1" ht="8.5500000000000007" customHeight="1" x14ac:dyDescent="0.2">
      <c r="A555" s="43"/>
      <c r="B555" s="463" t="s">
        <v>1730</v>
      </c>
      <c r="C555" s="464"/>
      <c r="D555" s="464"/>
      <c r="E555" s="464"/>
      <c r="F555" s="464"/>
      <c r="G555" s="307">
        <v>2009</v>
      </c>
      <c r="H555" s="372">
        <v>96</v>
      </c>
      <c r="I555" s="462"/>
      <c r="J555" s="162"/>
      <c r="K555" s="164">
        <v>1</v>
      </c>
      <c r="L555" s="43"/>
    </row>
    <row r="556" spans="1:12" s="45" customFormat="1" ht="8.5500000000000007" customHeight="1" x14ac:dyDescent="0.2">
      <c r="A556" s="43"/>
      <c r="B556" s="463"/>
      <c r="C556" s="464"/>
      <c r="D556" s="464"/>
      <c r="E556" s="464"/>
      <c r="F556" s="464"/>
      <c r="G556" s="307"/>
      <c r="H556" s="372"/>
      <c r="I556" s="462"/>
      <c r="J556" s="163"/>
      <c r="K556" s="165"/>
      <c r="L556" s="43"/>
    </row>
    <row r="557" spans="1:12" s="45" customFormat="1" ht="8.5500000000000007" customHeight="1" x14ac:dyDescent="0.2">
      <c r="A557" s="43"/>
      <c r="B557" s="463" t="s">
        <v>892</v>
      </c>
      <c r="C557" s="464"/>
      <c r="D557" s="464"/>
      <c r="E557" s="464"/>
      <c r="F557" s="464"/>
      <c r="G557" s="307">
        <v>1997</v>
      </c>
      <c r="H557" s="372">
        <v>96</v>
      </c>
      <c r="I557" s="160"/>
      <c r="J557" s="162" t="s">
        <v>964</v>
      </c>
      <c r="K557" s="164">
        <v>1</v>
      </c>
      <c r="L557" s="43"/>
    </row>
    <row r="558" spans="1:12" s="45" customFormat="1" ht="8.5500000000000007" customHeight="1" x14ac:dyDescent="0.2">
      <c r="A558" s="43"/>
      <c r="B558" s="463"/>
      <c r="C558" s="464"/>
      <c r="D558" s="464"/>
      <c r="E558" s="464"/>
      <c r="F558" s="464"/>
      <c r="G558" s="307"/>
      <c r="H558" s="372"/>
      <c r="I558" s="161"/>
      <c r="J558" s="163"/>
      <c r="K558" s="165"/>
      <c r="L558" s="43"/>
    </row>
    <row r="559" spans="1:12" s="45" customFormat="1" ht="8.5500000000000007" customHeight="1" x14ac:dyDescent="0.2">
      <c r="A559" s="43"/>
      <c r="B559" s="463" t="s">
        <v>1693</v>
      </c>
      <c r="C559" s="464"/>
      <c r="D559" s="464"/>
      <c r="E559" s="464"/>
      <c r="F559" s="464"/>
      <c r="G559" s="307">
        <v>1994</v>
      </c>
      <c r="H559" s="372">
        <v>96</v>
      </c>
      <c r="I559" s="160"/>
      <c r="J559" s="162" t="s">
        <v>1014</v>
      </c>
      <c r="K559" s="164">
        <v>2</v>
      </c>
      <c r="L559" s="43"/>
    </row>
    <row r="560" spans="1:12" s="45" customFormat="1" ht="8.5500000000000007" customHeight="1" x14ac:dyDescent="0.2">
      <c r="A560" s="43"/>
      <c r="B560" s="463"/>
      <c r="C560" s="464"/>
      <c r="D560" s="464"/>
      <c r="E560" s="464"/>
      <c r="F560" s="464"/>
      <c r="G560" s="307"/>
      <c r="H560" s="372"/>
      <c r="I560" s="161"/>
      <c r="J560" s="163"/>
      <c r="K560" s="165"/>
      <c r="L560" s="43"/>
    </row>
    <row r="561" spans="1:12" s="45" customFormat="1" ht="8.5500000000000007" customHeight="1" x14ac:dyDescent="0.2">
      <c r="A561" s="43"/>
      <c r="B561" s="463" t="s">
        <v>892</v>
      </c>
      <c r="C561" s="464"/>
      <c r="D561" s="464"/>
      <c r="E561" s="464"/>
      <c r="F561" s="464"/>
      <c r="G561" s="307">
        <v>1996</v>
      </c>
      <c r="H561" s="372">
        <v>95</v>
      </c>
      <c r="I561" s="160"/>
      <c r="J561" s="162" t="s">
        <v>294</v>
      </c>
      <c r="K561" s="164">
        <v>3</v>
      </c>
      <c r="L561" s="43"/>
    </row>
    <row r="562" spans="1:12" s="45" customFormat="1" ht="8.5500000000000007" customHeight="1" x14ac:dyDescent="0.2">
      <c r="A562" s="43"/>
      <c r="B562" s="463"/>
      <c r="C562" s="464"/>
      <c r="D562" s="464"/>
      <c r="E562" s="464"/>
      <c r="F562" s="464"/>
      <c r="G562" s="307"/>
      <c r="H562" s="372"/>
      <c r="I562" s="161"/>
      <c r="J562" s="163"/>
      <c r="K562" s="165"/>
      <c r="L562" s="43"/>
    </row>
    <row r="563" spans="1:12" s="45" customFormat="1" ht="8.5500000000000007" customHeight="1" x14ac:dyDescent="0.2">
      <c r="A563" s="43"/>
      <c r="B563" s="463" t="s">
        <v>1694</v>
      </c>
      <c r="C563" s="464"/>
      <c r="D563" s="464"/>
      <c r="E563" s="464"/>
      <c r="F563" s="464"/>
      <c r="G563" s="307">
        <v>2002</v>
      </c>
      <c r="H563" s="372">
        <v>99</v>
      </c>
      <c r="I563" s="462">
        <v>95</v>
      </c>
      <c r="J563" s="162" t="s">
        <v>335</v>
      </c>
      <c r="K563" s="164">
        <v>2</v>
      </c>
      <c r="L563" s="43"/>
    </row>
    <row r="564" spans="1:12" s="45" customFormat="1" ht="8.5500000000000007" customHeight="1" x14ac:dyDescent="0.2">
      <c r="A564" s="43"/>
      <c r="B564" s="463"/>
      <c r="C564" s="464"/>
      <c r="D564" s="464"/>
      <c r="E564" s="464"/>
      <c r="F564" s="464"/>
      <c r="G564" s="307"/>
      <c r="H564" s="372"/>
      <c r="I564" s="462"/>
      <c r="J564" s="163"/>
      <c r="K564" s="165"/>
      <c r="L564" s="43"/>
    </row>
    <row r="565" spans="1:12" s="45" customFormat="1" ht="8.5500000000000007" customHeight="1" x14ac:dyDescent="0.2">
      <c r="A565" s="43"/>
      <c r="B565" s="463" t="s">
        <v>474</v>
      </c>
      <c r="C565" s="464"/>
      <c r="D565" s="464"/>
      <c r="E565" s="464"/>
      <c r="F565" s="464"/>
      <c r="G565" s="307">
        <v>2005</v>
      </c>
      <c r="H565" s="372">
        <v>99</v>
      </c>
      <c r="I565" s="462">
        <v>95</v>
      </c>
      <c r="J565" s="162" t="s">
        <v>222</v>
      </c>
      <c r="K565" s="164">
        <v>2</v>
      </c>
      <c r="L565" s="43"/>
    </row>
    <row r="566" spans="1:12" s="45" customFormat="1" ht="8.5500000000000007" customHeight="1" x14ac:dyDescent="0.2">
      <c r="A566" s="43"/>
      <c r="B566" s="463"/>
      <c r="C566" s="464"/>
      <c r="D566" s="464"/>
      <c r="E566" s="464"/>
      <c r="F566" s="464"/>
      <c r="G566" s="307"/>
      <c r="H566" s="372"/>
      <c r="I566" s="462"/>
      <c r="J566" s="163"/>
      <c r="K566" s="165"/>
      <c r="L566" s="43"/>
    </row>
    <row r="567" spans="1:12" s="45" customFormat="1" ht="8.5500000000000007" customHeight="1" x14ac:dyDescent="0.2">
      <c r="A567" s="43"/>
      <c r="B567" s="463" t="s">
        <v>474</v>
      </c>
      <c r="C567" s="464"/>
      <c r="D567" s="464"/>
      <c r="E567" s="464"/>
      <c r="F567" s="464"/>
      <c r="G567" s="307">
        <v>2007</v>
      </c>
      <c r="H567" s="372">
        <v>95</v>
      </c>
      <c r="I567" s="462">
        <v>95</v>
      </c>
      <c r="J567" s="162" t="s">
        <v>413</v>
      </c>
      <c r="K567" s="164">
        <v>1</v>
      </c>
      <c r="L567" s="43"/>
    </row>
    <row r="568" spans="1:12" s="45" customFormat="1" ht="8.5500000000000007" customHeight="1" x14ac:dyDescent="0.2">
      <c r="A568" s="43"/>
      <c r="B568" s="463"/>
      <c r="C568" s="464"/>
      <c r="D568" s="464"/>
      <c r="E568" s="464"/>
      <c r="F568" s="464"/>
      <c r="G568" s="307"/>
      <c r="H568" s="372"/>
      <c r="I568" s="462"/>
      <c r="J568" s="163"/>
      <c r="K568" s="165"/>
      <c r="L568" s="43"/>
    </row>
    <row r="569" spans="1:12" s="45" customFormat="1" ht="8.5500000000000007" customHeight="1" x14ac:dyDescent="0.2">
      <c r="A569" s="43"/>
      <c r="B569" s="183" t="s">
        <v>669</v>
      </c>
      <c r="C569" s="183"/>
      <c r="D569" s="183"/>
      <c r="E569" s="183"/>
      <c r="F569" s="184"/>
      <c r="G569" s="307">
        <v>2007</v>
      </c>
      <c r="H569" s="372">
        <v>98</v>
      </c>
      <c r="I569" s="462">
        <v>90</v>
      </c>
      <c r="J569" s="162" t="s">
        <v>315</v>
      </c>
      <c r="K569" s="164">
        <v>2</v>
      </c>
      <c r="L569" s="43"/>
    </row>
    <row r="570" spans="1:12" s="45" customFormat="1" ht="8.5500000000000007" customHeight="1" x14ac:dyDescent="0.2">
      <c r="A570" s="43"/>
      <c r="B570" s="185"/>
      <c r="C570" s="185"/>
      <c r="D570" s="185"/>
      <c r="E570" s="185"/>
      <c r="F570" s="186"/>
      <c r="G570" s="307"/>
      <c r="H570" s="372"/>
      <c r="I570" s="462"/>
      <c r="J570" s="163"/>
      <c r="K570" s="165"/>
      <c r="L570" s="43"/>
    </row>
    <row r="571" spans="1:12" s="45" customFormat="1" ht="8.5500000000000007" customHeight="1" x14ac:dyDescent="0.2">
      <c r="A571" s="43"/>
      <c r="B571" s="183" t="s">
        <v>670</v>
      </c>
      <c r="C571" s="183"/>
      <c r="D571" s="183"/>
      <c r="E571" s="183"/>
      <c r="F571" s="184"/>
      <c r="G571" s="307">
        <v>2005</v>
      </c>
      <c r="H571" s="372">
        <v>98</v>
      </c>
      <c r="I571" s="462">
        <v>91</v>
      </c>
      <c r="J571" s="162" t="s">
        <v>267</v>
      </c>
      <c r="K571" s="164">
        <v>2</v>
      </c>
      <c r="L571" s="43"/>
    </row>
    <row r="572" spans="1:12" s="45" customFormat="1" ht="8.5500000000000007" customHeight="1" x14ac:dyDescent="0.2">
      <c r="A572" s="43"/>
      <c r="B572" s="185"/>
      <c r="C572" s="185"/>
      <c r="D572" s="185"/>
      <c r="E572" s="185"/>
      <c r="F572" s="186"/>
      <c r="G572" s="307"/>
      <c r="H572" s="372"/>
      <c r="I572" s="462"/>
      <c r="J572" s="163"/>
      <c r="K572" s="165"/>
      <c r="L572" s="43"/>
    </row>
    <row r="573" spans="1:12" s="45" customFormat="1" ht="8.5500000000000007" customHeight="1" x14ac:dyDescent="0.2">
      <c r="A573" s="43"/>
      <c r="B573" s="183" t="s">
        <v>670</v>
      </c>
      <c r="C573" s="183"/>
      <c r="D573" s="183"/>
      <c r="E573" s="183"/>
      <c r="F573" s="184"/>
      <c r="G573" s="307">
        <v>2007</v>
      </c>
      <c r="H573" s="372">
        <v>98</v>
      </c>
      <c r="I573" s="462">
        <v>91</v>
      </c>
      <c r="J573" s="162" t="s">
        <v>475</v>
      </c>
      <c r="K573" s="164">
        <v>2</v>
      </c>
      <c r="L573" s="43"/>
    </row>
    <row r="574" spans="1:12" s="45" customFormat="1" ht="8.5500000000000007" customHeight="1" x14ac:dyDescent="0.2">
      <c r="A574" s="43"/>
      <c r="B574" s="185"/>
      <c r="C574" s="185"/>
      <c r="D574" s="185"/>
      <c r="E574" s="185"/>
      <c r="F574" s="186"/>
      <c r="G574" s="307"/>
      <c r="H574" s="372"/>
      <c r="I574" s="462"/>
      <c r="J574" s="163"/>
      <c r="K574" s="165"/>
      <c r="L574" s="43"/>
    </row>
    <row r="575" spans="1:12" s="45" customFormat="1" ht="8.5500000000000007" customHeight="1" x14ac:dyDescent="0.2">
      <c r="A575" s="43"/>
      <c r="B575" s="463" t="s">
        <v>894</v>
      </c>
      <c r="C575" s="464"/>
      <c r="D575" s="464"/>
      <c r="E575" s="464"/>
      <c r="F575" s="464"/>
      <c r="G575" s="307">
        <v>1990</v>
      </c>
      <c r="H575" s="372">
        <v>91</v>
      </c>
      <c r="I575" s="462"/>
      <c r="J575" s="162" t="s">
        <v>922</v>
      </c>
      <c r="K575" s="164">
        <v>2</v>
      </c>
      <c r="L575" s="43"/>
    </row>
    <row r="576" spans="1:12" s="45" customFormat="1" ht="8.5500000000000007" customHeight="1" x14ac:dyDescent="0.2">
      <c r="A576" s="43"/>
      <c r="B576" s="463"/>
      <c r="C576" s="464"/>
      <c r="D576" s="464"/>
      <c r="E576" s="464"/>
      <c r="F576" s="464"/>
      <c r="G576" s="307"/>
      <c r="H576" s="372"/>
      <c r="I576" s="462"/>
      <c r="J576" s="163"/>
      <c r="K576" s="165"/>
      <c r="L576" s="43"/>
    </row>
    <row r="577" spans="1:12" s="45" customFormat="1" ht="8.5500000000000007" customHeight="1" x14ac:dyDescent="0.2">
      <c r="A577" s="43"/>
      <c r="B577" s="463" t="s">
        <v>973</v>
      </c>
      <c r="C577" s="464"/>
      <c r="D577" s="464"/>
      <c r="E577" s="464"/>
      <c r="F577" s="464"/>
      <c r="G577" s="307">
        <v>1995</v>
      </c>
      <c r="H577" s="372">
        <v>95</v>
      </c>
      <c r="I577" s="462"/>
      <c r="J577" s="162" t="s">
        <v>1131</v>
      </c>
      <c r="K577" s="164">
        <v>1</v>
      </c>
      <c r="L577" s="43"/>
    </row>
    <row r="578" spans="1:12" s="45" customFormat="1" ht="8.5500000000000007" customHeight="1" x14ac:dyDescent="0.2">
      <c r="A578" s="43"/>
      <c r="B578" s="463"/>
      <c r="C578" s="464"/>
      <c r="D578" s="464"/>
      <c r="E578" s="464"/>
      <c r="F578" s="464"/>
      <c r="G578" s="307"/>
      <c r="H578" s="372"/>
      <c r="I578" s="462"/>
      <c r="J578" s="163"/>
      <c r="K578" s="165"/>
      <c r="L578" s="43"/>
    </row>
    <row r="579" spans="1:12" s="45" customFormat="1" ht="8.5500000000000007" customHeight="1" x14ac:dyDescent="0.2">
      <c r="A579" s="43"/>
      <c r="B579" s="463" t="s">
        <v>1695</v>
      </c>
      <c r="C579" s="464"/>
      <c r="D579" s="464"/>
      <c r="E579" s="464"/>
      <c r="F579" s="464"/>
      <c r="G579" s="307">
        <v>1997</v>
      </c>
      <c r="H579" s="372">
        <v>94</v>
      </c>
      <c r="I579" s="462"/>
      <c r="J579" s="162" t="s">
        <v>338</v>
      </c>
      <c r="K579" s="164">
        <v>1</v>
      </c>
      <c r="L579" s="43"/>
    </row>
    <row r="580" spans="1:12" s="45" customFormat="1" ht="8.5500000000000007" customHeight="1" x14ac:dyDescent="0.2">
      <c r="A580" s="43"/>
      <c r="B580" s="463"/>
      <c r="C580" s="464"/>
      <c r="D580" s="464"/>
      <c r="E580" s="464"/>
      <c r="F580" s="464"/>
      <c r="G580" s="307"/>
      <c r="H580" s="372"/>
      <c r="I580" s="462"/>
      <c r="J580" s="163"/>
      <c r="K580" s="165"/>
      <c r="L580" s="43"/>
    </row>
    <row r="581" spans="1:12" s="45" customFormat="1" ht="8.5500000000000007" customHeight="1" x14ac:dyDescent="0.2">
      <c r="A581" s="43"/>
      <c r="B581" s="463" t="s">
        <v>453</v>
      </c>
      <c r="C581" s="464"/>
      <c r="D581" s="464"/>
      <c r="E581" s="464"/>
      <c r="F581" s="464"/>
      <c r="G581" s="307">
        <v>1995</v>
      </c>
      <c r="H581" s="372">
        <v>92</v>
      </c>
      <c r="I581" s="462">
        <v>90</v>
      </c>
      <c r="J581" s="162" t="s">
        <v>725</v>
      </c>
      <c r="K581" s="164">
        <v>2</v>
      </c>
      <c r="L581" s="43"/>
    </row>
    <row r="582" spans="1:12" s="45" customFormat="1" ht="8.5500000000000007" customHeight="1" x14ac:dyDescent="0.2">
      <c r="A582" s="43"/>
      <c r="B582" s="463"/>
      <c r="C582" s="464"/>
      <c r="D582" s="464"/>
      <c r="E582" s="464"/>
      <c r="F582" s="464"/>
      <c r="G582" s="307"/>
      <c r="H582" s="372"/>
      <c r="I582" s="462"/>
      <c r="J582" s="163"/>
      <c r="K582" s="165"/>
      <c r="L582" s="43"/>
    </row>
    <row r="583" spans="1:12" s="45" customFormat="1" ht="8.5500000000000007" customHeight="1" x14ac:dyDescent="0.2">
      <c r="A583" s="43"/>
      <c r="B583" s="463" t="s">
        <v>453</v>
      </c>
      <c r="C583" s="464"/>
      <c r="D583" s="464"/>
      <c r="E583" s="464"/>
      <c r="F583" s="464"/>
      <c r="G583" s="307">
        <v>2001</v>
      </c>
      <c r="H583" s="372">
        <v>98</v>
      </c>
      <c r="I583" s="462">
        <v>94</v>
      </c>
      <c r="J583" s="162" t="s">
        <v>129</v>
      </c>
      <c r="K583" s="164">
        <v>1</v>
      </c>
      <c r="L583" s="43"/>
    </row>
    <row r="584" spans="1:12" s="45" customFormat="1" ht="8.5500000000000007" customHeight="1" x14ac:dyDescent="0.2">
      <c r="A584" s="43"/>
      <c r="B584" s="463"/>
      <c r="C584" s="464"/>
      <c r="D584" s="464"/>
      <c r="E584" s="464"/>
      <c r="F584" s="464"/>
      <c r="G584" s="307"/>
      <c r="H584" s="372"/>
      <c r="I584" s="462"/>
      <c r="J584" s="163"/>
      <c r="K584" s="165"/>
      <c r="L584" s="43"/>
    </row>
    <row r="585" spans="1:12" s="45" customFormat="1" ht="8.5500000000000007" customHeight="1" x14ac:dyDescent="0.2">
      <c r="A585" s="43"/>
      <c r="B585" s="463" t="s">
        <v>453</v>
      </c>
      <c r="C585" s="464"/>
      <c r="D585" s="464"/>
      <c r="E585" s="464"/>
      <c r="F585" s="464"/>
      <c r="G585" s="307">
        <v>2002</v>
      </c>
      <c r="H585" s="372">
        <v>100</v>
      </c>
      <c r="I585" s="462">
        <v>93</v>
      </c>
      <c r="J585" s="162" t="s">
        <v>454</v>
      </c>
      <c r="K585" s="164">
        <v>2</v>
      </c>
      <c r="L585" s="43"/>
    </row>
    <row r="586" spans="1:12" s="45" customFormat="1" ht="8.5500000000000007" customHeight="1" x14ac:dyDescent="0.2">
      <c r="A586" s="43"/>
      <c r="B586" s="463"/>
      <c r="C586" s="464"/>
      <c r="D586" s="464"/>
      <c r="E586" s="464"/>
      <c r="F586" s="464"/>
      <c r="G586" s="307"/>
      <c r="H586" s="372"/>
      <c r="I586" s="462"/>
      <c r="J586" s="163"/>
      <c r="K586" s="165"/>
      <c r="L586" s="43"/>
    </row>
    <row r="587" spans="1:12" s="45" customFormat="1" ht="8.5500000000000007" customHeight="1" x14ac:dyDescent="0.2">
      <c r="A587" s="43"/>
      <c r="B587" s="463" t="s">
        <v>658</v>
      </c>
      <c r="C587" s="464"/>
      <c r="D587" s="464"/>
      <c r="E587" s="464"/>
      <c r="F587" s="464"/>
      <c r="G587" s="307">
        <v>2003</v>
      </c>
      <c r="H587" s="372">
        <v>100</v>
      </c>
      <c r="I587" s="462">
        <v>95</v>
      </c>
      <c r="J587" s="162" t="s">
        <v>78</v>
      </c>
      <c r="K587" s="164">
        <v>1</v>
      </c>
      <c r="L587" s="43"/>
    </row>
    <row r="588" spans="1:12" s="45" customFormat="1" ht="8.5500000000000007" customHeight="1" x14ac:dyDescent="0.2">
      <c r="A588" s="43"/>
      <c r="B588" s="463"/>
      <c r="C588" s="464"/>
      <c r="D588" s="464"/>
      <c r="E588" s="464"/>
      <c r="F588" s="464"/>
      <c r="G588" s="307"/>
      <c r="H588" s="372"/>
      <c r="I588" s="462"/>
      <c r="J588" s="163"/>
      <c r="K588" s="165"/>
      <c r="L588" s="43"/>
    </row>
    <row r="589" spans="1:12" s="45" customFormat="1" ht="8.5500000000000007" customHeight="1" x14ac:dyDescent="0.2">
      <c r="A589" s="43"/>
      <c r="B589" s="463" t="s">
        <v>453</v>
      </c>
      <c r="C589" s="464"/>
      <c r="D589" s="464"/>
      <c r="E589" s="464"/>
      <c r="F589" s="464"/>
      <c r="G589" s="307">
        <v>2004</v>
      </c>
      <c r="H589" s="372">
        <v>99</v>
      </c>
      <c r="I589" s="462">
        <v>95</v>
      </c>
      <c r="J589" s="162" t="s">
        <v>455</v>
      </c>
      <c r="K589" s="164">
        <v>2</v>
      </c>
      <c r="L589" s="43"/>
    </row>
    <row r="590" spans="1:12" s="45" customFormat="1" ht="8.5500000000000007" customHeight="1" x14ac:dyDescent="0.2">
      <c r="A590" s="43"/>
      <c r="B590" s="463"/>
      <c r="C590" s="464"/>
      <c r="D590" s="464"/>
      <c r="E590" s="464"/>
      <c r="F590" s="464"/>
      <c r="G590" s="307"/>
      <c r="H590" s="372"/>
      <c r="I590" s="462"/>
      <c r="J590" s="163"/>
      <c r="K590" s="165"/>
      <c r="L590" s="43"/>
    </row>
    <row r="591" spans="1:12" s="45" customFormat="1" ht="8.5500000000000007" customHeight="1" x14ac:dyDescent="0.2">
      <c r="A591" s="43"/>
      <c r="B591" s="463" t="s">
        <v>453</v>
      </c>
      <c r="C591" s="464"/>
      <c r="D591" s="464"/>
      <c r="E591" s="464"/>
      <c r="F591" s="464"/>
      <c r="G591" s="307">
        <v>2005</v>
      </c>
      <c r="H591" s="372">
        <v>100</v>
      </c>
      <c r="I591" s="462">
        <v>94</v>
      </c>
      <c r="J591" s="162" t="s">
        <v>248</v>
      </c>
      <c r="K591" s="164">
        <v>2</v>
      </c>
      <c r="L591" s="43"/>
    </row>
    <row r="592" spans="1:12" s="45" customFormat="1" ht="8.5500000000000007" customHeight="1" x14ac:dyDescent="0.2">
      <c r="A592" s="43"/>
      <c r="B592" s="463"/>
      <c r="C592" s="464"/>
      <c r="D592" s="464"/>
      <c r="E592" s="464"/>
      <c r="F592" s="464"/>
      <c r="G592" s="307"/>
      <c r="H592" s="372"/>
      <c r="I592" s="462"/>
      <c r="J592" s="163"/>
      <c r="K592" s="165"/>
      <c r="L592" s="43"/>
    </row>
    <row r="593" spans="1:12" s="45" customFormat="1" ht="8.5500000000000007" customHeight="1" x14ac:dyDescent="0.2">
      <c r="A593" s="43"/>
      <c r="B593" s="463" t="s">
        <v>453</v>
      </c>
      <c r="C593" s="464"/>
      <c r="D593" s="464"/>
      <c r="E593" s="464"/>
      <c r="F593" s="464"/>
      <c r="G593" s="307">
        <v>2007</v>
      </c>
      <c r="H593" s="372">
        <v>100</v>
      </c>
      <c r="I593" s="462">
        <v>94</v>
      </c>
      <c r="J593" s="162" t="s">
        <v>361</v>
      </c>
      <c r="K593" s="164">
        <v>1</v>
      </c>
      <c r="L593" s="43"/>
    </row>
    <row r="594" spans="1:12" s="45" customFormat="1" ht="8.5500000000000007" customHeight="1" x14ac:dyDescent="0.2">
      <c r="A594" s="43"/>
      <c r="B594" s="463"/>
      <c r="C594" s="464"/>
      <c r="D594" s="464"/>
      <c r="E594" s="464"/>
      <c r="F594" s="464"/>
      <c r="G594" s="307"/>
      <c r="H594" s="372"/>
      <c r="I594" s="462"/>
      <c r="J594" s="163"/>
      <c r="K594" s="165"/>
      <c r="L594" s="43"/>
    </row>
    <row r="595" spans="1:12" s="45" customFormat="1" ht="8.5500000000000007" customHeight="1" x14ac:dyDescent="0.2">
      <c r="A595" s="43"/>
      <c r="B595" s="463" t="s">
        <v>658</v>
      </c>
      <c r="C595" s="464"/>
      <c r="D595" s="464"/>
      <c r="E595" s="464"/>
      <c r="F595" s="464"/>
      <c r="G595" s="307">
        <v>2007</v>
      </c>
      <c r="H595" s="372">
        <v>100</v>
      </c>
      <c r="I595" s="462">
        <v>94</v>
      </c>
      <c r="J595" s="162" t="s">
        <v>361</v>
      </c>
      <c r="K595" s="164">
        <v>1</v>
      </c>
      <c r="L595" s="43"/>
    </row>
    <row r="596" spans="1:12" s="45" customFormat="1" ht="8.5500000000000007" customHeight="1" x14ac:dyDescent="0.2">
      <c r="A596" s="43"/>
      <c r="B596" s="463"/>
      <c r="C596" s="464"/>
      <c r="D596" s="464"/>
      <c r="E596" s="464"/>
      <c r="F596" s="464"/>
      <c r="G596" s="307"/>
      <c r="H596" s="372"/>
      <c r="I596" s="462"/>
      <c r="J596" s="163"/>
      <c r="K596" s="165"/>
      <c r="L596" s="43"/>
    </row>
    <row r="597" spans="1:12" s="45" customFormat="1" ht="8.5500000000000007" customHeight="1" x14ac:dyDescent="0.2">
      <c r="A597" s="43"/>
      <c r="B597" s="463" t="s">
        <v>1648</v>
      </c>
      <c r="C597" s="464"/>
      <c r="D597" s="464"/>
      <c r="E597" s="464"/>
      <c r="F597" s="464"/>
      <c r="G597" s="307">
        <v>2000</v>
      </c>
      <c r="H597" s="162">
        <v>96</v>
      </c>
      <c r="I597" s="462"/>
      <c r="J597" s="162" t="s">
        <v>851</v>
      </c>
      <c r="K597" s="164">
        <v>1</v>
      </c>
      <c r="L597" s="43"/>
    </row>
    <row r="598" spans="1:12" s="45" customFormat="1" ht="8.5500000000000007" customHeight="1" x14ac:dyDescent="0.2">
      <c r="A598" s="43"/>
      <c r="B598" s="463"/>
      <c r="C598" s="464"/>
      <c r="D598" s="464"/>
      <c r="E598" s="464"/>
      <c r="F598" s="464"/>
      <c r="G598" s="307"/>
      <c r="H598" s="163"/>
      <c r="I598" s="462"/>
      <c r="J598" s="163"/>
      <c r="K598" s="165"/>
      <c r="L598" s="43"/>
    </row>
    <row r="599" spans="1:12" s="45" customFormat="1" ht="8.5500000000000007" customHeight="1" x14ac:dyDescent="0.2">
      <c r="A599" s="43"/>
      <c r="B599" s="463" t="s">
        <v>1149</v>
      </c>
      <c r="C599" s="464"/>
      <c r="D599" s="464"/>
      <c r="E599" s="464"/>
      <c r="F599" s="464"/>
      <c r="G599" s="307">
        <v>2000</v>
      </c>
      <c r="H599" s="162">
        <v>99</v>
      </c>
      <c r="I599" s="462"/>
      <c r="J599" s="160"/>
      <c r="K599" s="164">
        <v>1</v>
      </c>
      <c r="L599" s="43"/>
    </row>
    <row r="600" spans="1:12" s="45" customFormat="1" ht="8.5500000000000007" customHeight="1" x14ac:dyDescent="0.2">
      <c r="A600" s="43"/>
      <c r="B600" s="463"/>
      <c r="C600" s="464"/>
      <c r="D600" s="464"/>
      <c r="E600" s="464"/>
      <c r="F600" s="464"/>
      <c r="G600" s="307"/>
      <c r="H600" s="163"/>
      <c r="I600" s="462"/>
      <c r="J600" s="161"/>
      <c r="K600" s="165"/>
      <c r="L600" s="43"/>
    </row>
    <row r="601" spans="1:12" s="45" customFormat="1" ht="8.5500000000000007" customHeight="1" x14ac:dyDescent="0.2">
      <c r="A601" s="43"/>
      <c r="B601" s="463" t="s">
        <v>1149</v>
      </c>
      <c r="C601" s="464"/>
      <c r="D601" s="464"/>
      <c r="E601" s="464"/>
      <c r="F601" s="464"/>
      <c r="G601" s="307">
        <v>2001</v>
      </c>
      <c r="H601" s="162"/>
      <c r="I601" s="462"/>
      <c r="J601" s="160"/>
      <c r="K601" s="164">
        <v>1</v>
      </c>
      <c r="L601" s="43"/>
    </row>
    <row r="602" spans="1:12" s="45" customFormat="1" ht="8.5500000000000007" customHeight="1" x14ac:dyDescent="0.2">
      <c r="A602" s="43"/>
      <c r="B602" s="463"/>
      <c r="C602" s="464"/>
      <c r="D602" s="464"/>
      <c r="E602" s="464"/>
      <c r="F602" s="464"/>
      <c r="G602" s="307"/>
      <c r="H602" s="163"/>
      <c r="I602" s="462"/>
      <c r="J602" s="161"/>
      <c r="K602" s="165"/>
      <c r="L602" s="43"/>
    </row>
    <row r="603" spans="1:12" s="45" customFormat="1" ht="8.5500000000000007" customHeight="1" x14ac:dyDescent="0.2">
      <c r="A603" s="43"/>
      <c r="B603" s="463" t="s">
        <v>1150</v>
      </c>
      <c r="C603" s="464"/>
      <c r="D603" s="464"/>
      <c r="E603" s="464"/>
      <c r="F603" s="464"/>
      <c r="G603" s="307">
        <v>1997</v>
      </c>
      <c r="H603" s="162" t="s">
        <v>68</v>
      </c>
      <c r="I603" s="462"/>
      <c r="J603" s="160"/>
      <c r="K603" s="164">
        <v>1</v>
      </c>
      <c r="L603" s="43"/>
    </row>
    <row r="604" spans="1:12" s="45" customFormat="1" ht="8.5500000000000007" customHeight="1" x14ac:dyDescent="0.2">
      <c r="A604" s="43"/>
      <c r="B604" s="463"/>
      <c r="C604" s="464"/>
      <c r="D604" s="464"/>
      <c r="E604" s="464"/>
      <c r="F604" s="464"/>
      <c r="G604" s="307"/>
      <c r="H604" s="163"/>
      <c r="I604" s="462"/>
      <c r="J604" s="161"/>
      <c r="K604" s="165"/>
      <c r="L604" s="43"/>
    </row>
    <row r="605" spans="1:12" s="45" customFormat="1" ht="8.5500000000000007" customHeight="1" x14ac:dyDescent="0.2">
      <c r="A605" s="43"/>
      <c r="B605" s="463" t="s">
        <v>1150</v>
      </c>
      <c r="C605" s="464"/>
      <c r="D605" s="464"/>
      <c r="E605" s="464"/>
      <c r="F605" s="464"/>
      <c r="G605" s="307">
        <v>2002</v>
      </c>
      <c r="H605" s="162">
        <v>92</v>
      </c>
      <c r="I605" s="462"/>
      <c r="J605" s="160"/>
      <c r="K605" s="164">
        <v>1</v>
      </c>
      <c r="L605" s="43"/>
    </row>
    <row r="606" spans="1:12" s="45" customFormat="1" ht="8.5500000000000007" customHeight="1" x14ac:dyDescent="0.2">
      <c r="A606" s="43"/>
      <c r="B606" s="463"/>
      <c r="C606" s="464"/>
      <c r="D606" s="464"/>
      <c r="E606" s="464"/>
      <c r="F606" s="464"/>
      <c r="G606" s="307"/>
      <c r="H606" s="163"/>
      <c r="I606" s="462"/>
      <c r="J606" s="161"/>
      <c r="K606" s="165"/>
      <c r="L606" s="43"/>
    </row>
    <row r="607" spans="1:12" s="45" customFormat="1" ht="8.5500000000000007" customHeight="1" x14ac:dyDescent="0.2">
      <c r="A607" s="43"/>
      <c r="B607" s="463" t="s">
        <v>782</v>
      </c>
      <c r="C607" s="464"/>
      <c r="D607" s="464"/>
      <c r="E607" s="464"/>
      <c r="F607" s="464"/>
      <c r="G607" s="307">
        <v>1991</v>
      </c>
      <c r="H607" s="372">
        <v>95</v>
      </c>
      <c r="I607" s="462">
        <v>90</v>
      </c>
      <c r="J607" s="162" t="s">
        <v>674</v>
      </c>
      <c r="K607" s="164">
        <v>2</v>
      </c>
      <c r="L607" s="43"/>
    </row>
    <row r="608" spans="1:12" s="45" customFormat="1" ht="8.5500000000000007" customHeight="1" x14ac:dyDescent="0.2">
      <c r="A608" s="43"/>
      <c r="B608" s="463"/>
      <c r="C608" s="464"/>
      <c r="D608" s="464"/>
      <c r="E608" s="464"/>
      <c r="F608" s="464"/>
      <c r="G608" s="307"/>
      <c r="H608" s="372"/>
      <c r="I608" s="462"/>
      <c r="J608" s="163"/>
      <c r="K608" s="165"/>
      <c r="L608" s="43"/>
    </row>
    <row r="609" spans="1:12" s="45" customFormat="1" ht="8.5500000000000007" customHeight="1" x14ac:dyDescent="0.2">
      <c r="A609" s="43"/>
      <c r="B609" s="463" t="s">
        <v>782</v>
      </c>
      <c r="C609" s="464"/>
      <c r="D609" s="464"/>
      <c r="E609" s="464"/>
      <c r="F609" s="464"/>
      <c r="G609" s="307">
        <v>1992</v>
      </c>
      <c r="H609" s="372">
        <v>96</v>
      </c>
      <c r="I609" s="462">
        <v>91</v>
      </c>
      <c r="J609" s="160"/>
      <c r="K609" s="164">
        <v>2</v>
      </c>
      <c r="L609" s="43"/>
    </row>
    <row r="610" spans="1:12" s="45" customFormat="1" ht="8.5500000000000007" customHeight="1" x14ac:dyDescent="0.2">
      <c r="A610" s="43"/>
      <c r="B610" s="463"/>
      <c r="C610" s="464"/>
      <c r="D610" s="464"/>
      <c r="E610" s="464"/>
      <c r="F610" s="464"/>
      <c r="G610" s="307"/>
      <c r="H610" s="372"/>
      <c r="I610" s="462"/>
      <c r="J610" s="161"/>
      <c r="K610" s="165"/>
      <c r="L610" s="43"/>
    </row>
    <row r="611" spans="1:12" s="45" customFormat="1" ht="8.5500000000000007" customHeight="1" x14ac:dyDescent="0.2">
      <c r="A611" s="43"/>
      <c r="B611" s="463" t="s">
        <v>834</v>
      </c>
      <c r="C611" s="464"/>
      <c r="D611" s="464"/>
      <c r="E611" s="464"/>
      <c r="F611" s="464"/>
      <c r="G611" s="307">
        <v>1997</v>
      </c>
      <c r="H611" s="372">
        <v>98</v>
      </c>
      <c r="I611" s="462">
        <v>91</v>
      </c>
      <c r="J611" s="162" t="s">
        <v>337</v>
      </c>
      <c r="K611" s="164">
        <v>2</v>
      </c>
      <c r="L611" s="43"/>
    </row>
    <row r="612" spans="1:12" s="45" customFormat="1" ht="8.5500000000000007" customHeight="1" x14ac:dyDescent="0.2">
      <c r="A612" s="43"/>
      <c r="B612" s="463"/>
      <c r="C612" s="464"/>
      <c r="D612" s="464"/>
      <c r="E612" s="464"/>
      <c r="F612" s="464"/>
      <c r="G612" s="307"/>
      <c r="H612" s="372"/>
      <c r="I612" s="462"/>
      <c r="J612" s="163"/>
      <c r="K612" s="165"/>
      <c r="L612" s="43"/>
    </row>
    <row r="613" spans="1:12" s="45" customFormat="1" ht="8.5500000000000007" customHeight="1" x14ac:dyDescent="0.2">
      <c r="A613" s="43"/>
      <c r="B613" s="463" t="s">
        <v>845</v>
      </c>
      <c r="C613" s="464"/>
      <c r="D613" s="464"/>
      <c r="E613" s="464"/>
      <c r="F613" s="464"/>
      <c r="G613" s="307">
        <v>2001</v>
      </c>
      <c r="H613" s="372">
        <v>97</v>
      </c>
      <c r="I613" s="462">
        <v>89</v>
      </c>
      <c r="J613" s="162" t="s">
        <v>342</v>
      </c>
      <c r="K613" s="164">
        <v>1</v>
      </c>
      <c r="L613" s="43"/>
    </row>
    <row r="614" spans="1:12" s="45" customFormat="1" ht="8.5500000000000007" customHeight="1" x14ac:dyDescent="0.2">
      <c r="A614" s="43"/>
      <c r="B614" s="463"/>
      <c r="C614" s="464"/>
      <c r="D614" s="464"/>
      <c r="E614" s="464"/>
      <c r="F614" s="464"/>
      <c r="G614" s="307"/>
      <c r="H614" s="372"/>
      <c r="I614" s="462"/>
      <c r="J614" s="163"/>
      <c r="K614" s="165"/>
      <c r="L614" s="43"/>
    </row>
    <row r="615" spans="1:12" s="45" customFormat="1" ht="8.5500000000000007" customHeight="1" x14ac:dyDescent="0.2">
      <c r="A615" s="43"/>
      <c r="B615" s="463" t="s">
        <v>1649</v>
      </c>
      <c r="C615" s="464"/>
      <c r="D615" s="464"/>
      <c r="E615" s="464"/>
      <c r="F615" s="464"/>
      <c r="G615" s="307">
        <v>1995</v>
      </c>
      <c r="H615" s="372">
        <v>98</v>
      </c>
      <c r="I615" s="462"/>
      <c r="J615" s="162" t="s">
        <v>33</v>
      </c>
      <c r="K615" s="164">
        <v>1</v>
      </c>
      <c r="L615" s="43"/>
    </row>
    <row r="616" spans="1:12" s="45" customFormat="1" ht="8.5500000000000007" customHeight="1" x14ac:dyDescent="0.2">
      <c r="A616" s="43"/>
      <c r="B616" s="463"/>
      <c r="C616" s="464"/>
      <c r="D616" s="464"/>
      <c r="E616" s="464"/>
      <c r="F616" s="464"/>
      <c r="G616" s="307"/>
      <c r="H616" s="372"/>
      <c r="I616" s="462"/>
      <c r="J616" s="163"/>
      <c r="K616" s="165"/>
      <c r="L616" s="43"/>
    </row>
    <row r="617" spans="1:12" s="45" customFormat="1" ht="8.5500000000000007" customHeight="1" x14ac:dyDescent="0.2">
      <c r="A617" s="43"/>
      <c r="B617" s="463" t="s">
        <v>1649</v>
      </c>
      <c r="C617" s="464"/>
      <c r="D617" s="464"/>
      <c r="E617" s="464"/>
      <c r="F617" s="464"/>
      <c r="G617" s="307">
        <v>1996</v>
      </c>
      <c r="H617" s="372">
        <v>99</v>
      </c>
      <c r="I617" s="462"/>
      <c r="J617" s="162" t="s">
        <v>136</v>
      </c>
      <c r="K617" s="164">
        <v>1</v>
      </c>
      <c r="L617" s="43"/>
    </row>
    <row r="618" spans="1:12" s="45" customFormat="1" ht="8.5500000000000007" customHeight="1" x14ac:dyDescent="0.2">
      <c r="A618" s="43"/>
      <c r="B618" s="463"/>
      <c r="C618" s="464"/>
      <c r="D618" s="464"/>
      <c r="E618" s="464"/>
      <c r="F618" s="464"/>
      <c r="G618" s="307"/>
      <c r="H618" s="372"/>
      <c r="I618" s="462"/>
      <c r="J618" s="163"/>
      <c r="K618" s="165"/>
      <c r="L618" s="43"/>
    </row>
    <row r="619" spans="1:12" s="45" customFormat="1" ht="8.5500000000000007" customHeight="1" x14ac:dyDescent="0.2">
      <c r="A619" s="43"/>
      <c r="B619" s="463" t="s">
        <v>905</v>
      </c>
      <c r="C619" s="464"/>
      <c r="D619" s="464"/>
      <c r="E619" s="464"/>
      <c r="F619" s="464"/>
      <c r="G619" s="307">
        <v>1996</v>
      </c>
      <c r="H619" s="372">
        <v>96</v>
      </c>
      <c r="I619" s="462"/>
      <c r="J619" s="162" t="s">
        <v>371</v>
      </c>
      <c r="K619" s="164">
        <v>1</v>
      </c>
      <c r="L619" s="43"/>
    </row>
    <row r="620" spans="1:12" s="45" customFormat="1" ht="8.5500000000000007" customHeight="1" x14ac:dyDescent="0.2">
      <c r="A620" s="43"/>
      <c r="B620" s="463"/>
      <c r="C620" s="464"/>
      <c r="D620" s="464"/>
      <c r="E620" s="464"/>
      <c r="F620" s="464"/>
      <c r="G620" s="307"/>
      <c r="H620" s="372"/>
      <c r="I620" s="462"/>
      <c r="J620" s="163"/>
      <c r="K620" s="165"/>
      <c r="L620" s="43"/>
    </row>
    <row r="621" spans="1:12" s="45" customFormat="1" ht="8.5500000000000007" customHeight="1" x14ac:dyDescent="0.2">
      <c r="A621" s="43"/>
      <c r="B621" s="463" t="s">
        <v>1320</v>
      </c>
      <c r="C621" s="464"/>
      <c r="D621" s="464"/>
      <c r="E621" s="464"/>
      <c r="F621" s="464"/>
      <c r="G621" s="307">
        <v>2007</v>
      </c>
      <c r="H621" s="372">
        <v>97</v>
      </c>
      <c r="I621" s="462"/>
      <c r="J621" s="162" t="s">
        <v>718</v>
      </c>
      <c r="K621" s="164">
        <v>2</v>
      </c>
      <c r="L621" s="43"/>
    </row>
    <row r="622" spans="1:12" s="45" customFormat="1" ht="8.5500000000000007" customHeight="1" x14ac:dyDescent="0.2">
      <c r="A622" s="43"/>
      <c r="B622" s="463"/>
      <c r="C622" s="464"/>
      <c r="D622" s="464"/>
      <c r="E622" s="464"/>
      <c r="F622" s="464"/>
      <c r="G622" s="307"/>
      <c r="H622" s="372"/>
      <c r="I622" s="462"/>
      <c r="J622" s="163"/>
      <c r="K622" s="165"/>
      <c r="L622" s="43"/>
    </row>
    <row r="623" spans="1:12" s="45" customFormat="1" ht="8.5500000000000007" customHeight="1" x14ac:dyDescent="0.2">
      <c r="A623" s="43"/>
      <c r="B623" s="463" t="s">
        <v>1733</v>
      </c>
      <c r="C623" s="464"/>
      <c r="D623" s="464"/>
      <c r="E623" s="464"/>
      <c r="F623" s="464"/>
      <c r="G623" s="307">
        <v>1977</v>
      </c>
      <c r="H623" s="372"/>
      <c r="I623" s="462"/>
      <c r="J623" s="162"/>
      <c r="K623" s="164">
        <v>1</v>
      </c>
      <c r="L623" s="43"/>
    </row>
    <row r="624" spans="1:12" s="45" customFormat="1" ht="8.5500000000000007" customHeight="1" x14ac:dyDescent="0.2">
      <c r="A624" s="43"/>
      <c r="B624" s="463"/>
      <c r="C624" s="464"/>
      <c r="D624" s="464"/>
      <c r="E624" s="464"/>
      <c r="F624" s="464"/>
      <c r="G624" s="307"/>
      <c r="H624" s="372"/>
      <c r="I624" s="462"/>
      <c r="J624" s="163"/>
      <c r="K624" s="165"/>
      <c r="L624" s="43"/>
    </row>
    <row r="625" spans="1:12" s="45" customFormat="1" ht="8.5500000000000007" customHeight="1" x14ac:dyDescent="0.2">
      <c r="A625" s="43"/>
      <c r="B625" s="463" t="s">
        <v>1696</v>
      </c>
      <c r="C625" s="464"/>
      <c r="D625" s="464"/>
      <c r="E625" s="464"/>
      <c r="F625" s="464"/>
      <c r="G625" s="307">
        <v>1978</v>
      </c>
      <c r="H625" s="372">
        <v>90</v>
      </c>
      <c r="I625" s="462"/>
      <c r="J625" s="162"/>
      <c r="K625" s="164">
        <v>6</v>
      </c>
      <c r="L625" s="43"/>
    </row>
    <row r="626" spans="1:12" s="45" customFormat="1" ht="8.5500000000000007" customHeight="1" x14ac:dyDescent="0.2">
      <c r="A626" s="43"/>
      <c r="B626" s="463"/>
      <c r="C626" s="464"/>
      <c r="D626" s="464"/>
      <c r="E626" s="464"/>
      <c r="F626" s="464"/>
      <c r="G626" s="307"/>
      <c r="H626" s="372"/>
      <c r="I626" s="462"/>
      <c r="J626" s="163"/>
      <c r="K626" s="165"/>
      <c r="L626" s="43"/>
    </row>
    <row r="627" spans="1:12" s="45" customFormat="1" ht="8.5500000000000007" customHeight="1" x14ac:dyDescent="0.2">
      <c r="A627" s="43"/>
      <c r="B627" s="463" t="s">
        <v>974</v>
      </c>
      <c r="C627" s="464"/>
      <c r="D627" s="464"/>
      <c r="E627" s="464"/>
      <c r="F627" s="464"/>
      <c r="G627" s="307">
        <v>1991</v>
      </c>
      <c r="H627" s="372">
        <v>96</v>
      </c>
      <c r="I627" s="462"/>
      <c r="J627" s="162" t="s">
        <v>579</v>
      </c>
      <c r="K627" s="164">
        <v>1</v>
      </c>
      <c r="L627" s="43"/>
    </row>
    <row r="628" spans="1:12" s="45" customFormat="1" ht="8.5500000000000007" customHeight="1" x14ac:dyDescent="0.2">
      <c r="A628" s="43"/>
      <c r="B628" s="463"/>
      <c r="C628" s="464"/>
      <c r="D628" s="464"/>
      <c r="E628" s="464"/>
      <c r="F628" s="464"/>
      <c r="G628" s="307"/>
      <c r="H628" s="372"/>
      <c r="I628" s="462"/>
      <c r="J628" s="163"/>
      <c r="K628" s="165"/>
      <c r="L628" s="43"/>
    </row>
    <row r="629" spans="1:12" s="45" customFormat="1" ht="8.5500000000000007" customHeight="1" x14ac:dyDescent="0.2">
      <c r="A629" s="43"/>
      <c r="B629" s="463" t="s">
        <v>1634</v>
      </c>
      <c r="C629" s="464"/>
      <c r="D629" s="464"/>
      <c r="E629" s="464"/>
      <c r="F629" s="464"/>
      <c r="G629" s="307">
        <v>1991</v>
      </c>
      <c r="H629" s="372">
        <v>94</v>
      </c>
      <c r="I629" s="462"/>
      <c r="J629" s="162" t="s">
        <v>339</v>
      </c>
      <c r="K629" s="164">
        <v>1</v>
      </c>
      <c r="L629" s="43"/>
    </row>
    <row r="630" spans="1:12" s="45" customFormat="1" ht="8.5500000000000007" customHeight="1" x14ac:dyDescent="0.2">
      <c r="A630" s="43"/>
      <c r="B630" s="463"/>
      <c r="C630" s="464"/>
      <c r="D630" s="464"/>
      <c r="E630" s="464"/>
      <c r="F630" s="464"/>
      <c r="G630" s="307"/>
      <c r="H630" s="372"/>
      <c r="I630" s="462"/>
      <c r="J630" s="163"/>
      <c r="K630" s="165"/>
      <c r="L630" s="43"/>
    </row>
    <row r="631" spans="1:12" s="45" customFormat="1" ht="8.5500000000000007" customHeight="1" x14ac:dyDescent="0.2">
      <c r="A631" s="43"/>
      <c r="B631" s="463" t="s">
        <v>915</v>
      </c>
      <c r="C631" s="464"/>
      <c r="D631" s="464"/>
      <c r="E631" s="464"/>
      <c r="F631" s="464"/>
      <c r="G631" s="307">
        <v>1993</v>
      </c>
      <c r="H631" s="372">
        <v>96</v>
      </c>
      <c r="I631" s="462"/>
      <c r="J631" s="162" t="s">
        <v>923</v>
      </c>
      <c r="K631" s="164">
        <v>2</v>
      </c>
      <c r="L631" s="43"/>
    </row>
    <row r="632" spans="1:12" s="45" customFormat="1" ht="8.5500000000000007" customHeight="1" x14ac:dyDescent="0.2">
      <c r="A632" s="43"/>
      <c r="B632" s="463"/>
      <c r="C632" s="464"/>
      <c r="D632" s="464"/>
      <c r="E632" s="464"/>
      <c r="F632" s="464"/>
      <c r="G632" s="307"/>
      <c r="H632" s="372"/>
      <c r="I632" s="462"/>
      <c r="J632" s="163"/>
      <c r="K632" s="165"/>
      <c r="L632" s="43"/>
    </row>
    <row r="633" spans="1:12" s="45" customFormat="1" ht="8.5500000000000007" customHeight="1" x14ac:dyDescent="0.2">
      <c r="A633" s="43"/>
      <c r="B633" s="463" t="s">
        <v>1650</v>
      </c>
      <c r="C633" s="464"/>
      <c r="D633" s="464"/>
      <c r="E633" s="464"/>
      <c r="F633" s="464"/>
      <c r="G633" s="307">
        <v>2013</v>
      </c>
      <c r="H633" s="372"/>
      <c r="I633" s="462"/>
      <c r="J633" s="162"/>
      <c r="K633" s="164">
        <v>1</v>
      </c>
      <c r="L633" s="43"/>
    </row>
    <row r="634" spans="1:12" s="45" customFormat="1" ht="8.5500000000000007" customHeight="1" x14ac:dyDescent="0.2">
      <c r="A634" s="43"/>
      <c r="B634" s="463"/>
      <c r="C634" s="464"/>
      <c r="D634" s="464"/>
      <c r="E634" s="464"/>
      <c r="F634" s="464"/>
      <c r="G634" s="307"/>
      <c r="H634" s="372"/>
      <c r="I634" s="462"/>
      <c r="J634" s="163"/>
      <c r="K634" s="165"/>
      <c r="L634" s="43"/>
    </row>
    <row r="635" spans="1:12" s="45" customFormat="1" ht="8.5500000000000007" customHeight="1" x14ac:dyDescent="0.2">
      <c r="A635" s="43"/>
      <c r="B635" s="463" t="s">
        <v>1700</v>
      </c>
      <c r="C635" s="464"/>
      <c r="D635" s="464"/>
      <c r="E635" s="464"/>
      <c r="F635" s="464"/>
      <c r="G635" s="307">
        <v>2014</v>
      </c>
      <c r="H635" s="372">
        <v>100</v>
      </c>
      <c r="I635" s="462"/>
      <c r="J635" s="162"/>
      <c r="K635" s="164">
        <v>1</v>
      </c>
      <c r="L635" s="43"/>
    </row>
    <row r="636" spans="1:12" s="45" customFormat="1" ht="8.5500000000000007" customHeight="1" x14ac:dyDescent="0.2">
      <c r="A636" s="43"/>
      <c r="B636" s="463"/>
      <c r="C636" s="464"/>
      <c r="D636" s="464"/>
      <c r="E636" s="464"/>
      <c r="F636" s="464"/>
      <c r="G636" s="307"/>
      <c r="H636" s="372"/>
      <c r="I636" s="462"/>
      <c r="J636" s="163"/>
      <c r="K636" s="165"/>
      <c r="L636" s="43"/>
    </row>
    <row r="637" spans="1:12" s="45" customFormat="1" ht="8.5500000000000007" customHeight="1" x14ac:dyDescent="0.2">
      <c r="A637" s="43"/>
      <c r="B637" s="463" t="s">
        <v>1707</v>
      </c>
      <c r="C637" s="464"/>
      <c r="D637" s="464"/>
      <c r="E637" s="464"/>
      <c r="F637" s="464"/>
      <c r="G637" s="307">
        <v>2009</v>
      </c>
      <c r="H637" s="372">
        <v>97</v>
      </c>
      <c r="I637" s="462"/>
      <c r="J637" s="162"/>
      <c r="K637" s="164">
        <v>1</v>
      </c>
      <c r="L637" s="43"/>
    </row>
    <row r="638" spans="1:12" s="45" customFormat="1" ht="8.5500000000000007" customHeight="1" x14ac:dyDescent="0.2">
      <c r="A638" s="43"/>
      <c r="B638" s="463"/>
      <c r="C638" s="464"/>
      <c r="D638" s="464"/>
      <c r="E638" s="464"/>
      <c r="F638" s="464"/>
      <c r="G638" s="307"/>
      <c r="H638" s="372"/>
      <c r="I638" s="462"/>
      <c r="J638" s="163"/>
      <c r="K638" s="165"/>
      <c r="L638" s="43"/>
    </row>
    <row r="639" spans="1:12" s="45" customFormat="1" ht="8.5500000000000007" customHeight="1" x14ac:dyDescent="0.2">
      <c r="A639" s="43"/>
      <c r="B639" s="463" t="s">
        <v>1829</v>
      </c>
      <c r="C639" s="464"/>
      <c r="D639" s="464"/>
      <c r="E639" s="464"/>
      <c r="F639" s="464"/>
      <c r="G639" s="307">
        <v>1977</v>
      </c>
      <c r="H639" s="372"/>
      <c r="I639" s="462"/>
      <c r="J639" s="162"/>
      <c r="K639" s="164">
        <v>1</v>
      </c>
      <c r="L639" s="43"/>
    </row>
    <row r="640" spans="1:12" s="45" customFormat="1" ht="8.5500000000000007" customHeight="1" x14ac:dyDescent="0.2">
      <c r="A640" s="43"/>
      <c r="B640" s="463"/>
      <c r="C640" s="464"/>
      <c r="D640" s="464"/>
      <c r="E640" s="464"/>
      <c r="F640" s="464"/>
      <c r="G640" s="307"/>
      <c r="H640" s="372"/>
      <c r="I640" s="462"/>
      <c r="J640" s="163"/>
      <c r="K640" s="165"/>
      <c r="L640" s="43"/>
    </row>
    <row r="641" spans="1:12" s="45" customFormat="1" ht="8.5500000000000007" customHeight="1" x14ac:dyDescent="0.2">
      <c r="A641" s="43"/>
      <c r="B641" s="463"/>
      <c r="C641" s="464"/>
      <c r="D641" s="464"/>
      <c r="E641" s="464"/>
      <c r="F641" s="464"/>
      <c r="G641" s="307"/>
      <c r="H641" s="372"/>
      <c r="I641" s="462"/>
      <c r="J641" s="162"/>
      <c r="K641" s="164"/>
      <c r="L641" s="43"/>
    </row>
    <row r="642" spans="1:12" s="45" customFormat="1" ht="8.5500000000000007" customHeight="1" x14ac:dyDescent="0.2">
      <c r="A642" s="43"/>
      <c r="B642" s="463"/>
      <c r="C642" s="464"/>
      <c r="D642" s="464"/>
      <c r="E642" s="464"/>
      <c r="F642" s="464"/>
      <c r="G642" s="307"/>
      <c r="H642" s="372"/>
      <c r="I642" s="462"/>
      <c r="J642" s="163"/>
      <c r="K642" s="165"/>
      <c r="L642" s="43"/>
    </row>
    <row r="643" spans="1:12" s="45" customFormat="1" ht="8.5500000000000007" customHeight="1" x14ac:dyDescent="0.2">
      <c r="A643" s="43"/>
      <c r="B643" s="170" t="s">
        <v>807</v>
      </c>
      <c r="C643" s="170"/>
      <c r="D643" s="170"/>
      <c r="E643" s="170"/>
      <c r="F643" s="170"/>
      <c r="G643" s="47"/>
      <c r="H643" s="47"/>
      <c r="I643" s="48"/>
      <c r="J643" s="48"/>
      <c r="K643" s="224">
        <v>603</v>
      </c>
      <c r="L643" s="43"/>
    </row>
    <row r="644" spans="1:12" s="45" customFormat="1" ht="8.5500000000000007" customHeight="1" x14ac:dyDescent="0.2">
      <c r="A644" s="43"/>
      <c r="B644" s="171"/>
      <c r="C644" s="171"/>
      <c r="D644" s="171"/>
      <c r="E644" s="171"/>
      <c r="F644" s="171"/>
      <c r="G644" s="54"/>
      <c r="H644" s="54"/>
      <c r="I644" s="49"/>
      <c r="J644" s="49"/>
      <c r="K644" s="225"/>
      <c r="L644" s="43"/>
    </row>
    <row r="647" spans="1:12" ht="12.75" customHeight="1" x14ac:dyDescent="0.25">
      <c r="B647" s="474"/>
      <c r="C647" s="475"/>
      <c r="D647" s="475"/>
      <c r="E647" s="475"/>
      <c r="F647" s="475"/>
      <c r="G647" s="472"/>
      <c r="H647" s="471"/>
      <c r="I647" s="473"/>
      <c r="J647" s="470"/>
      <c r="K647" s="469"/>
    </row>
    <row r="648" spans="1:12" x14ac:dyDescent="0.25">
      <c r="B648" s="476"/>
      <c r="C648" s="475"/>
      <c r="D648" s="475"/>
      <c r="E648" s="475"/>
      <c r="F648" s="475"/>
      <c r="G648" s="472"/>
      <c r="H648" s="471"/>
      <c r="I648" s="473"/>
      <c r="J648" s="471"/>
      <c r="K648" s="469"/>
    </row>
    <row r="649" spans="1:12" ht="12.75" customHeight="1" x14ac:dyDescent="0.25">
      <c r="B649" s="474"/>
      <c r="C649" s="475"/>
      <c r="D649" s="475"/>
      <c r="E649" s="475"/>
      <c r="F649" s="475"/>
      <c r="G649" s="472"/>
      <c r="H649" s="471"/>
      <c r="I649" s="473"/>
      <c r="J649" s="470"/>
      <c r="K649" s="469"/>
    </row>
    <row r="650" spans="1:12" x14ac:dyDescent="0.25">
      <c r="B650" s="476"/>
      <c r="C650" s="475"/>
      <c r="D650" s="475"/>
      <c r="E650" s="475"/>
      <c r="F650" s="475"/>
      <c r="G650" s="472"/>
      <c r="H650" s="471"/>
      <c r="I650" s="473"/>
      <c r="J650" s="471"/>
      <c r="K650" s="469"/>
    </row>
    <row r="651" spans="1:12" ht="12.75" customHeight="1" x14ac:dyDescent="0.25">
      <c r="B651" s="474"/>
      <c r="C651" s="475"/>
      <c r="D651" s="475"/>
      <c r="E651" s="475"/>
      <c r="F651" s="475"/>
      <c r="G651" s="472"/>
      <c r="H651" s="471"/>
      <c r="I651" s="473"/>
      <c r="J651" s="470"/>
      <c r="K651" s="42"/>
    </row>
    <row r="652" spans="1:12" x14ac:dyDescent="0.25">
      <c r="B652" s="476"/>
      <c r="C652" s="475"/>
      <c r="D652" s="475"/>
      <c r="E652" s="475"/>
      <c r="F652" s="475"/>
      <c r="G652" s="472"/>
      <c r="H652" s="471"/>
      <c r="I652" s="473"/>
      <c r="J652" s="471"/>
      <c r="K652" s="42"/>
    </row>
    <row r="653" spans="1:12" x14ac:dyDescent="0.25">
      <c r="H653" s="8"/>
      <c r="K653" s="7"/>
    </row>
    <row r="654" spans="1:12" x14ac:dyDescent="0.25">
      <c r="H654" s="8"/>
      <c r="K654" s="9"/>
    </row>
    <row r="655" spans="1:12" x14ac:dyDescent="0.25">
      <c r="H655" s="8"/>
    </row>
    <row r="656" spans="1:12" x14ac:dyDescent="0.25">
      <c r="H656" s="8"/>
    </row>
    <row r="657" spans="8:8" x14ac:dyDescent="0.25">
      <c r="H657" s="8"/>
    </row>
    <row r="658" spans="8:8" x14ac:dyDescent="0.25">
      <c r="H658" s="8"/>
    </row>
    <row r="659" spans="8:8" x14ac:dyDescent="0.25">
      <c r="H659" s="8"/>
    </row>
    <row r="660" spans="8:8" x14ac:dyDescent="0.25">
      <c r="H660" s="8"/>
    </row>
    <row r="661" spans="8:8" x14ac:dyDescent="0.25">
      <c r="H661" s="8"/>
    </row>
    <row r="662" spans="8:8" x14ac:dyDescent="0.25">
      <c r="H662" s="8"/>
    </row>
    <row r="663" spans="8:8" x14ac:dyDescent="0.25">
      <c r="H663" s="8"/>
    </row>
    <row r="664" spans="8:8" x14ac:dyDescent="0.25">
      <c r="H664" s="8"/>
    </row>
    <row r="665" spans="8:8" x14ac:dyDescent="0.25">
      <c r="H665" s="8"/>
    </row>
    <row r="666" spans="8:8" x14ac:dyDescent="0.25">
      <c r="H666" s="8"/>
    </row>
    <row r="667" spans="8:8" x14ac:dyDescent="0.25">
      <c r="H667" s="8"/>
    </row>
    <row r="668" spans="8:8" x14ac:dyDescent="0.25">
      <c r="H668" s="8"/>
    </row>
  </sheetData>
  <autoFilter ref="A3:L668" xr:uid="{00000000-0009-0000-0000-00000E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1922">
    <mergeCell ref="B83:F84"/>
    <mergeCell ref="I83:I84"/>
    <mergeCell ref="B73:F74"/>
    <mergeCell ref="J243:J244"/>
    <mergeCell ref="K243:K244"/>
    <mergeCell ref="H81:H82"/>
    <mergeCell ref="B87:F88"/>
    <mergeCell ref="B103:F104"/>
    <mergeCell ref="B107:F108"/>
    <mergeCell ref="B111:F112"/>
    <mergeCell ref="H107:H108"/>
    <mergeCell ref="J115:J116"/>
    <mergeCell ref="I101:I102"/>
    <mergeCell ref="B97:F98"/>
    <mergeCell ref="B93:F94"/>
    <mergeCell ref="B117:F118"/>
    <mergeCell ref="B113:F114"/>
    <mergeCell ref="B141:F142"/>
    <mergeCell ref="G109:G110"/>
    <mergeCell ref="G101:G102"/>
    <mergeCell ref="B81:F82"/>
    <mergeCell ref="B85:F86"/>
    <mergeCell ref="K229:K230"/>
    <mergeCell ref="J113:J114"/>
    <mergeCell ref="B121:F122"/>
    <mergeCell ref="B123:F124"/>
    <mergeCell ref="B95:F96"/>
    <mergeCell ref="J335:J336"/>
    <mergeCell ref="I309:I310"/>
    <mergeCell ref="I331:I332"/>
    <mergeCell ref="I329:I330"/>
    <mergeCell ref="I327:I328"/>
    <mergeCell ref="I319:I320"/>
    <mergeCell ref="K361:K362"/>
    <mergeCell ref="K357:K358"/>
    <mergeCell ref="J285:J286"/>
    <mergeCell ref="K317:K318"/>
    <mergeCell ref="K339:K340"/>
    <mergeCell ref="K345:K346"/>
    <mergeCell ref="K337:K338"/>
    <mergeCell ref="J357:J358"/>
    <mergeCell ref="I339:I340"/>
    <mergeCell ref="I337:I338"/>
    <mergeCell ref="H71:H72"/>
    <mergeCell ref="J77:J78"/>
    <mergeCell ref="J81:J82"/>
    <mergeCell ref="J83:J84"/>
    <mergeCell ref="I79:I80"/>
    <mergeCell ref="J87:J88"/>
    <mergeCell ref="G125:G126"/>
    <mergeCell ref="G115:G116"/>
    <mergeCell ref="G105:G106"/>
    <mergeCell ref="G79:G80"/>
    <mergeCell ref="K87:K88"/>
    <mergeCell ref="K111:K112"/>
    <mergeCell ref="K83:K84"/>
    <mergeCell ref="K77:K78"/>
    <mergeCell ref="K75:K76"/>
    <mergeCell ref="G123:G124"/>
    <mergeCell ref="H113:H114"/>
    <mergeCell ref="H105:H106"/>
    <mergeCell ref="J109:J110"/>
    <mergeCell ref="J105:J106"/>
    <mergeCell ref="K109:K110"/>
    <mergeCell ref="J89:J90"/>
    <mergeCell ref="K93:K94"/>
    <mergeCell ref="J117:J118"/>
    <mergeCell ref="J131:J132"/>
    <mergeCell ref="K127:K128"/>
    <mergeCell ref="K177:K178"/>
    <mergeCell ref="J177:J178"/>
    <mergeCell ref="K209:K210"/>
    <mergeCell ref="K213:K214"/>
    <mergeCell ref="K207:K208"/>
    <mergeCell ref="I143:I144"/>
    <mergeCell ref="I153:I154"/>
    <mergeCell ref="I211:I212"/>
    <mergeCell ref="J215:J216"/>
    <mergeCell ref="J183:J184"/>
    <mergeCell ref="I129:I130"/>
    <mergeCell ref="J153:J154"/>
    <mergeCell ref="J197:J198"/>
    <mergeCell ref="J213:J214"/>
    <mergeCell ref="K171:K172"/>
    <mergeCell ref="J139:J140"/>
    <mergeCell ref="K137:K138"/>
    <mergeCell ref="I131:I132"/>
    <mergeCell ref="I133:I134"/>
    <mergeCell ref="K133:K134"/>
    <mergeCell ref="K391:K392"/>
    <mergeCell ref="J369:J370"/>
    <mergeCell ref="K319:K320"/>
    <mergeCell ref="K343:K344"/>
    <mergeCell ref="K353:K354"/>
    <mergeCell ref="K287:K288"/>
    <mergeCell ref="K285:K286"/>
    <mergeCell ref="J305:J306"/>
    <mergeCell ref="J307:J308"/>
    <mergeCell ref="J299:J300"/>
    <mergeCell ref="I157:I158"/>
    <mergeCell ref="J251:J252"/>
    <mergeCell ref="K275:K276"/>
    <mergeCell ref="K21:K22"/>
    <mergeCell ref="J23:J24"/>
    <mergeCell ref="J367:J368"/>
    <mergeCell ref="K341:K342"/>
    <mergeCell ref="J331:J332"/>
    <mergeCell ref="J333:J334"/>
    <mergeCell ref="K363:K364"/>
    <mergeCell ref="K365:K366"/>
    <mergeCell ref="J107:J108"/>
    <mergeCell ref="J111:J112"/>
    <mergeCell ref="K25:K26"/>
    <mergeCell ref="K79:K80"/>
    <mergeCell ref="J91:J92"/>
    <mergeCell ref="K97:K98"/>
    <mergeCell ref="K89:K90"/>
    <mergeCell ref="J103:J104"/>
    <mergeCell ref="K117:K118"/>
    <mergeCell ref="J249:J250"/>
    <mergeCell ref="J259:J260"/>
    <mergeCell ref="B25:F26"/>
    <mergeCell ref="J43:J44"/>
    <mergeCell ref="J25:J26"/>
    <mergeCell ref="B41:F42"/>
    <mergeCell ref="B47:F48"/>
    <mergeCell ref="G163:G164"/>
    <mergeCell ref="H151:H152"/>
    <mergeCell ref="I137:I138"/>
    <mergeCell ref="J161:J162"/>
    <mergeCell ref="J133:J134"/>
    <mergeCell ref="K129:K130"/>
    <mergeCell ref="K145:K146"/>
    <mergeCell ref="K135:K136"/>
    <mergeCell ref="J121:J122"/>
    <mergeCell ref="K121:K122"/>
    <mergeCell ref="J119:J120"/>
    <mergeCell ref="J45:J46"/>
    <mergeCell ref="K45:K46"/>
    <mergeCell ref="J63:J64"/>
    <mergeCell ref="K61:K62"/>
    <mergeCell ref="K49:K50"/>
    <mergeCell ref="K103:K104"/>
    <mergeCell ref="K69:K70"/>
    <mergeCell ref="K73:K74"/>
    <mergeCell ref="G31:G32"/>
    <mergeCell ref="J47:J48"/>
    <mergeCell ref="H77:H78"/>
    <mergeCell ref="G91:G92"/>
    <mergeCell ref="I71:I72"/>
    <mergeCell ref="G111:G112"/>
    <mergeCell ref="H109:H110"/>
    <mergeCell ref="B125:F126"/>
    <mergeCell ref="B13:F14"/>
    <mergeCell ref="G13:G14"/>
    <mergeCell ref="H13:H14"/>
    <mergeCell ref="I13:I14"/>
    <mergeCell ref="J13:J14"/>
    <mergeCell ref="B21:F22"/>
    <mergeCell ref="I23:I24"/>
    <mergeCell ref="G37:G38"/>
    <mergeCell ref="H31:H32"/>
    <mergeCell ref="B29:F30"/>
    <mergeCell ref="I27:I28"/>
    <mergeCell ref="H37:H38"/>
    <mergeCell ref="G61:G62"/>
    <mergeCell ref="B49:F50"/>
    <mergeCell ref="B53:F54"/>
    <mergeCell ref="B23:F24"/>
    <mergeCell ref="B27:F28"/>
    <mergeCell ref="H25:H26"/>
    <mergeCell ref="G27:G28"/>
    <mergeCell ref="G45:G46"/>
    <mergeCell ref="H49:H50"/>
    <mergeCell ref="B31:F32"/>
    <mergeCell ref="B37:F38"/>
    <mergeCell ref="B59:F60"/>
    <mergeCell ref="B43:F44"/>
    <mergeCell ref="G55:G56"/>
    <mergeCell ref="I61:I62"/>
    <mergeCell ref="I49:I50"/>
    <mergeCell ref="I59:I60"/>
    <mergeCell ref="B33:F34"/>
    <mergeCell ref="H33:H34"/>
    <mergeCell ref="G35:G36"/>
    <mergeCell ref="B109:F110"/>
    <mergeCell ref="B131:F132"/>
    <mergeCell ref="B137:F138"/>
    <mergeCell ref="B165:F166"/>
    <mergeCell ref="B61:F62"/>
    <mergeCell ref="I127:I128"/>
    <mergeCell ref="I125:I126"/>
    <mergeCell ref="B99:F100"/>
    <mergeCell ref="G99:G100"/>
    <mergeCell ref="H99:H100"/>
    <mergeCell ref="I99:I100"/>
    <mergeCell ref="G95:G96"/>
    <mergeCell ref="G117:G118"/>
    <mergeCell ref="B119:F120"/>
    <mergeCell ref="B115:F116"/>
    <mergeCell ref="H135:H136"/>
    <mergeCell ref="G161:G162"/>
    <mergeCell ref="I107:I108"/>
    <mergeCell ref="G103:G104"/>
    <mergeCell ref="I109:I110"/>
    <mergeCell ref="I111:I112"/>
    <mergeCell ref="B127:F128"/>
    <mergeCell ref="B163:F164"/>
    <mergeCell ref="B133:F134"/>
    <mergeCell ref="I145:I146"/>
    <mergeCell ref="G127:G128"/>
    <mergeCell ref="H139:H140"/>
    <mergeCell ref="G69:G70"/>
    <mergeCell ref="H147:H148"/>
    <mergeCell ref="I89:I90"/>
    <mergeCell ref="I77:I78"/>
    <mergeCell ref="H101:H102"/>
    <mergeCell ref="B105:F106"/>
    <mergeCell ref="I91:I92"/>
    <mergeCell ref="G89:G90"/>
    <mergeCell ref="B51:F52"/>
    <mergeCell ref="I45:I46"/>
    <mergeCell ref="B35:F36"/>
    <mergeCell ref="H45:H46"/>
    <mergeCell ref="I47:I48"/>
    <mergeCell ref="G47:G48"/>
    <mergeCell ref="G39:G40"/>
    <mergeCell ref="B89:F90"/>
    <mergeCell ref="B91:F92"/>
    <mergeCell ref="I97:I98"/>
    <mergeCell ref="I93:I94"/>
    <mergeCell ref="H95:H96"/>
    <mergeCell ref="H89:H90"/>
    <mergeCell ref="B101:F102"/>
    <mergeCell ref="G65:G66"/>
    <mergeCell ref="G59:G60"/>
    <mergeCell ref="B63:F64"/>
    <mergeCell ref="I81:I82"/>
    <mergeCell ref="B65:F66"/>
    <mergeCell ref="G57:G58"/>
    <mergeCell ref="I63:I64"/>
    <mergeCell ref="H63:H64"/>
    <mergeCell ref="H75:H76"/>
    <mergeCell ref="I75:I76"/>
    <mergeCell ref="I105:I106"/>
    <mergeCell ref="G67:G68"/>
    <mergeCell ref="H91:H92"/>
    <mergeCell ref="G85:G86"/>
    <mergeCell ref="G83:G84"/>
    <mergeCell ref="B75:F76"/>
    <mergeCell ref="B67:F68"/>
    <mergeCell ref="B55:F56"/>
    <mergeCell ref="G73:G74"/>
    <mergeCell ref="I57:I58"/>
    <mergeCell ref="H57:H58"/>
    <mergeCell ref="H61:H62"/>
    <mergeCell ref="J69:J70"/>
    <mergeCell ref="G71:G72"/>
    <mergeCell ref="J41:J42"/>
    <mergeCell ref="I43:I44"/>
    <mergeCell ref="J67:J68"/>
    <mergeCell ref="J71:J72"/>
    <mergeCell ref="H51:H52"/>
    <mergeCell ref="I37:I38"/>
    <mergeCell ref="B45:F46"/>
    <mergeCell ref="B69:F70"/>
    <mergeCell ref="J73:J74"/>
    <mergeCell ref="J59:J60"/>
    <mergeCell ref="H43:H44"/>
    <mergeCell ref="B57:F58"/>
    <mergeCell ref="J39:J40"/>
    <mergeCell ref="H47:H48"/>
    <mergeCell ref="J37:J38"/>
    <mergeCell ref="H53:H54"/>
    <mergeCell ref="B39:F40"/>
    <mergeCell ref="J75:J76"/>
    <mergeCell ref="B71:F72"/>
    <mergeCell ref="I11:I12"/>
    <mergeCell ref="J31:J32"/>
    <mergeCell ref="J33:J34"/>
    <mergeCell ref="I21:I22"/>
    <mergeCell ref="J51:J52"/>
    <mergeCell ref="K23:K24"/>
    <mergeCell ref="J27:J28"/>
    <mergeCell ref="J21:J22"/>
    <mergeCell ref="K27:K28"/>
    <mergeCell ref="I55:I56"/>
    <mergeCell ref="K51:K52"/>
    <mergeCell ref="I9:I10"/>
    <mergeCell ref="K15:K16"/>
    <mergeCell ref="I17:I18"/>
    <mergeCell ref="J17:J18"/>
    <mergeCell ref="K17:K18"/>
    <mergeCell ref="J19:J20"/>
    <mergeCell ref="K29:K30"/>
    <mergeCell ref="K43:K44"/>
    <mergeCell ref="I33:I34"/>
    <mergeCell ref="I51:I52"/>
    <mergeCell ref="I53:I54"/>
    <mergeCell ref="K47:K48"/>
    <mergeCell ref="J49:J50"/>
    <mergeCell ref="K9:K10"/>
    <mergeCell ref="J11:J12"/>
    <mergeCell ref="K11:K12"/>
    <mergeCell ref="K39:K40"/>
    <mergeCell ref="K13:K14"/>
    <mergeCell ref="J15:J16"/>
    <mergeCell ref="K31:K32"/>
    <mergeCell ref="I19:I20"/>
    <mergeCell ref="K81:K82"/>
    <mergeCell ref="K35:K36"/>
    <mergeCell ref="J55:J56"/>
    <mergeCell ref="J61:J62"/>
    <mergeCell ref="K37:K38"/>
    <mergeCell ref="K85:K86"/>
    <mergeCell ref="J93:J94"/>
    <mergeCell ref="J85:J86"/>
    <mergeCell ref="K91:K92"/>
    <mergeCell ref="K53:K54"/>
    <mergeCell ref="K57:K58"/>
    <mergeCell ref="K55:K56"/>
    <mergeCell ref="K107:K108"/>
    <mergeCell ref="K33:K34"/>
    <mergeCell ref="J35:J36"/>
    <mergeCell ref="K71:K72"/>
    <mergeCell ref="K105:K106"/>
    <mergeCell ref="J53:J54"/>
    <mergeCell ref="K63:K64"/>
    <mergeCell ref="K99:K100"/>
    <mergeCell ref="K101:K102"/>
    <mergeCell ref="K67:K68"/>
    <mergeCell ref="J95:J96"/>
    <mergeCell ref="K41:K42"/>
    <mergeCell ref="J79:J80"/>
    <mergeCell ref="J57:J58"/>
    <mergeCell ref="J101:J102"/>
    <mergeCell ref="J99:J100"/>
    <mergeCell ref="J129:J130"/>
    <mergeCell ref="H69:H70"/>
    <mergeCell ref="H79:H80"/>
    <mergeCell ref="J29:J30"/>
    <mergeCell ref="K19:K20"/>
    <mergeCell ref="G113:G114"/>
    <mergeCell ref="I95:I96"/>
    <mergeCell ref="J169:J170"/>
    <mergeCell ref="K159:K160"/>
    <mergeCell ref="J157:J158"/>
    <mergeCell ref="I165:I166"/>
    <mergeCell ref="K123:K124"/>
    <mergeCell ref="H73:H74"/>
    <mergeCell ref="H123:H124"/>
    <mergeCell ref="H125:H126"/>
    <mergeCell ref="K65:K66"/>
    <mergeCell ref="I121:I122"/>
    <mergeCell ref="J135:J136"/>
    <mergeCell ref="H129:H130"/>
    <mergeCell ref="J125:J126"/>
    <mergeCell ref="K119:K120"/>
    <mergeCell ref="K115:K116"/>
    <mergeCell ref="H103:H104"/>
    <mergeCell ref="I73:I74"/>
    <mergeCell ref="I69:I70"/>
    <mergeCell ref="H83:H84"/>
    <mergeCell ref="K95:K96"/>
    <mergeCell ref="I85:I86"/>
    <mergeCell ref="I117:I118"/>
    <mergeCell ref="J65:J66"/>
    <mergeCell ref="J97:J98"/>
    <mergeCell ref="K59:K60"/>
    <mergeCell ref="K113:K114"/>
    <mergeCell ref="K189:K190"/>
    <mergeCell ref="K169:K170"/>
    <mergeCell ref="K161:K162"/>
    <mergeCell ref="K149:K150"/>
    <mergeCell ref="H173:H174"/>
    <mergeCell ref="J149:J150"/>
    <mergeCell ref="H177:H178"/>
    <mergeCell ref="G193:G194"/>
    <mergeCell ref="J137:J138"/>
    <mergeCell ref="J143:J144"/>
    <mergeCell ref="J141:J142"/>
    <mergeCell ref="B11:F12"/>
    <mergeCell ref="G173:G174"/>
    <mergeCell ref="K143:K144"/>
    <mergeCell ref="H17:H18"/>
    <mergeCell ref="B15:F16"/>
    <mergeCell ref="G15:G16"/>
    <mergeCell ref="H15:H16"/>
    <mergeCell ref="I15:I16"/>
    <mergeCell ref="H115:H116"/>
    <mergeCell ref="K131:K132"/>
    <mergeCell ref="K139:K140"/>
    <mergeCell ref="K141:K142"/>
    <mergeCell ref="J123:J124"/>
    <mergeCell ref="I123:I124"/>
    <mergeCell ref="K125:K126"/>
    <mergeCell ref="I135:I136"/>
    <mergeCell ref="K155:K156"/>
    <mergeCell ref="J163:J164"/>
    <mergeCell ref="J167:J168"/>
    <mergeCell ref="J165:J166"/>
    <mergeCell ref="K235:K236"/>
    <mergeCell ref="J189:J190"/>
    <mergeCell ref="J175:J176"/>
    <mergeCell ref="K179:K180"/>
    <mergeCell ref="J223:J224"/>
    <mergeCell ref="K223:K224"/>
    <mergeCell ref="K157:K158"/>
    <mergeCell ref="J159:J160"/>
    <mergeCell ref="J187:J188"/>
    <mergeCell ref="J211:J212"/>
    <mergeCell ref="J173:J174"/>
    <mergeCell ref="J147:J148"/>
    <mergeCell ref="K201:K202"/>
    <mergeCell ref="K167:K168"/>
    <mergeCell ref="K181:K182"/>
    <mergeCell ref="K195:K196"/>
    <mergeCell ref="K193:K194"/>
    <mergeCell ref="K187:K188"/>
    <mergeCell ref="K183:K184"/>
    <mergeCell ref="K151:K152"/>
    <mergeCell ref="K163:K164"/>
    <mergeCell ref="K147:K148"/>
    <mergeCell ref="K175:K176"/>
    <mergeCell ref="K153:K154"/>
    <mergeCell ref="J179:J180"/>
    <mergeCell ref="K165:K166"/>
    <mergeCell ref="J155:J156"/>
    <mergeCell ref="K227:K228"/>
    <mergeCell ref="K185:K186"/>
    <mergeCell ref="H251:H252"/>
    <mergeCell ref="I233:I234"/>
    <mergeCell ref="B245:F246"/>
    <mergeCell ref="B225:F226"/>
    <mergeCell ref="H189:H190"/>
    <mergeCell ref="B173:F174"/>
    <mergeCell ref="B179:F180"/>
    <mergeCell ref="I219:I220"/>
    <mergeCell ref="H155:H156"/>
    <mergeCell ref="J145:J146"/>
    <mergeCell ref="K199:K200"/>
    <mergeCell ref="K197:K198"/>
    <mergeCell ref="J245:J246"/>
    <mergeCell ref="K241:K242"/>
    <mergeCell ref="K191:K192"/>
    <mergeCell ref="K211:K212"/>
    <mergeCell ref="K173:K174"/>
    <mergeCell ref="K215:K216"/>
    <mergeCell ref="K225:K226"/>
    <mergeCell ref="J219:J220"/>
    <mergeCell ref="I149:I150"/>
    <mergeCell ref="J221:J222"/>
    <mergeCell ref="I217:I218"/>
    <mergeCell ref="K217:K218"/>
    <mergeCell ref="K205:K206"/>
    <mergeCell ref="J195:J196"/>
    <mergeCell ref="K251:K252"/>
    <mergeCell ref="K245:K246"/>
    <mergeCell ref="J171:J172"/>
    <mergeCell ref="K233:K234"/>
    <mergeCell ref="J235:J236"/>
    <mergeCell ref="K383:K384"/>
    <mergeCell ref="K381:K382"/>
    <mergeCell ref="J347:J348"/>
    <mergeCell ref="K255:K256"/>
    <mergeCell ref="K265:K266"/>
    <mergeCell ref="K351:K352"/>
    <mergeCell ref="K379:K380"/>
    <mergeCell ref="K289:K290"/>
    <mergeCell ref="K301:K302"/>
    <mergeCell ref="K349:K350"/>
    <mergeCell ref="K371:K372"/>
    <mergeCell ref="K369:K370"/>
    <mergeCell ref="J321:J322"/>
    <mergeCell ref="J323:J324"/>
    <mergeCell ref="K269:K270"/>
    <mergeCell ref="J345:J346"/>
    <mergeCell ref="J379:J380"/>
    <mergeCell ref="K303:K304"/>
    <mergeCell ref="K335:K336"/>
    <mergeCell ref="K261:K262"/>
    <mergeCell ref="K305:K306"/>
    <mergeCell ref="J263:J264"/>
    <mergeCell ref="K267:K268"/>
    <mergeCell ref="K277:K278"/>
    <mergeCell ref="K271:K272"/>
    <mergeCell ref="J265:J266"/>
    <mergeCell ref="K315:K316"/>
    <mergeCell ref="J289:J290"/>
    <mergeCell ref="K297:K298"/>
    <mergeCell ref="K279:K280"/>
    <mergeCell ref="K331:K332"/>
    <mergeCell ref="J325:J326"/>
    <mergeCell ref="K257:K258"/>
    <mergeCell ref="K203:K204"/>
    <mergeCell ref="K259:K260"/>
    <mergeCell ref="K249:K250"/>
    <mergeCell ref="K253:K254"/>
    <mergeCell ref="K221:K222"/>
    <mergeCell ref="K231:K232"/>
    <mergeCell ref="K247:K248"/>
    <mergeCell ref="J351:J352"/>
    <mergeCell ref="K407:K408"/>
    <mergeCell ref="K327:K328"/>
    <mergeCell ref="J353:J354"/>
    <mergeCell ref="K309:K310"/>
    <mergeCell ref="K333:K334"/>
    <mergeCell ref="J203:J204"/>
    <mergeCell ref="J233:J234"/>
    <mergeCell ref="J363:J364"/>
    <mergeCell ref="J365:J366"/>
    <mergeCell ref="K219:K220"/>
    <mergeCell ref="K401:K402"/>
    <mergeCell ref="K403:K404"/>
    <mergeCell ref="K281:K282"/>
    <mergeCell ref="K311:K312"/>
    <mergeCell ref="K347:K348"/>
    <mergeCell ref="K329:K330"/>
    <mergeCell ref="K283:K284"/>
    <mergeCell ref="K295:K296"/>
    <mergeCell ref="K293:K294"/>
    <mergeCell ref="K299:K300"/>
    <mergeCell ref="K307:K308"/>
    <mergeCell ref="K323:K324"/>
    <mergeCell ref="K273:K274"/>
    <mergeCell ref="K367:K368"/>
    <mergeCell ref="K375:K376"/>
    <mergeCell ref="K263:K264"/>
    <mergeCell ref="K423:K424"/>
    <mergeCell ref="K435:K436"/>
    <mergeCell ref="J447:J448"/>
    <mergeCell ref="J465:J466"/>
    <mergeCell ref="J461:J462"/>
    <mergeCell ref="K389:K390"/>
    <mergeCell ref="K449:K450"/>
    <mergeCell ref="K395:K396"/>
    <mergeCell ref="J371:J372"/>
    <mergeCell ref="K405:K406"/>
    <mergeCell ref="J409:J410"/>
    <mergeCell ref="K429:K430"/>
    <mergeCell ref="J397:J398"/>
    <mergeCell ref="K373:K374"/>
    <mergeCell ref="K377:K378"/>
    <mergeCell ref="K409:K410"/>
    <mergeCell ref="J443:J444"/>
    <mergeCell ref="K399:K400"/>
    <mergeCell ref="J393:J394"/>
    <mergeCell ref="K415:K416"/>
    <mergeCell ref="J383:J384"/>
    <mergeCell ref="J301:J302"/>
    <mergeCell ref="J337:J338"/>
    <mergeCell ref="J423:J424"/>
    <mergeCell ref="K359:K360"/>
    <mergeCell ref="K355:K356"/>
    <mergeCell ref="J375:J376"/>
    <mergeCell ref="J381:J382"/>
    <mergeCell ref="J349:J350"/>
    <mergeCell ref="K419:K420"/>
    <mergeCell ref="K411:K412"/>
    <mergeCell ref="J445:J446"/>
    <mergeCell ref="J457:J458"/>
    <mergeCell ref="K397:K398"/>
    <mergeCell ref="K385:K386"/>
    <mergeCell ref="K433:K434"/>
    <mergeCell ref="J419:J420"/>
    <mergeCell ref="J411:J412"/>
    <mergeCell ref="K417:K418"/>
    <mergeCell ref="K477:K478"/>
    <mergeCell ref="K479:K480"/>
    <mergeCell ref="K425:K426"/>
    <mergeCell ref="K451:K452"/>
    <mergeCell ref="J433:J434"/>
    <mergeCell ref="K441:K442"/>
    <mergeCell ref="J453:J454"/>
    <mergeCell ref="K437:K438"/>
    <mergeCell ref="K453:K454"/>
    <mergeCell ref="K459:K460"/>
    <mergeCell ref="K457:K458"/>
    <mergeCell ref="J479:J480"/>
    <mergeCell ref="J427:J428"/>
    <mergeCell ref="K471:K472"/>
    <mergeCell ref="J399:J400"/>
    <mergeCell ref="J407:J408"/>
    <mergeCell ref="J389:J390"/>
    <mergeCell ref="J395:J396"/>
    <mergeCell ref="J387:J388"/>
    <mergeCell ref="K387:K388"/>
    <mergeCell ref="K393:K394"/>
    <mergeCell ref="J385:J386"/>
    <mergeCell ref="K427:K428"/>
    <mergeCell ref="K445:K446"/>
    <mergeCell ref="K463:K464"/>
    <mergeCell ref="J471:J472"/>
    <mergeCell ref="J495:J496"/>
    <mergeCell ref="J489:J490"/>
    <mergeCell ref="K455:K456"/>
    <mergeCell ref="J487:J488"/>
    <mergeCell ref="J483:J484"/>
    <mergeCell ref="J441:J442"/>
    <mergeCell ref="J455:J456"/>
    <mergeCell ref="J475:J476"/>
    <mergeCell ref="K495:K496"/>
    <mergeCell ref="K487:K488"/>
    <mergeCell ref="J491:J492"/>
    <mergeCell ref="K469:K470"/>
    <mergeCell ref="K499:K500"/>
    <mergeCell ref="K465:K466"/>
    <mergeCell ref="J481:J482"/>
    <mergeCell ref="K497:K498"/>
    <mergeCell ref="J431:J432"/>
    <mergeCell ref="K431:K432"/>
    <mergeCell ref="K475:K476"/>
    <mergeCell ref="J449:J450"/>
    <mergeCell ref="K467:K468"/>
    <mergeCell ref="K501:K502"/>
    <mergeCell ref="K483:K484"/>
    <mergeCell ref="J493:J494"/>
    <mergeCell ref="K439:K440"/>
    <mergeCell ref="K481:K482"/>
    <mergeCell ref="J477:J478"/>
    <mergeCell ref="K489:K490"/>
    <mergeCell ref="K443:K444"/>
    <mergeCell ref="K533:K534"/>
    <mergeCell ref="K461:K462"/>
    <mergeCell ref="K447:K448"/>
    <mergeCell ref="K473:K474"/>
    <mergeCell ref="K491:K492"/>
    <mergeCell ref="K493:K494"/>
    <mergeCell ref="K485:K486"/>
    <mergeCell ref="K503:K504"/>
    <mergeCell ref="K509:K510"/>
    <mergeCell ref="J529:J530"/>
    <mergeCell ref="K505:K506"/>
    <mergeCell ref="J509:J510"/>
    <mergeCell ref="J511:J512"/>
    <mergeCell ref="K519:K520"/>
    <mergeCell ref="K515:K516"/>
    <mergeCell ref="J523:J524"/>
    <mergeCell ref="J505:J506"/>
    <mergeCell ref="J539:J540"/>
    <mergeCell ref="K513:K514"/>
    <mergeCell ref="J551:J552"/>
    <mergeCell ref="J513:J514"/>
    <mergeCell ref="J531:J532"/>
    <mergeCell ref="J537:J538"/>
    <mergeCell ref="K525:K526"/>
    <mergeCell ref="K541:K542"/>
    <mergeCell ref="J515:J516"/>
    <mergeCell ref="J507:J508"/>
    <mergeCell ref="J517:J518"/>
    <mergeCell ref="K507:K508"/>
    <mergeCell ref="K517:K518"/>
    <mergeCell ref="K539:K540"/>
    <mergeCell ref="K521:K522"/>
    <mergeCell ref="K549:K550"/>
    <mergeCell ref="K511:K512"/>
    <mergeCell ref="K551:K552"/>
    <mergeCell ref="K531:K532"/>
    <mergeCell ref="I533:I534"/>
    <mergeCell ref="I535:I536"/>
    <mergeCell ref="J541:J542"/>
    <mergeCell ref="K569:K570"/>
    <mergeCell ref="K561:K562"/>
    <mergeCell ref="I517:I518"/>
    <mergeCell ref="J533:J534"/>
    <mergeCell ref="K529:K530"/>
    <mergeCell ref="K565:K566"/>
    <mergeCell ref="I565:I566"/>
    <mergeCell ref="I525:I526"/>
    <mergeCell ref="J519:J520"/>
    <mergeCell ref="I529:I530"/>
    <mergeCell ref="I527:I528"/>
    <mergeCell ref="I537:I538"/>
    <mergeCell ref="J543:J544"/>
    <mergeCell ref="K523:K524"/>
    <mergeCell ref="K537:K538"/>
    <mergeCell ref="J535:J536"/>
    <mergeCell ref="K547:K548"/>
    <mergeCell ref="K557:K558"/>
    <mergeCell ref="J553:J554"/>
    <mergeCell ref="K553:K554"/>
    <mergeCell ref="K535:K536"/>
    <mergeCell ref="J547:J548"/>
    <mergeCell ref="I521:I522"/>
    <mergeCell ref="K543:K544"/>
    <mergeCell ref="K527:K528"/>
    <mergeCell ref="K617:K618"/>
    <mergeCell ref="K625:K626"/>
    <mergeCell ref="K603:K604"/>
    <mergeCell ref="K581:K582"/>
    <mergeCell ref="J563:J564"/>
    <mergeCell ref="J575:J576"/>
    <mergeCell ref="J577:J578"/>
    <mergeCell ref="K559:K560"/>
    <mergeCell ref="J557:J558"/>
    <mergeCell ref="K571:K572"/>
    <mergeCell ref="K555:K556"/>
    <mergeCell ref="K585:K586"/>
    <mergeCell ref="J579:J580"/>
    <mergeCell ref="K599:K600"/>
    <mergeCell ref="K579:K580"/>
    <mergeCell ref="K587:K588"/>
    <mergeCell ref="J585:J586"/>
    <mergeCell ref="K595:K596"/>
    <mergeCell ref="K589:K590"/>
    <mergeCell ref="K623:K624"/>
    <mergeCell ref="J567:J568"/>
    <mergeCell ref="K583:K584"/>
    <mergeCell ref="B651:F652"/>
    <mergeCell ref="I591:I592"/>
    <mergeCell ref="B587:F588"/>
    <mergeCell ref="B585:F586"/>
    <mergeCell ref="I649:I650"/>
    <mergeCell ref="B649:F650"/>
    <mergeCell ref="B589:F590"/>
    <mergeCell ref="H637:H638"/>
    <mergeCell ref="I637:I638"/>
    <mergeCell ref="J637:J638"/>
    <mergeCell ref="J649:J650"/>
    <mergeCell ref="G617:G618"/>
    <mergeCell ref="G609:G610"/>
    <mergeCell ref="B647:F648"/>
    <mergeCell ref="J605:J606"/>
    <mergeCell ref="H649:H650"/>
    <mergeCell ref="H647:H648"/>
    <mergeCell ref="H599:H600"/>
    <mergeCell ref="H617:H618"/>
    <mergeCell ref="I617:I618"/>
    <mergeCell ref="I627:I628"/>
    <mergeCell ref="G647:G648"/>
    <mergeCell ref="J641:J642"/>
    <mergeCell ref="I629:I630"/>
    <mergeCell ref="I623:I624"/>
    <mergeCell ref="J623:J624"/>
    <mergeCell ref="I615:I616"/>
    <mergeCell ref="J613:J614"/>
    <mergeCell ref="H625:H626"/>
    <mergeCell ref="J627:J628"/>
    <mergeCell ref="J611:J612"/>
    <mergeCell ref="I619:I620"/>
    <mergeCell ref="K649:K650"/>
    <mergeCell ref="K641:K642"/>
    <mergeCell ref="J647:J648"/>
    <mergeCell ref="K647:K648"/>
    <mergeCell ref="K643:K644"/>
    <mergeCell ref="I601:I602"/>
    <mergeCell ref="J601:J602"/>
    <mergeCell ref="K597:K598"/>
    <mergeCell ref="I553:I554"/>
    <mergeCell ref="J639:J640"/>
    <mergeCell ref="K615:K616"/>
    <mergeCell ref="H607:H608"/>
    <mergeCell ref="K629:K630"/>
    <mergeCell ref="J609:J610"/>
    <mergeCell ref="J603:J604"/>
    <mergeCell ref="J651:J652"/>
    <mergeCell ref="G615:G616"/>
    <mergeCell ref="G611:G612"/>
    <mergeCell ref="H597:H598"/>
    <mergeCell ref="J625:J626"/>
    <mergeCell ref="G649:G650"/>
    <mergeCell ref="I651:I652"/>
    <mergeCell ref="G651:G652"/>
    <mergeCell ref="J589:J590"/>
    <mergeCell ref="H651:H652"/>
    <mergeCell ref="H595:H596"/>
    <mergeCell ref="I647:I648"/>
    <mergeCell ref="J597:J598"/>
    <mergeCell ref="G631:G632"/>
    <mergeCell ref="H631:H632"/>
    <mergeCell ref="H603:H604"/>
    <mergeCell ref="H611:H612"/>
    <mergeCell ref="K639:K640"/>
    <mergeCell ref="I611:I612"/>
    <mergeCell ref="J631:J632"/>
    <mergeCell ref="I641:I642"/>
    <mergeCell ref="K613:K614"/>
    <mergeCell ref="H635:H636"/>
    <mergeCell ref="J621:J622"/>
    <mergeCell ref="K607:K608"/>
    <mergeCell ref="J615:J616"/>
    <mergeCell ref="K619:K620"/>
    <mergeCell ref="J599:J600"/>
    <mergeCell ref="J607:J608"/>
    <mergeCell ref="K601:K602"/>
    <mergeCell ref="K631:K632"/>
    <mergeCell ref="K633:K634"/>
    <mergeCell ref="K611:K612"/>
    <mergeCell ref="K627:K628"/>
    <mergeCell ref="H605:H606"/>
    <mergeCell ref="H609:H610"/>
    <mergeCell ref="I639:I640"/>
    <mergeCell ref="K621:K622"/>
    <mergeCell ref="K637:K638"/>
    <mergeCell ref="I635:I636"/>
    <mergeCell ref="J635:J636"/>
    <mergeCell ref="H619:H620"/>
    <mergeCell ref="I625:I626"/>
    <mergeCell ref="I633:I634"/>
    <mergeCell ref="K635:K636"/>
    <mergeCell ref="J617:J618"/>
    <mergeCell ref="K605:K606"/>
    <mergeCell ref="K609:K610"/>
    <mergeCell ref="J633:J634"/>
    <mergeCell ref="H629:H630"/>
    <mergeCell ref="J629:J630"/>
    <mergeCell ref="G569:G570"/>
    <mergeCell ref="B577:F578"/>
    <mergeCell ref="B573:F574"/>
    <mergeCell ref="J559:J560"/>
    <mergeCell ref="I559:I560"/>
    <mergeCell ref="I561:I562"/>
    <mergeCell ref="I573:I574"/>
    <mergeCell ref="K575:K576"/>
    <mergeCell ref="J549:J550"/>
    <mergeCell ref="I587:I588"/>
    <mergeCell ref="I577:I578"/>
    <mergeCell ref="K577:K578"/>
    <mergeCell ref="J591:J592"/>
    <mergeCell ref="J569:J570"/>
    <mergeCell ref="K545:K546"/>
    <mergeCell ref="J545:J546"/>
    <mergeCell ref="J619:J620"/>
    <mergeCell ref="I605:I606"/>
    <mergeCell ref="K573:K574"/>
    <mergeCell ref="I567:I568"/>
    <mergeCell ref="I613:I614"/>
    <mergeCell ref="I595:I596"/>
    <mergeCell ref="J595:J596"/>
    <mergeCell ref="J583:J584"/>
    <mergeCell ref="K591:K592"/>
    <mergeCell ref="K593:K594"/>
    <mergeCell ref="K567:K568"/>
    <mergeCell ref="K563:K564"/>
    <mergeCell ref="I555:I556"/>
    <mergeCell ref="H577:H578"/>
    <mergeCell ref="B631:F632"/>
    <mergeCell ref="B607:F608"/>
    <mergeCell ref="H615:H616"/>
    <mergeCell ref="B625:F626"/>
    <mergeCell ref="B581:F582"/>
    <mergeCell ref="I581:I582"/>
    <mergeCell ref="B561:F562"/>
    <mergeCell ref="B549:F550"/>
    <mergeCell ref="G561:G562"/>
    <mergeCell ref="B559:F560"/>
    <mergeCell ref="G549:G550"/>
    <mergeCell ref="H561:H562"/>
    <mergeCell ref="G551:G552"/>
    <mergeCell ref="I551:I552"/>
    <mergeCell ref="G555:G556"/>
    <mergeCell ref="H549:H550"/>
    <mergeCell ref="J555:J556"/>
    <mergeCell ref="H575:H576"/>
    <mergeCell ref="B571:F572"/>
    <mergeCell ref="I599:I600"/>
    <mergeCell ref="H601:H602"/>
    <mergeCell ref="H613:H614"/>
    <mergeCell ref="I607:I608"/>
    <mergeCell ref="I609:I610"/>
    <mergeCell ref="G565:G566"/>
    <mergeCell ref="H565:H566"/>
    <mergeCell ref="J593:J594"/>
    <mergeCell ref="J581:J582"/>
    <mergeCell ref="H569:H570"/>
    <mergeCell ref="G563:G564"/>
    <mergeCell ref="B569:F570"/>
    <mergeCell ref="I563:I564"/>
    <mergeCell ref="G601:G602"/>
    <mergeCell ref="H579:H580"/>
    <mergeCell ref="B583:F584"/>
    <mergeCell ref="B609:F610"/>
    <mergeCell ref="H591:H592"/>
    <mergeCell ref="G621:G622"/>
    <mergeCell ref="G581:G582"/>
    <mergeCell ref="B579:F580"/>
    <mergeCell ref="G591:G592"/>
    <mergeCell ref="I603:I604"/>
    <mergeCell ref="G587:G588"/>
    <mergeCell ref="G585:G586"/>
    <mergeCell ref="I583:I584"/>
    <mergeCell ref="H581:H582"/>
    <mergeCell ref="I597:I598"/>
    <mergeCell ref="I621:I622"/>
    <mergeCell ref="H583:H584"/>
    <mergeCell ref="H589:H590"/>
    <mergeCell ref="I579:I580"/>
    <mergeCell ref="H585:H586"/>
    <mergeCell ref="B507:F508"/>
    <mergeCell ref="I545:I546"/>
    <mergeCell ref="G513:G514"/>
    <mergeCell ref="G545:G546"/>
    <mergeCell ref="B553:F554"/>
    <mergeCell ref="B551:F552"/>
    <mergeCell ref="I547:I548"/>
    <mergeCell ref="H547:H548"/>
    <mergeCell ref="H639:H640"/>
    <mergeCell ref="G633:G634"/>
    <mergeCell ref="H633:H634"/>
    <mergeCell ref="G635:G636"/>
    <mergeCell ref="G637:G638"/>
    <mergeCell ref="B613:F614"/>
    <mergeCell ref="B637:F638"/>
    <mergeCell ref="G603:G604"/>
    <mergeCell ref="G607:G608"/>
    <mergeCell ref="G629:G630"/>
    <mergeCell ref="G595:G596"/>
    <mergeCell ref="G583:G584"/>
    <mergeCell ref="I585:I586"/>
    <mergeCell ref="I593:I594"/>
    <mergeCell ref="I589:I590"/>
    <mergeCell ref="B597:F598"/>
    <mergeCell ref="B615:F616"/>
    <mergeCell ref="H627:H628"/>
    <mergeCell ref="G597:G598"/>
    <mergeCell ref="G579:G580"/>
    <mergeCell ref="I631:I632"/>
    <mergeCell ref="B603:F604"/>
    <mergeCell ref="B605:F606"/>
    <mergeCell ref="G605:G606"/>
    <mergeCell ref="B541:F542"/>
    <mergeCell ref="G541:G542"/>
    <mergeCell ref="G533:G534"/>
    <mergeCell ref="B523:F524"/>
    <mergeCell ref="B527:F528"/>
    <mergeCell ref="B529:F530"/>
    <mergeCell ref="B531:F532"/>
    <mergeCell ref="H531:H532"/>
    <mergeCell ref="G543:G544"/>
    <mergeCell ref="B543:F544"/>
    <mergeCell ref="I557:I558"/>
    <mergeCell ref="H551:H552"/>
    <mergeCell ref="H557:H558"/>
    <mergeCell ref="H543:H544"/>
    <mergeCell ref="G547:G548"/>
    <mergeCell ref="G553:G554"/>
    <mergeCell ref="H555:H556"/>
    <mergeCell ref="B557:F558"/>
    <mergeCell ref="B545:F546"/>
    <mergeCell ref="B537:F538"/>
    <mergeCell ref="H545:H546"/>
    <mergeCell ref="H553:H554"/>
    <mergeCell ref="B547:F548"/>
    <mergeCell ref="H537:H538"/>
    <mergeCell ref="I539:I540"/>
    <mergeCell ref="G535:G536"/>
    <mergeCell ref="G537:G538"/>
    <mergeCell ref="H533:H534"/>
    <mergeCell ref="H527:H528"/>
    <mergeCell ref="G525:G526"/>
    <mergeCell ref="H523:H524"/>
    <mergeCell ref="H525:H526"/>
    <mergeCell ref="B643:F644"/>
    <mergeCell ref="B641:F642"/>
    <mergeCell ref="G641:G642"/>
    <mergeCell ref="B639:F640"/>
    <mergeCell ref="G639:G640"/>
    <mergeCell ref="B599:F600"/>
    <mergeCell ref="B595:F596"/>
    <mergeCell ref="B611:F612"/>
    <mergeCell ref="G589:G590"/>
    <mergeCell ref="H587:H588"/>
    <mergeCell ref="G619:G620"/>
    <mergeCell ref="B629:F630"/>
    <mergeCell ref="B617:F618"/>
    <mergeCell ref="B593:F594"/>
    <mergeCell ref="B633:F634"/>
    <mergeCell ref="B635:F636"/>
    <mergeCell ref="B627:F628"/>
    <mergeCell ref="H641:H642"/>
    <mergeCell ref="B623:F624"/>
    <mergeCell ref="G623:G624"/>
    <mergeCell ref="H623:H624"/>
    <mergeCell ref="B591:F592"/>
    <mergeCell ref="G613:G614"/>
    <mergeCell ref="B601:F602"/>
    <mergeCell ref="G599:G600"/>
    <mergeCell ref="G627:G628"/>
    <mergeCell ref="H621:H622"/>
    <mergeCell ref="H593:H594"/>
    <mergeCell ref="G593:G594"/>
    <mergeCell ref="B619:F620"/>
    <mergeCell ref="G625:G626"/>
    <mergeCell ref="B621:F622"/>
    <mergeCell ref="I509:I510"/>
    <mergeCell ref="B521:F522"/>
    <mergeCell ref="B555:F556"/>
    <mergeCell ref="G557:G558"/>
    <mergeCell ref="B513:F514"/>
    <mergeCell ref="B511:F512"/>
    <mergeCell ref="B509:F510"/>
    <mergeCell ref="G507:G508"/>
    <mergeCell ref="J473:J474"/>
    <mergeCell ref="J501:J502"/>
    <mergeCell ref="I491:I492"/>
    <mergeCell ref="B497:F498"/>
    <mergeCell ref="B487:F488"/>
    <mergeCell ref="B479:F480"/>
    <mergeCell ref="B501:F502"/>
    <mergeCell ref="G515:G516"/>
    <mergeCell ref="H497:H498"/>
    <mergeCell ref="I489:I490"/>
    <mergeCell ref="G485:G486"/>
    <mergeCell ref="B489:F490"/>
    <mergeCell ref="J485:J486"/>
    <mergeCell ref="H517:H518"/>
    <mergeCell ref="G517:G518"/>
    <mergeCell ref="G493:G494"/>
    <mergeCell ref="B525:F526"/>
    <mergeCell ref="G509:G510"/>
    <mergeCell ref="J525:J526"/>
    <mergeCell ref="I519:I520"/>
    <mergeCell ref="G521:G522"/>
    <mergeCell ref="H509:H510"/>
    <mergeCell ref="G519:G520"/>
    <mergeCell ref="H513:H514"/>
    <mergeCell ref="B491:F492"/>
    <mergeCell ref="J521:J522"/>
    <mergeCell ref="I549:I550"/>
    <mergeCell ref="H541:H542"/>
    <mergeCell ref="I541:I542"/>
    <mergeCell ref="I543:I544"/>
    <mergeCell ref="I499:I500"/>
    <mergeCell ref="I501:I502"/>
    <mergeCell ref="I497:I498"/>
    <mergeCell ref="G511:G512"/>
    <mergeCell ref="H511:H512"/>
    <mergeCell ref="B493:F494"/>
    <mergeCell ref="B503:F504"/>
    <mergeCell ref="B517:F518"/>
    <mergeCell ref="G539:G540"/>
    <mergeCell ref="G529:G530"/>
    <mergeCell ref="G527:G528"/>
    <mergeCell ref="I531:I532"/>
    <mergeCell ref="G501:G502"/>
    <mergeCell ref="B505:F506"/>
    <mergeCell ref="I511:I512"/>
    <mergeCell ref="H539:H540"/>
    <mergeCell ref="B539:F540"/>
    <mergeCell ref="B533:F534"/>
    <mergeCell ref="G499:G500"/>
    <mergeCell ref="H503:H504"/>
    <mergeCell ref="B499:F500"/>
    <mergeCell ref="B535:F536"/>
    <mergeCell ref="G531:G532"/>
    <mergeCell ref="H529:H530"/>
    <mergeCell ref="J527:J528"/>
    <mergeCell ref="H535:H536"/>
    <mergeCell ref="I515:I516"/>
    <mergeCell ref="G491:G492"/>
    <mergeCell ref="H489:H490"/>
    <mergeCell ref="I495:I496"/>
    <mergeCell ref="G465:G466"/>
    <mergeCell ref="I465:I466"/>
    <mergeCell ref="I467:I468"/>
    <mergeCell ref="H487:H488"/>
    <mergeCell ref="J503:J504"/>
    <mergeCell ref="G473:G474"/>
    <mergeCell ref="H467:H468"/>
    <mergeCell ref="H499:H500"/>
    <mergeCell ref="H471:H472"/>
    <mergeCell ref="H473:H474"/>
    <mergeCell ref="G481:G482"/>
    <mergeCell ref="H465:H466"/>
    <mergeCell ref="B477:F478"/>
    <mergeCell ref="H505:H506"/>
    <mergeCell ref="I483:I484"/>
    <mergeCell ref="H493:H494"/>
    <mergeCell ref="J497:J498"/>
    <mergeCell ref="J499:J500"/>
    <mergeCell ref="G479:G480"/>
    <mergeCell ref="H475:H476"/>
    <mergeCell ref="B481:F482"/>
    <mergeCell ref="I487:I488"/>
    <mergeCell ref="H485:H486"/>
    <mergeCell ref="H507:H508"/>
    <mergeCell ref="G495:G496"/>
    <mergeCell ref="I513:I514"/>
    <mergeCell ref="I493:I494"/>
    <mergeCell ref="H491:H492"/>
    <mergeCell ref="G523:G524"/>
    <mergeCell ref="I523:I524"/>
    <mergeCell ref="H515:H516"/>
    <mergeCell ref="I449:I450"/>
    <mergeCell ref="I477:I478"/>
    <mergeCell ref="B475:F476"/>
    <mergeCell ref="H501:H502"/>
    <mergeCell ref="B515:F516"/>
    <mergeCell ref="H521:H522"/>
    <mergeCell ref="H519:H520"/>
    <mergeCell ref="I507:I508"/>
    <mergeCell ref="G469:G470"/>
    <mergeCell ref="H469:H470"/>
    <mergeCell ref="I479:I480"/>
    <mergeCell ref="H459:H460"/>
    <mergeCell ref="I469:I470"/>
    <mergeCell ref="H483:H484"/>
    <mergeCell ref="I475:I476"/>
    <mergeCell ref="B467:F468"/>
    <mergeCell ref="B463:F464"/>
    <mergeCell ref="B465:F466"/>
    <mergeCell ref="B461:F462"/>
    <mergeCell ref="B469:F470"/>
    <mergeCell ref="B459:F460"/>
    <mergeCell ref="H463:H464"/>
    <mergeCell ref="I503:I504"/>
    <mergeCell ref="B519:F520"/>
    <mergeCell ref="G497:G498"/>
    <mergeCell ref="B495:F496"/>
    <mergeCell ref="B485:F486"/>
    <mergeCell ref="B483:F484"/>
    <mergeCell ref="I453:I454"/>
    <mergeCell ref="H495:H496"/>
    <mergeCell ref="G483:G484"/>
    <mergeCell ref="G487:G488"/>
    <mergeCell ref="B471:F472"/>
    <mergeCell ref="I459:I460"/>
    <mergeCell ref="G475:G476"/>
    <mergeCell ref="H481:H482"/>
    <mergeCell ref="H479:H480"/>
    <mergeCell ref="G505:G506"/>
    <mergeCell ref="I471:I472"/>
    <mergeCell ref="I461:I462"/>
    <mergeCell ref="B455:F456"/>
    <mergeCell ref="I481:I482"/>
    <mergeCell ref="G449:G450"/>
    <mergeCell ref="G451:G452"/>
    <mergeCell ref="B451:F452"/>
    <mergeCell ref="I381:I382"/>
    <mergeCell ref="H381:H382"/>
    <mergeCell ref="G385:G386"/>
    <mergeCell ref="I397:I398"/>
    <mergeCell ref="B429:F430"/>
    <mergeCell ref="G437:G438"/>
    <mergeCell ref="B425:F426"/>
    <mergeCell ref="B423:F424"/>
    <mergeCell ref="B427:F428"/>
    <mergeCell ref="H423:H424"/>
    <mergeCell ref="H433:H434"/>
    <mergeCell ref="H419:H420"/>
    <mergeCell ref="B433:F434"/>
    <mergeCell ref="I407:I408"/>
    <mergeCell ref="H449:H450"/>
    <mergeCell ref="G409:G410"/>
    <mergeCell ref="B443:F444"/>
    <mergeCell ref="I445:I446"/>
    <mergeCell ref="I441:I442"/>
    <mergeCell ref="G441:G442"/>
    <mergeCell ref="H427:H428"/>
    <mergeCell ref="G417:G418"/>
    <mergeCell ref="G401:G402"/>
    <mergeCell ref="H461:H462"/>
    <mergeCell ref="G457:G458"/>
    <mergeCell ref="H451:H452"/>
    <mergeCell ref="G453:G454"/>
    <mergeCell ref="I457:I458"/>
    <mergeCell ref="G407:G408"/>
    <mergeCell ref="I425:I426"/>
    <mergeCell ref="I419:I420"/>
    <mergeCell ref="I415:I416"/>
    <mergeCell ref="I393:I394"/>
    <mergeCell ref="H395:H396"/>
    <mergeCell ref="I395:I396"/>
    <mergeCell ref="G423:G424"/>
    <mergeCell ref="I429:I430"/>
    <mergeCell ref="I431:I432"/>
    <mergeCell ref="I433:I434"/>
    <mergeCell ref="I505:I506"/>
    <mergeCell ref="I455:I456"/>
    <mergeCell ref="G503:G504"/>
    <mergeCell ref="H477:H478"/>
    <mergeCell ref="I485:I486"/>
    <mergeCell ref="G445:G446"/>
    <mergeCell ref="G459:G460"/>
    <mergeCell ref="G455:G456"/>
    <mergeCell ref="J329:J330"/>
    <mergeCell ref="G489:G490"/>
    <mergeCell ref="I473:I474"/>
    <mergeCell ref="I447:I448"/>
    <mergeCell ref="J469:J470"/>
    <mergeCell ref="J467:J468"/>
    <mergeCell ref="J425:J426"/>
    <mergeCell ref="J403:J404"/>
    <mergeCell ref="H379:H380"/>
    <mergeCell ref="G405:G406"/>
    <mergeCell ref="H407:H408"/>
    <mergeCell ref="G411:G412"/>
    <mergeCell ref="G425:G426"/>
    <mergeCell ref="H417:H418"/>
    <mergeCell ref="H453:H454"/>
    <mergeCell ref="J435:J436"/>
    <mergeCell ref="J437:J438"/>
    <mergeCell ref="H421:H422"/>
    <mergeCell ref="J463:J464"/>
    <mergeCell ref="I463:I464"/>
    <mergeCell ref="G379:G380"/>
    <mergeCell ref="H441:H442"/>
    <mergeCell ref="H443:H444"/>
    <mergeCell ref="I411:I412"/>
    <mergeCell ref="I435:I436"/>
    <mergeCell ref="G433:G434"/>
    <mergeCell ref="J439:J440"/>
    <mergeCell ref="H385:H386"/>
    <mergeCell ref="I403:I404"/>
    <mergeCell ref="G435:G436"/>
    <mergeCell ref="I417:I418"/>
    <mergeCell ref="I427:I428"/>
    <mergeCell ref="I423:I424"/>
    <mergeCell ref="J429:J430"/>
    <mergeCell ref="I451:I452"/>
    <mergeCell ref="J451:J452"/>
    <mergeCell ref="I379:I380"/>
    <mergeCell ref="J459:J460"/>
    <mergeCell ref="I373:I374"/>
    <mergeCell ref="I391:I392"/>
    <mergeCell ref="G467:G468"/>
    <mergeCell ref="I421:I422"/>
    <mergeCell ref="H437:H438"/>
    <mergeCell ref="J373:J374"/>
    <mergeCell ref="J377:J378"/>
    <mergeCell ref="I367:I368"/>
    <mergeCell ref="H357:H358"/>
    <mergeCell ref="H365:H366"/>
    <mergeCell ref="I413:I414"/>
    <mergeCell ref="J413:J414"/>
    <mergeCell ref="G421:G422"/>
    <mergeCell ref="G419:G420"/>
    <mergeCell ref="H397:H398"/>
    <mergeCell ref="I409:I410"/>
    <mergeCell ref="H399:H400"/>
    <mergeCell ref="I399:I400"/>
    <mergeCell ref="J415:J416"/>
    <mergeCell ref="J417:J418"/>
    <mergeCell ref="H391:H392"/>
    <mergeCell ref="G367:G368"/>
    <mergeCell ref="J401:J402"/>
    <mergeCell ref="J421:J422"/>
    <mergeCell ref="I383:I384"/>
    <mergeCell ref="I387:I388"/>
    <mergeCell ref="J391:J392"/>
    <mergeCell ref="G387:G388"/>
    <mergeCell ref="H401:H402"/>
    <mergeCell ref="I389:I390"/>
    <mergeCell ref="J405:J406"/>
    <mergeCell ref="I363:I364"/>
    <mergeCell ref="I365:I366"/>
    <mergeCell ref="G365:G366"/>
    <mergeCell ref="H367:H368"/>
    <mergeCell ref="G363:G364"/>
    <mergeCell ref="I359:I360"/>
    <mergeCell ref="I375:I376"/>
    <mergeCell ref="H375:H376"/>
    <mergeCell ref="H333:H334"/>
    <mergeCell ref="I287:I288"/>
    <mergeCell ref="I293:I294"/>
    <mergeCell ref="I297:I298"/>
    <mergeCell ref="I315:I316"/>
    <mergeCell ref="I323:I324"/>
    <mergeCell ref="I307:I308"/>
    <mergeCell ref="J313:J314"/>
    <mergeCell ref="J343:J344"/>
    <mergeCell ref="J361:J362"/>
    <mergeCell ref="J359:J360"/>
    <mergeCell ref="H343:H344"/>
    <mergeCell ref="I345:I346"/>
    <mergeCell ref="H347:H348"/>
    <mergeCell ref="G349:G350"/>
    <mergeCell ref="G327:G328"/>
    <mergeCell ref="G335:G336"/>
    <mergeCell ref="G333:G334"/>
    <mergeCell ref="J317:J318"/>
    <mergeCell ref="J319:J320"/>
    <mergeCell ref="J309:J310"/>
    <mergeCell ref="I355:I356"/>
    <mergeCell ref="H361:H362"/>
    <mergeCell ref="H349:H350"/>
    <mergeCell ref="G359:G360"/>
    <mergeCell ref="I347:I348"/>
    <mergeCell ref="G343:G344"/>
    <mergeCell ref="H337:H338"/>
    <mergeCell ref="J355:J356"/>
    <mergeCell ref="J341:J342"/>
    <mergeCell ref="I311:I312"/>
    <mergeCell ref="I353:I354"/>
    <mergeCell ref="J277:J278"/>
    <mergeCell ref="H271:H272"/>
    <mergeCell ref="I259:I260"/>
    <mergeCell ref="I251:I252"/>
    <mergeCell ref="J293:J294"/>
    <mergeCell ref="J281:J282"/>
    <mergeCell ref="J231:J232"/>
    <mergeCell ref="J227:J228"/>
    <mergeCell ref="I249:I250"/>
    <mergeCell ref="I247:I248"/>
    <mergeCell ref="I241:I242"/>
    <mergeCell ref="I223:I224"/>
    <mergeCell ref="H253:H254"/>
    <mergeCell ref="H221:H222"/>
    <mergeCell ref="H329:H330"/>
    <mergeCell ref="G331:G332"/>
    <mergeCell ref="J287:J288"/>
    <mergeCell ref="J327:J328"/>
    <mergeCell ref="J253:J254"/>
    <mergeCell ref="G251:G252"/>
    <mergeCell ref="I279:I280"/>
    <mergeCell ref="I277:I278"/>
    <mergeCell ref="I229:I230"/>
    <mergeCell ref="H217:H218"/>
    <mergeCell ref="I205:I206"/>
    <mergeCell ref="I203:I204"/>
    <mergeCell ref="I175:I176"/>
    <mergeCell ref="I245:I246"/>
    <mergeCell ref="G253:G254"/>
    <mergeCell ref="G255:G256"/>
    <mergeCell ref="H199:H200"/>
    <mergeCell ref="J199:J200"/>
    <mergeCell ref="I199:I200"/>
    <mergeCell ref="H197:H198"/>
    <mergeCell ref="J185:J186"/>
    <mergeCell ref="G181:G182"/>
    <mergeCell ref="I231:I232"/>
    <mergeCell ref="I225:I226"/>
    <mergeCell ref="I235:I236"/>
    <mergeCell ref="H215:H216"/>
    <mergeCell ref="G217:G218"/>
    <mergeCell ref="H223:H224"/>
    <mergeCell ref="I255:I256"/>
    <mergeCell ref="J191:J192"/>
    <mergeCell ref="J205:J206"/>
    <mergeCell ref="J229:J230"/>
    <mergeCell ref="J193:J194"/>
    <mergeCell ref="J225:J226"/>
    <mergeCell ref="H211:H212"/>
    <mergeCell ref="G229:G230"/>
    <mergeCell ref="J201:J202"/>
    <mergeCell ref="I221:I222"/>
    <mergeCell ref="J217:J218"/>
    <mergeCell ref="I189:I190"/>
    <mergeCell ref="I283:I284"/>
    <mergeCell ref="I281:I282"/>
    <mergeCell ref="J261:J262"/>
    <mergeCell ref="J257:J258"/>
    <mergeCell ref="G275:G276"/>
    <mergeCell ref="I269:I270"/>
    <mergeCell ref="I295:I296"/>
    <mergeCell ref="I291:I292"/>
    <mergeCell ref="I289:I290"/>
    <mergeCell ref="J279:J280"/>
    <mergeCell ref="H273:H274"/>
    <mergeCell ref="G273:G274"/>
    <mergeCell ref="G309:G310"/>
    <mergeCell ref="H283:H284"/>
    <mergeCell ref="I301:I302"/>
    <mergeCell ref="G267:G268"/>
    <mergeCell ref="J273:J274"/>
    <mergeCell ref="G293:G294"/>
    <mergeCell ref="G305:G306"/>
    <mergeCell ref="G307:G308"/>
    <mergeCell ref="G291:G292"/>
    <mergeCell ref="I299:I300"/>
    <mergeCell ref="I303:I304"/>
    <mergeCell ref="H279:H280"/>
    <mergeCell ref="I261:I262"/>
    <mergeCell ref="I285:I286"/>
    <mergeCell ref="I271:I272"/>
    <mergeCell ref="G277:G278"/>
    <mergeCell ref="J283:J284"/>
    <mergeCell ref="J269:J270"/>
    <mergeCell ref="J267:J268"/>
    <mergeCell ref="I275:I276"/>
    <mergeCell ref="I31:I32"/>
    <mergeCell ref="I41:I42"/>
    <mergeCell ref="H23:H24"/>
    <mergeCell ref="H85:H86"/>
    <mergeCell ref="H41:H42"/>
    <mergeCell ref="I87:I88"/>
    <mergeCell ref="G25:G26"/>
    <mergeCell ref="I141:I142"/>
    <mergeCell ref="I169:I170"/>
    <mergeCell ref="H97:H98"/>
    <mergeCell ref="I119:I120"/>
    <mergeCell ref="I113:I114"/>
    <mergeCell ref="H59:H60"/>
    <mergeCell ref="G63:G64"/>
    <mergeCell ref="G81:G82"/>
    <mergeCell ref="G29:G30"/>
    <mergeCell ref="H39:H40"/>
    <mergeCell ref="G53:G54"/>
    <mergeCell ref="G107:G108"/>
    <mergeCell ref="H127:H128"/>
    <mergeCell ref="I139:I140"/>
    <mergeCell ref="H131:H132"/>
    <mergeCell ref="H67:H68"/>
    <mergeCell ref="I67:I68"/>
    <mergeCell ref="G153:G154"/>
    <mergeCell ref="G97:G98"/>
    <mergeCell ref="G139:G140"/>
    <mergeCell ref="G119:G120"/>
    <mergeCell ref="I159:I160"/>
    <mergeCell ref="I35:I36"/>
    <mergeCell ref="H35:H36"/>
    <mergeCell ref="I103:I104"/>
    <mergeCell ref="H27:H28"/>
    <mergeCell ref="G33:G34"/>
    <mergeCell ref="G43:G44"/>
    <mergeCell ref="I25:I26"/>
    <mergeCell ref="I65:I66"/>
    <mergeCell ref="I115:I116"/>
    <mergeCell ref="H111:H112"/>
    <mergeCell ref="G77:G78"/>
    <mergeCell ref="H87:H88"/>
    <mergeCell ref="G177:G178"/>
    <mergeCell ref="G51:G52"/>
    <mergeCell ref="G49:G50"/>
    <mergeCell ref="H21:H22"/>
    <mergeCell ref="G23:G24"/>
    <mergeCell ref="G41:G42"/>
    <mergeCell ref="G137:G138"/>
    <mergeCell ref="I209:I210"/>
    <mergeCell ref="G189:G190"/>
    <mergeCell ref="H201:H202"/>
    <mergeCell ref="G167:G168"/>
    <mergeCell ref="H167:H168"/>
    <mergeCell ref="G157:G158"/>
    <mergeCell ref="G175:G176"/>
    <mergeCell ref="G165:G166"/>
    <mergeCell ref="G147:G148"/>
    <mergeCell ref="G133:G134"/>
    <mergeCell ref="H203:H204"/>
    <mergeCell ref="H207:H208"/>
    <mergeCell ref="H121:H122"/>
    <mergeCell ref="H55:H56"/>
    <mergeCell ref="H119:H120"/>
    <mergeCell ref="H117:H118"/>
    <mergeCell ref="G19:G20"/>
    <mergeCell ref="I151:I152"/>
    <mergeCell ref="I155:I156"/>
    <mergeCell ref="H161:H162"/>
    <mergeCell ref="H191:H192"/>
    <mergeCell ref="G21:G22"/>
    <mergeCell ref="I39:I40"/>
    <mergeCell ref="G87:G88"/>
    <mergeCell ref="I161:I162"/>
    <mergeCell ref="H179:H180"/>
    <mergeCell ref="G17:G18"/>
    <mergeCell ref="G121:G122"/>
    <mergeCell ref="H165:H166"/>
    <mergeCell ref="G315:G316"/>
    <mergeCell ref="G171:G172"/>
    <mergeCell ref="G159:G160"/>
    <mergeCell ref="H171:H172"/>
    <mergeCell ref="G197:G198"/>
    <mergeCell ref="H195:H196"/>
    <mergeCell ref="H181:H182"/>
    <mergeCell ref="I181:I182"/>
    <mergeCell ref="I177:I178"/>
    <mergeCell ref="G183:G184"/>
    <mergeCell ref="H137:H138"/>
    <mergeCell ref="I197:I198"/>
    <mergeCell ref="G143:G144"/>
    <mergeCell ref="I201:I202"/>
    <mergeCell ref="I193:I194"/>
    <mergeCell ref="I167:I168"/>
    <mergeCell ref="I171:I172"/>
    <mergeCell ref="I163:I164"/>
    <mergeCell ref="G205:G206"/>
    <mergeCell ref="H19:H20"/>
    <mergeCell ref="H65:H66"/>
    <mergeCell ref="G131:G132"/>
    <mergeCell ref="G11:G12"/>
    <mergeCell ref="G135:G136"/>
    <mergeCell ref="I179:I180"/>
    <mergeCell ref="J181:J182"/>
    <mergeCell ref="J127:J128"/>
    <mergeCell ref="D6:J7"/>
    <mergeCell ref="B331:F332"/>
    <mergeCell ref="B339:F340"/>
    <mergeCell ref="B333:F334"/>
    <mergeCell ref="H331:H332"/>
    <mergeCell ref="I335:I336"/>
    <mergeCell ref="G339:G340"/>
    <mergeCell ref="H339:H340"/>
    <mergeCell ref="H335:H336"/>
    <mergeCell ref="G283:G284"/>
    <mergeCell ref="H299:H300"/>
    <mergeCell ref="B287:F288"/>
    <mergeCell ref="H277:H278"/>
    <mergeCell ref="B285:F286"/>
    <mergeCell ref="B265:F266"/>
    <mergeCell ref="B249:F250"/>
    <mergeCell ref="B269:F270"/>
    <mergeCell ref="H249:H250"/>
    <mergeCell ref="B263:F264"/>
    <mergeCell ref="B19:F20"/>
    <mergeCell ref="B175:F176"/>
    <mergeCell ref="H213:H214"/>
    <mergeCell ref="G179:G180"/>
    <mergeCell ref="B267:F268"/>
    <mergeCell ref="B17:F18"/>
    <mergeCell ref="G149:G150"/>
    <mergeCell ref="H231:H232"/>
    <mergeCell ref="G431:G432"/>
    <mergeCell ref="H431:H432"/>
    <mergeCell ref="H429:H430"/>
    <mergeCell ref="H409:H410"/>
    <mergeCell ref="H415:H416"/>
    <mergeCell ref="H411:H412"/>
    <mergeCell ref="G443:G444"/>
    <mergeCell ref="C3:J5"/>
    <mergeCell ref="J207:J208"/>
    <mergeCell ref="H9:H10"/>
    <mergeCell ref="H133:H134"/>
    <mergeCell ref="J151:J152"/>
    <mergeCell ref="G93:G94"/>
    <mergeCell ref="H93:H94"/>
    <mergeCell ref="H29:H30"/>
    <mergeCell ref="I29:I30"/>
    <mergeCell ref="G145:G146"/>
    <mergeCell ref="G75:G76"/>
    <mergeCell ref="B79:F80"/>
    <mergeCell ref="B77:F78"/>
    <mergeCell ref="B195:F196"/>
    <mergeCell ref="H185:H186"/>
    <mergeCell ref="G9:G10"/>
    <mergeCell ref="B9:F10"/>
    <mergeCell ref="H11:H12"/>
    <mergeCell ref="B387:F388"/>
    <mergeCell ref="B385:F386"/>
    <mergeCell ref="B379:F380"/>
    <mergeCell ref="G381:G382"/>
    <mergeCell ref="B453:F454"/>
    <mergeCell ref="H403:H404"/>
    <mergeCell ref="B413:F414"/>
    <mergeCell ref="G413:G414"/>
    <mergeCell ref="H413:H414"/>
    <mergeCell ref="B397:F398"/>
    <mergeCell ref="B405:F406"/>
    <mergeCell ref="G415:G416"/>
    <mergeCell ref="B417:F418"/>
    <mergeCell ref="B415:F416"/>
    <mergeCell ref="G391:G392"/>
    <mergeCell ref="G399:G400"/>
    <mergeCell ref="H387:H388"/>
    <mergeCell ref="B401:F402"/>
    <mergeCell ref="B407:F408"/>
    <mergeCell ref="B449:F450"/>
    <mergeCell ref="B441:F442"/>
    <mergeCell ref="B409:F410"/>
    <mergeCell ref="G429:G430"/>
    <mergeCell ref="B399:F400"/>
    <mergeCell ref="B393:F394"/>
    <mergeCell ref="H389:H390"/>
    <mergeCell ref="B411:F412"/>
    <mergeCell ref="H445:H446"/>
    <mergeCell ref="H435:H436"/>
    <mergeCell ref="G427:G428"/>
    <mergeCell ref="B421:F422"/>
    <mergeCell ref="B419:F420"/>
    <mergeCell ref="B435:F436"/>
    <mergeCell ref="B391:F392"/>
    <mergeCell ref="B439:F440"/>
    <mergeCell ref="B437:F438"/>
    <mergeCell ref="B375:F376"/>
    <mergeCell ref="B431:F432"/>
    <mergeCell ref="B351:F352"/>
    <mergeCell ref="B365:F366"/>
    <mergeCell ref="B367:F368"/>
    <mergeCell ref="B363:F364"/>
    <mergeCell ref="H363:H364"/>
    <mergeCell ref="I369:I370"/>
    <mergeCell ref="I351:I352"/>
    <mergeCell ref="B395:F396"/>
    <mergeCell ref="I377:I378"/>
    <mergeCell ref="G377:G378"/>
    <mergeCell ref="B373:F374"/>
    <mergeCell ref="I405:I406"/>
    <mergeCell ref="H377:H378"/>
    <mergeCell ref="H383:H384"/>
    <mergeCell ref="I401:I402"/>
    <mergeCell ref="G383:G384"/>
    <mergeCell ref="I385:I386"/>
    <mergeCell ref="G393:G394"/>
    <mergeCell ref="B381:F382"/>
    <mergeCell ref="B403:F404"/>
    <mergeCell ref="G397:G398"/>
    <mergeCell ref="I371:I372"/>
    <mergeCell ref="H405:H406"/>
    <mergeCell ref="G395:G396"/>
    <mergeCell ref="G403:G404"/>
    <mergeCell ref="H393:H394"/>
    <mergeCell ref="G389:G390"/>
    <mergeCell ref="B389:F390"/>
    <mergeCell ref="B383:F384"/>
    <mergeCell ref="G373:G374"/>
    <mergeCell ref="G337:G338"/>
    <mergeCell ref="I343:I344"/>
    <mergeCell ref="H351:H352"/>
    <mergeCell ref="G355:G356"/>
    <mergeCell ref="I349:I350"/>
    <mergeCell ref="G351:G352"/>
    <mergeCell ref="H355:H356"/>
    <mergeCell ref="I357:I358"/>
    <mergeCell ref="H359:H360"/>
    <mergeCell ref="G361:G362"/>
    <mergeCell ref="G347:G348"/>
    <mergeCell ref="I361:I362"/>
    <mergeCell ref="G345:G346"/>
    <mergeCell ref="H345:H346"/>
    <mergeCell ref="I341:I342"/>
    <mergeCell ref="B307:F308"/>
    <mergeCell ref="B305:F306"/>
    <mergeCell ref="G329:G330"/>
    <mergeCell ref="H341:H342"/>
    <mergeCell ref="B341:F342"/>
    <mergeCell ref="G341:G342"/>
    <mergeCell ref="B337:F338"/>
    <mergeCell ref="B353:F354"/>
    <mergeCell ref="B359:F360"/>
    <mergeCell ref="B361:F362"/>
    <mergeCell ref="B357:F358"/>
    <mergeCell ref="G357:G358"/>
    <mergeCell ref="B355:F356"/>
    <mergeCell ref="H353:H354"/>
    <mergeCell ref="B335:F336"/>
    <mergeCell ref="G353:G354"/>
    <mergeCell ref="H323:H324"/>
    <mergeCell ref="I265:I266"/>
    <mergeCell ref="B157:F158"/>
    <mergeCell ref="B155:F156"/>
    <mergeCell ref="H159:H160"/>
    <mergeCell ref="I147:I148"/>
    <mergeCell ref="G185:G186"/>
    <mergeCell ref="H175:H176"/>
    <mergeCell ref="H187:H188"/>
    <mergeCell ref="G187:G188"/>
    <mergeCell ref="B153:F154"/>
    <mergeCell ref="B183:F184"/>
    <mergeCell ref="B167:F168"/>
    <mergeCell ref="B161:F162"/>
    <mergeCell ref="H149:H150"/>
    <mergeCell ref="G169:G170"/>
    <mergeCell ref="B169:F170"/>
    <mergeCell ref="B213:F214"/>
    <mergeCell ref="B199:F200"/>
    <mergeCell ref="B219:F220"/>
    <mergeCell ref="G209:G210"/>
    <mergeCell ref="B217:F218"/>
    <mergeCell ref="B191:F192"/>
    <mergeCell ref="B257:F258"/>
    <mergeCell ref="H255:H256"/>
    <mergeCell ref="H257:H258"/>
    <mergeCell ref="B201:F202"/>
    <mergeCell ref="I213:I214"/>
    <mergeCell ref="G151:G152"/>
    <mergeCell ref="G213:G214"/>
    <mergeCell ref="G223:G224"/>
    <mergeCell ref="I195:I196"/>
    <mergeCell ref="I207:I208"/>
    <mergeCell ref="G325:G326"/>
    <mergeCell ref="B275:F276"/>
    <mergeCell ref="B321:F322"/>
    <mergeCell ref="H259:H260"/>
    <mergeCell ref="B283:F284"/>
    <mergeCell ref="H313:H314"/>
    <mergeCell ref="B281:F282"/>
    <mergeCell ref="B299:F300"/>
    <mergeCell ref="G297:G298"/>
    <mergeCell ref="B313:F314"/>
    <mergeCell ref="H311:H312"/>
    <mergeCell ref="G295:G296"/>
    <mergeCell ref="G299:G300"/>
    <mergeCell ref="H301:H302"/>
    <mergeCell ref="B303:F304"/>
    <mergeCell ref="B189:F190"/>
    <mergeCell ref="B185:F186"/>
    <mergeCell ref="H295:H296"/>
    <mergeCell ref="G195:G196"/>
    <mergeCell ref="G269:G270"/>
    <mergeCell ref="G303:G304"/>
    <mergeCell ref="B197:F198"/>
    <mergeCell ref="B215:F216"/>
    <mergeCell ref="B209:F210"/>
    <mergeCell ref="B241:F242"/>
    <mergeCell ref="B319:F320"/>
    <mergeCell ref="H315:H316"/>
    <mergeCell ref="B293:F294"/>
    <mergeCell ref="B291:F292"/>
    <mergeCell ref="B289:F290"/>
    <mergeCell ref="B255:F256"/>
    <mergeCell ref="G289:G290"/>
    <mergeCell ref="G263:G264"/>
    <mergeCell ref="G259:G260"/>
    <mergeCell ref="B259:F260"/>
    <mergeCell ref="B277:F278"/>
    <mergeCell ref="H287:H288"/>
    <mergeCell ref="H289:H290"/>
    <mergeCell ref="B279:F280"/>
    <mergeCell ref="G287:G288"/>
    <mergeCell ref="H291:H292"/>
    <mergeCell ref="B271:F272"/>
    <mergeCell ref="H293:H294"/>
    <mergeCell ref="G281:G282"/>
    <mergeCell ref="H281:H282"/>
    <mergeCell ref="G285:G286"/>
    <mergeCell ref="B317:F318"/>
    <mergeCell ref="G279:G280"/>
    <mergeCell ref="G271:G272"/>
    <mergeCell ref="B273:F274"/>
    <mergeCell ref="I187:I188"/>
    <mergeCell ref="I183:I184"/>
    <mergeCell ref="B187:F188"/>
    <mergeCell ref="H225:H226"/>
    <mergeCell ref="H227:H228"/>
    <mergeCell ref="I227:I228"/>
    <mergeCell ref="B143:F144"/>
    <mergeCell ref="H141:H142"/>
    <mergeCell ref="G207:G208"/>
    <mergeCell ref="G211:G212"/>
    <mergeCell ref="G203:G204"/>
    <mergeCell ref="B211:F212"/>
    <mergeCell ref="H157:H158"/>
    <mergeCell ref="I215:I216"/>
    <mergeCell ref="I185:I186"/>
    <mergeCell ref="B193:F194"/>
    <mergeCell ref="B221:F222"/>
    <mergeCell ref="G225:G226"/>
    <mergeCell ref="H219:H220"/>
    <mergeCell ref="B149:F150"/>
    <mergeCell ref="I191:I192"/>
    <mergeCell ref="H143:H144"/>
    <mergeCell ref="H145:H146"/>
    <mergeCell ref="H183:H184"/>
    <mergeCell ref="I173:I174"/>
    <mergeCell ref="B145:F146"/>
    <mergeCell ref="B177:F178"/>
    <mergeCell ref="B147:F148"/>
    <mergeCell ref="B151:F152"/>
    <mergeCell ref="B237:F238"/>
    <mergeCell ref="H205:H206"/>
    <mergeCell ref="B205:F206"/>
    <mergeCell ref="G227:G228"/>
    <mergeCell ref="G215:G216"/>
    <mergeCell ref="G249:G250"/>
    <mergeCell ref="G257:G258"/>
    <mergeCell ref="H285:H286"/>
    <mergeCell ref="B139:F140"/>
    <mergeCell ref="B207:F208"/>
    <mergeCell ref="G201:G202"/>
    <mergeCell ref="H269:H270"/>
    <mergeCell ref="H261:H262"/>
    <mergeCell ref="B129:F130"/>
    <mergeCell ref="B159:F160"/>
    <mergeCell ref="B135:F136"/>
    <mergeCell ref="B181:F182"/>
    <mergeCell ref="G241:G242"/>
    <mergeCell ref="G231:G232"/>
    <mergeCell ref="G247:G248"/>
    <mergeCell ref="B261:F262"/>
    <mergeCell ref="B229:F230"/>
    <mergeCell ref="B253:F254"/>
    <mergeCell ref="B235:F236"/>
    <mergeCell ref="G245:G246"/>
    <mergeCell ref="G559:G560"/>
    <mergeCell ref="G191:G192"/>
    <mergeCell ref="H209:H210"/>
    <mergeCell ref="B171:F172"/>
    <mergeCell ref="G155:G156"/>
    <mergeCell ref="H169:H170"/>
    <mergeCell ref="H163:H164"/>
    <mergeCell ref="H193:H194"/>
    <mergeCell ref="G221:G222"/>
    <mergeCell ref="B223:F224"/>
    <mergeCell ref="G199:G200"/>
    <mergeCell ref="B203:F204"/>
    <mergeCell ref="B227:F228"/>
    <mergeCell ref="G141:G142"/>
    <mergeCell ref="H153:H154"/>
    <mergeCell ref="G261:G262"/>
    <mergeCell ref="J275:J276"/>
    <mergeCell ref="J255:J256"/>
    <mergeCell ref="J271:J272"/>
    <mergeCell ref="H263:H264"/>
    <mergeCell ref="I267:I268"/>
    <mergeCell ref="I253:I254"/>
    <mergeCell ref="H275:H276"/>
    <mergeCell ref="H267:H268"/>
    <mergeCell ref="I273:I274"/>
    <mergeCell ref="H245:H246"/>
    <mergeCell ref="H265:H266"/>
    <mergeCell ref="I257:I258"/>
    <mergeCell ref="G265:G266"/>
    <mergeCell ref="B247:F248"/>
    <mergeCell ref="B231:F232"/>
    <mergeCell ref="B233:F234"/>
    <mergeCell ref="I569:I570"/>
    <mergeCell ref="B473:F474"/>
    <mergeCell ref="G477:G478"/>
    <mergeCell ref="B445:F446"/>
    <mergeCell ref="B457:F458"/>
    <mergeCell ref="B447:F448"/>
    <mergeCell ref="J339:J340"/>
    <mergeCell ref="B315:F316"/>
    <mergeCell ref="B311:F312"/>
    <mergeCell ref="B345:F346"/>
    <mergeCell ref="I325:I326"/>
    <mergeCell ref="H325:H326"/>
    <mergeCell ref="H439:H440"/>
    <mergeCell ref="G463:G464"/>
    <mergeCell ref="B349:F350"/>
    <mergeCell ref="G573:G574"/>
    <mergeCell ref="H563:H564"/>
    <mergeCell ref="G571:G572"/>
    <mergeCell ref="J565:J566"/>
    <mergeCell ref="G313:G314"/>
    <mergeCell ref="I313:I314"/>
    <mergeCell ref="J315:J316"/>
    <mergeCell ref="B325:F326"/>
    <mergeCell ref="B323:F324"/>
    <mergeCell ref="H319:H320"/>
    <mergeCell ref="B327:F328"/>
    <mergeCell ref="G371:G372"/>
    <mergeCell ref="H369:H370"/>
    <mergeCell ref="B369:F370"/>
    <mergeCell ref="G369:G370"/>
    <mergeCell ref="B377:F378"/>
    <mergeCell ref="G375:G376"/>
    <mergeCell ref="G129:G130"/>
    <mergeCell ref="J209:J210"/>
    <mergeCell ref="H321:H322"/>
    <mergeCell ref="G323:G324"/>
    <mergeCell ref="H307:H308"/>
    <mergeCell ref="K325:K326"/>
    <mergeCell ref="G321:G322"/>
    <mergeCell ref="K321:K322"/>
    <mergeCell ref="K291:K292"/>
    <mergeCell ref="J291:J292"/>
    <mergeCell ref="I321:I322"/>
    <mergeCell ref="H309:H310"/>
    <mergeCell ref="K313:K314"/>
    <mergeCell ref="G219:G220"/>
    <mergeCell ref="H233:H234"/>
    <mergeCell ref="G235:G236"/>
    <mergeCell ref="H235:H236"/>
    <mergeCell ref="G233:G234"/>
    <mergeCell ref="J241:J242"/>
    <mergeCell ref="H241:H242"/>
    <mergeCell ref="H229:H230"/>
    <mergeCell ref="G311:G312"/>
    <mergeCell ref="G237:G238"/>
    <mergeCell ref="H237:H238"/>
    <mergeCell ref="I237:I238"/>
    <mergeCell ref="J237:J238"/>
    <mergeCell ref="K237:K238"/>
    <mergeCell ref="H305:H306"/>
    <mergeCell ref="G317:G318"/>
    <mergeCell ref="I305:I306"/>
    <mergeCell ref="J295:J296"/>
    <mergeCell ref="J303:J304"/>
    <mergeCell ref="B567:F568"/>
    <mergeCell ref="B575:F576"/>
    <mergeCell ref="G577:G578"/>
    <mergeCell ref="G567:G568"/>
    <mergeCell ref="B297:F298"/>
    <mergeCell ref="B301:F302"/>
    <mergeCell ref="B243:F244"/>
    <mergeCell ref="G243:G244"/>
    <mergeCell ref="H243:H244"/>
    <mergeCell ref="I243:I244"/>
    <mergeCell ref="H247:H248"/>
    <mergeCell ref="B251:F252"/>
    <mergeCell ref="K421:K422"/>
    <mergeCell ref="J311:J312"/>
    <mergeCell ref="J247:J248"/>
    <mergeCell ref="I263:I264"/>
    <mergeCell ref="J587:J588"/>
    <mergeCell ref="G471:G472"/>
    <mergeCell ref="H567:H568"/>
    <mergeCell ref="I575:I576"/>
    <mergeCell ref="B565:F566"/>
    <mergeCell ref="J571:J572"/>
    <mergeCell ref="B309:F310"/>
    <mergeCell ref="B329:F330"/>
    <mergeCell ref="B563:F564"/>
    <mergeCell ref="H559:H560"/>
    <mergeCell ref="H573:H574"/>
    <mergeCell ref="I571:I572"/>
    <mergeCell ref="J573:J574"/>
    <mergeCell ref="J561:J562"/>
    <mergeCell ref="H571:H572"/>
    <mergeCell ref="G575:G576"/>
    <mergeCell ref="B239:F240"/>
    <mergeCell ref="G239:G240"/>
    <mergeCell ref="H239:H240"/>
    <mergeCell ref="I239:I240"/>
    <mergeCell ref="J239:J240"/>
    <mergeCell ref="K239:K240"/>
    <mergeCell ref="K413:K414"/>
    <mergeCell ref="H425:H426"/>
    <mergeCell ref="J297:J298"/>
    <mergeCell ref="G301:G302"/>
    <mergeCell ref="H303:H304"/>
    <mergeCell ref="G439:G440"/>
    <mergeCell ref="H455:H456"/>
    <mergeCell ref="H457:H458"/>
    <mergeCell ref="G461:G462"/>
    <mergeCell ref="H447:H448"/>
    <mergeCell ref="I437:I438"/>
    <mergeCell ref="I439:I440"/>
    <mergeCell ref="I443:I444"/>
    <mergeCell ref="G447:G448"/>
    <mergeCell ref="H371:H372"/>
    <mergeCell ref="H373:H374"/>
    <mergeCell ref="B371:F372"/>
    <mergeCell ref="B347:F348"/>
    <mergeCell ref="H327:H328"/>
    <mergeCell ref="B295:F296"/>
    <mergeCell ref="H297:H298"/>
    <mergeCell ref="B343:F344"/>
    <mergeCell ref="I333:I334"/>
    <mergeCell ref="I317:I318"/>
    <mergeCell ref="H317:H318"/>
    <mergeCell ref="G319:G320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5"/>
  <dimension ref="A1:L144"/>
  <sheetViews>
    <sheetView showGridLines="0" view="pageBreakPreview" zoomScaleNormal="100" workbookViewId="0"/>
  </sheetViews>
  <sheetFormatPr defaultColWidth="9.109375" defaultRowHeight="12.6" x14ac:dyDescent="0.25"/>
  <cols>
    <col min="1" max="1" width="9.109375" style="1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8" width="9.33203125" style="1" customWidth="1"/>
    <col min="9" max="10" width="9.109375" style="1"/>
    <col min="11" max="11" width="10" style="1" customWidth="1"/>
    <col min="12" max="16384" width="9.109375" style="1"/>
  </cols>
  <sheetData>
    <row r="1" spans="2:11" ht="12" customHeight="1" x14ac:dyDescent="0.25"/>
    <row r="2" spans="2:11" ht="12" customHeight="1" x14ac:dyDescent="0.25"/>
    <row r="3" spans="2:11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2:11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2:11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2:11" ht="12" customHeight="1" x14ac:dyDescent="0.25">
      <c r="D6" s="227" t="s">
        <v>434</v>
      </c>
      <c r="E6" s="227"/>
      <c r="F6" s="227"/>
      <c r="G6" s="227"/>
      <c r="H6" s="227"/>
      <c r="I6" s="227"/>
      <c r="J6" s="227"/>
    </row>
    <row r="7" spans="2:11" ht="12" customHeight="1" x14ac:dyDescent="0.25">
      <c r="B7" s="3" t="s">
        <v>88</v>
      </c>
      <c r="D7" s="227"/>
      <c r="E7" s="227"/>
      <c r="F7" s="227"/>
      <c r="G7" s="227"/>
      <c r="H7" s="227"/>
      <c r="I7" s="227"/>
      <c r="J7" s="227"/>
    </row>
    <row r="8" spans="2:11" ht="12" customHeight="1" x14ac:dyDescent="0.25">
      <c r="B8" s="2"/>
    </row>
    <row r="9" spans="2:11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2:11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2:11" s="45" customFormat="1" ht="8.5500000000000007" customHeight="1" x14ac:dyDescent="0.25">
      <c r="B11" s="156" t="s">
        <v>868</v>
      </c>
      <c r="C11" s="156"/>
      <c r="D11" s="156"/>
      <c r="E11" s="156"/>
      <c r="F11" s="157"/>
      <c r="G11" s="251">
        <v>1995</v>
      </c>
      <c r="H11" s="304">
        <v>97</v>
      </c>
      <c r="I11" s="462">
        <v>96</v>
      </c>
      <c r="J11" s="302"/>
      <c r="K11" s="164">
        <v>1</v>
      </c>
    </row>
    <row r="12" spans="2:11" s="45" customFormat="1" ht="8.5500000000000007" customHeight="1" x14ac:dyDescent="0.25">
      <c r="B12" s="158"/>
      <c r="C12" s="158"/>
      <c r="D12" s="158"/>
      <c r="E12" s="158"/>
      <c r="F12" s="159"/>
      <c r="G12" s="252"/>
      <c r="H12" s="303"/>
      <c r="I12" s="462"/>
      <c r="J12" s="303"/>
      <c r="K12" s="165"/>
    </row>
    <row r="13" spans="2:11" s="45" customFormat="1" ht="8.5500000000000007" customHeight="1" x14ac:dyDescent="0.25">
      <c r="B13" s="156" t="s">
        <v>438</v>
      </c>
      <c r="C13" s="156"/>
      <c r="D13" s="156"/>
      <c r="E13" s="156"/>
      <c r="F13" s="157"/>
      <c r="G13" s="251">
        <v>2001</v>
      </c>
      <c r="H13" s="304">
        <v>95</v>
      </c>
      <c r="I13" s="160">
        <v>98</v>
      </c>
      <c r="J13" s="302"/>
      <c r="K13" s="164">
        <v>1</v>
      </c>
    </row>
    <row r="14" spans="2:11" s="45" customFormat="1" ht="8.5500000000000007" customHeight="1" x14ac:dyDescent="0.25">
      <c r="B14" s="158"/>
      <c r="C14" s="158"/>
      <c r="D14" s="158"/>
      <c r="E14" s="158"/>
      <c r="F14" s="159"/>
      <c r="G14" s="252"/>
      <c r="H14" s="303"/>
      <c r="I14" s="161"/>
      <c r="J14" s="303"/>
      <c r="K14" s="165"/>
    </row>
    <row r="15" spans="2:11" s="45" customFormat="1" ht="8.5500000000000007" customHeight="1" x14ac:dyDescent="0.25">
      <c r="B15" s="156" t="s">
        <v>438</v>
      </c>
      <c r="C15" s="156"/>
      <c r="D15" s="156"/>
      <c r="E15" s="156"/>
      <c r="F15" s="157"/>
      <c r="G15" s="251">
        <v>2002</v>
      </c>
      <c r="H15" s="304">
        <v>95</v>
      </c>
      <c r="I15" s="462">
        <v>97</v>
      </c>
      <c r="J15" s="302"/>
      <c r="K15" s="164">
        <v>2</v>
      </c>
    </row>
    <row r="16" spans="2:11" s="45" customFormat="1" ht="8.5500000000000007" customHeight="1" x14ac:dyDescent="0.25">
      <c r="B16" s="158"/>
      <c r="C16" s="158"/>
      <c r="D16" s="158"/>
      <c r="E16" s="158"/>
      <c r="F16" s="159"/>
      <c r="G16" s="252"/>
      <c r="H16" s="303"/>
      <c r="I16" s="462"/>
      <c r="J16" s="303"/>
      <c r="K16" s="165"/>
    </row>
    <row r="17" spans="2:11" s="45" customFormat="1" ht="8.5500000000000007" customHeight="1" x14ac:dyDescent="0.25">
      <c r="B17" s="156" t="s">
        <v>438</v>
      </c>
      <c r="C17" s="156"/>
      <c r="D17" s="156"/>
      <c r="E17" s="156"/>
      <c r="F17" s="157"/>
      <c r="G17" s="251">
        <v>2003</v>
      </c>
      <c r="H17" s="304">
        <v>97</v>
      </c>
      <c r="I17" s="462">
        <v>93</v>
      </c>
      <c r="J17" s="302"/>
      <c r="K17" s="164">
        <v>1</v>
      </c>
    </row>
    <row r="18" spans="2:11" s="45" customFormat="1" ht="8.5500000000000007" customHeight="1" x14ac:dyDescent="0.25">
      <c r="B18" s="158"/>
      <c r="C18" s="158"/>
      <c r="D18" s="158"/>
      <c r="E18" s="158"/>
      <c r="F18" s="159"/>
      <c r="G18" s="252"/>
      <c r="H18" s="303"/>
      <c r="I18" s="462"/>
      <c r="J18" s="303"/>
      <c r="K18" s="165"/>
    </row>
    <row r="19" spans="2:11" s="45" customFormat="1" ht="8.5500000000000007" customHeight="1" x14ac:dyDescent="0.25">
      <c r="B19" s="156" t="s">
        <v>438</v>
      </c>
      <c r="C19" s="156"/>
      <c r="D19" s="156"/>
      <c r="E19" s="156"/>
      <c r="F19" s="157"/>
      <c r="G19" s="251">
        <v>2006</v>
      </c>
      <c r="H19" s="304">
        <v>96</v>
      </c>
      <c r="I19" s="462">
        <v>96</v>
      </c>
      <c r="J19" s="302"/>
      <c r="K19" s="164">
        <v>2</v>
      </c>
    </row>
    <row r="20" spans="2:11" s="45" customFormat="1" ht="8.5500000000000007" customHeight="1" x14ac:dyDescent="0.25">
      <c r="B20" s="158"/>
      <c r="C20" s="158"/>
      <c r="D20" s="158"/>
      <c r="E20" s="158"/>
      <c r="F20" s="159"/>
      <c r="G20" s="252"/>
      <c r="H20" s="303"/>
      <c r="I20" s="462"/>
      <c r="J20" s="303"/>
      <c r="K20" s="165"/>
    </row>
    <row r="21" spans="2:11" s="45" customFormat="1" ht="8.5500000000000007" customHeight="1" x14ac:dyDescent="0.25">
      <c r="B21" s="156" t="s">
        <v>438</v>
      </c>
      <c r="C21" s="156"/>
      <c r="D21" s="156"/>
      <c r="E21" s="156"/>
      <c r="F21" s="157"/>
      <c r="G21" s="251">
        <v>2007</v>
      </c>
      <c r="H21" s="304" t="s">
        <v>626</v>
      </c>
      <c r="I21" s="462">
        <v>95</v>
      </c>
      <c r="J21" s="302"/>
      <c r="K21" s="164">
        <v>1</v>
      </c>
    </row>
    <row r="22" spans="2:11" s="45" customFormat="1" ht="8.5500000000000007" customHeight="1" x14ac:dyDescent="0.25">
      <c r="B22" s="158"/>
      <c r="C22" s="158"/>
      <c r="D22" s="158"/>
      <c r="E22" s="158"/>
      <c r="F22" s="159"/>
      <c r="G22" s="252"/>
      <c r="H22" s="303"/>
      <c r="I22" s="462"/>
      <c r="J22" s="303"/>
      <c r="K22" s="165"/>
    </row>
    <row r="23" spans="2:11" s="45" customFormat="1" ht="8.5500000000000007" customHeight="1" x14ac:dyDescent="0.25">
      <c r="B23" s="156" t="s">
        <v>911</v>
      </c>
      <c r="C23" s="156"/>
      <c r="D23" s="156"/>
      <c r="E23" s="156"/>
      <c r="F23" s="157"/>
      <c r="G23" s="251">
        <v>1994</v>
      </c>
      <c r="H23" s="304"/>
      <c r="I23" s="462"/>
      <c r="J23" s="302"/>
      <c r="K23" s="164">
        <v>1</v>
      </c>
    </row>
    <row r="24" spans="2:11" s="45" customFormat="1" ht="8.5500000000000007" customHeight="1" x14ac:dyDescent="0.25">
      <c r="B24" s="158"/>
      <c r="C24" s="158"/>
      <c r="D24" s="158"/>
      <c r="E24" s="158"/>
      <c r="F24" s="159"/>
      <c r="G24" s="252"/>
      <c r="H24" s="303"/>
      <c r="I24" s="462"/>
      <c r="J24" s="303"/>
      <c r="K24" s="165"/>
    </row>
    <row r="25" spans="2:11" s="45" customFormat="1" ht="8.5500000000000007" customHeight="1" x14ac:dyDescent="0.25">
      <c r="B25" s="156" t="s">
        <v>911</v>
      </c>
      <c r="C25" s="156"/>
      <c r="D25" s="156"/>
      <c r="E25" s="156"/>
      <c r="F25" s="157"/>
      <c r="G25" s="251">
        <v>1995</v>
      </c>
      <c r="H25" s="304"/>
      <c r="I25" s="462"/>
      <c r="J25" s="302"/>
      <c r="K25" s="164">
        <v>1</v>
      </c>
    </row>
    <row r="26" spans="2:11" s="45" customFormat="1" ht="8.5500000000000007" customHeight="1" x14ac:dyDescent="0.25">
      <c r="B26" s="158"/>
      <c r="C26" s="158"/>
      <c r="D26" s="158"/>
      <c r="E26" s="158"/>
      <c r="F26" s="159"/>
      <c r="G26" s="252"/>
      <c r="H26" s="303"/>
      <c r="I26" s="462"/>
      <c r="J26" s="303"/>
      <c r="K26" s="165"/>
    </row>
    <row r="27" spans="2:11" s="45" customFormat="1" ht="8.5500000000000007" customHeight="1" x14ac:dyDescent="0.25">
      <c r="B27" s="156" t="s">
        <v>940</v>
      </c>
      <c r="C27" s="156"/>
      <c r="D27" s="156"/>
      <c r="E27" s="156"/>
      <c r="F27" s="157"/>
      <c r="G27" s="251">
        <v>2000</v>
      </c>
      <c r="H27" s="304">
        <v>90</v>
      </c>
      <c r="I27" s="462"/>
      <c r="J27" s="302"/>
      <c r="K27" s="164">
        <v>1</v>
      </c>
    </row>
    <row r="28" spans="2:11" s="45" customFormat="1" ht="8.5500000000000007" customHeight="1" x14ac:dyDescent="0.25">
      <c r="B28" s="158"/>
      <c r="C28" s="158"/>
      <c r="D28" s="158"/>
      <c r="E28" s="158"/>
      <c r="F28" s="159"/>
      <c r="G28" s="252"/>
      <c r="H28" s="303"/>
      <c r="I28" s="462"/>
      <c r="J28" s="303"/>
      <c r="K28" s="165"/>
    </row>
    <row r="29" spans="2:11" s="45" customFormat="1" ht="8.5500000000000007" customHeight="1" x14ac:dyDescent="0.25">
      <c r="B29" s="156" t="s">
        <v>890</v>
      </c>
      <c r="C29" s="156"/>
      <c r="D29" s="156"/>
      <c r="E29" s="156"/>
      <c r="F29" s="157"/>
      <c r="G29" s="251">
        <v>1992</v>
      </c>
      <c r="H29" s="304">
        <v>95</v>
      </c>
      <c r="I29" s="462"/>
      <c r="J29" s="302"/>
      <c r="K29" s="164">
        <v>3</v>
      </c>
    </row>
    <row r="30" spans="2:11" s="45" customFormat="1" ht="8.5500000000000007" customHeight="1" x14ac:dyDescent="0.25">
      <c r="B30" s="158"/>
      <c r="C30" s="158"/>
      <c r="D30" s="158"/>
      <c r="E30" s="158"/>
      <c r="F30" s="159"/>
      <c r="G30" s="252"/>
      <c r="H30" s="303"/>
      <c r="I30" s="462"/>
      <c r="J30" s="303"/>
      <c r="K30" s="165"/>
    </row>
    <row r="31" spans="2:11" s="45" customFormat="1" ht="8.5500000000000007" customHeight="1" x14ac:dyDescent="0.25">
      <c r="B31" s="156" t="s">
        <v>890</v>
      </c>
      <c r="C31" s="156"/>
      <c r="D31" s="156"/>
      <c r="E31" s="156"/>
      <c r="F31" s="157"/>
      <c r="G31" s="251">
        <v>1994</v>
      </c>
      <c r="H31" s="304">
        <v>96</v>
      </c>
      <c r="I31" s="462"/>
      <c r="J31" s="302"/>
      <c r="K31" s="164">
        <v>3</v>
      </c>
    </row>
    <row r="32" spans="2:11" s="45" customFormat="1" ht="8.5500000000000007" customHeight="1" x14ac:dyDescent="0.25">
      <c r="B32" s="158"/>
      <c r="C32" s="158"/>
      <c r="D32" s="158"/>
      <c r="E32" s="158"/>
      <c r="F32" s="159"/>
      <c r="G32" s="252"/>
      <c r="H32" s="303"/>
      <c r="I32" s="462"/>
      <c r="J32" s="303"/>
      <c r="K32" s="165"/>
    </row>
    <row r="33" spans="2:11" s="45" customFormat="1" ht="8.5500000000000007" customHeight="1" x14ac:dyDescent="0.25">
      <c r="B33" s="156" t="s">
        <v>890</v>
      </c>
      <c r="C33" s="156"/>
      <c r="D33" s="156"/>
      <c r="E33" s="156"/>
      <c r="F33" s="157"/>
      <c r="G33" s="251">
        <v>1995</v>
      </c>
      <c r="H33" s="304">
        <v>94</v>
      </c>
      <c r="I33" s="462"/>
      <c r="J33" s="302"/>
      <c r="K33" s="164">
        <v>1</v>
      </c>
    </row>
    <row r="34" spans="2:11" s="45" customFormat="1" ht="8.5500000000000007" customHeight="1" x14ac:dyDescent="0.25">
      <c r="B34" s="158"/>
      <c r="C34" s="158"/>
      <c r="D34" s="158"/>
      <c r="E34" s="158"/>
      <c r="F34" s="159"/>
      <c r="G34" s="252"/>
      <c r="H34" s="303"/>
      <c r="I34" s="462"/>
      <c r="J34" s="303"/>
      <c r="K34" s="165"/>
    </row>
    <row r="35" spans="2:11" s="45" customFormat="1" ht="8.5500000000000007" customHeight="1" x14ac:dyDescent="0.25">
      <c r="B35" s="156" t="s">
        <v>393</v>
      </c>
      <c r="C35" s="156"/>
      <c r="D35" s="156"/>
      <c r="E35" s="156"/>
      <c r="F35" s="157"/>
      <c r="G35" s="251">
        <v>1994</v>
      </c>
      <c r="H35" s="304">
        <v>96</v>
      </c>
      <c r="I35" s="462">
        <v>93</v>
      </c>
      <c r="J35" s="302"/>
      <c r="K35" s="164">
        <v>2</v>
      </c>
    </row>
    <row r="36" spans="2:11" s="45" customFormat="1" ht="8.5500000000000007" customHeight="1" x14ac:dyDescent="0.25">
      <c r="B36" s="158"/>
      <c r="C36" s="158"/>
      <c r="D36" s="158"/>
      <c r="E36" s="158"/>
      <c r="F36" s="159"/>
      <c r="G36" s="252"/>
      <c r="H36" s="303"/>
      <c r="I36" s="462"/>
      <c r="J36" s="303"/>
      <c r="K36" s="165"/>
    </row>
    <row r="37" spans="2:11" s="45" customFormat="1" ht="8.5500000000000007" customHeight="1" x14ac:dyDescent="0.25">
      <c r="B37" s="156" t="s">
        <v>393</v>
      </c>
      <c r="C37" s="156"/>
      <c r="D37" s="156"/>
      <c r="E37" s="156"/>
      <c r="F37" s="157"/>
      <c r="G37" s="251">
        <v>1997</v>
      </c>
      <c r="H37" s="304">
        <v>96</v>
      </c>
      <c r="I37" s="462">
        <v>92</v>
      </c>
      <c r="J37" s="302"/>
      <c r="K37" s="164">
        <v>2</v>
      </c>
    </row>
    <row r="38" spans="2:11" s="45" customFormat="1" ht="8.5500000000000007" customHeight="1" x14ac:dyDescent="0.25">
      <c r="B38" s="158"/>
      <c r="C38" s="158"/>
      <c r="D38" s="158"/>
      <c r="E38" s="158"/>
      <c r="F38" s="159"/>
      <c r="G38" s="252"/>
      <c r="H38" s="303"/>
      <c r="I38" s="462"/>
      <c r="J38" s="303"/>
      <c r="K38" s="165"/>
    </row>
    <row r="39" spans="2:11" s="45" customFormat="1" ht="8.5500000000000007" customHeight="1" x14ac:dyDescent="0.25">
      <c r="B39" s="156" t="s">
        <v>393</v>
      </c>
      <c r="C39" s="156"/>
      <c r="D39" s="156"/>
      <c r="E39" s="156"/>
      <c r="F39" s="157"/>
      <c r="G39" s="251">
        <v>1998</v>
      </c>
      <c r="H39" s="304" t="s">
        <v>557</v>
      </c>
      <c r="I39" s="462"/>
      <c r="J39" s="302"/>
      <c r="K39" s="164">
        <v>2</v>
      </c>
    </row>
    <row r="40" spans="2:11" s="45" customFormat="1" ht="8.5500000000000007" customHeight="1" x14ac:dyDescent="0.25">
      <c r="B40" s="158"/>
      <c r="C40" s="158"/>
      <c r="D40" s="158"/>
      <c r="E40" s="158"/>
      <c r="F40" s="159"/>
      <c r="G40" s="252"/>
      <c r="H40" s="303"/>
      <c r="I40" s="462"/>
      <c r="J40" s="303"/>
      <c r="K40" s="165"/>
    </row>
    <row r="41" spans="2:11" s="45" customFormat="1" ht="8.5500000000000007" customHeight="1" x14ac:dyDescent="0.25">
      <c r="B41" s="156" t="s">
        <v>393</v>
      </c>
      <c r="C41" s="156"/>
      <c r="D41" s="156"/>
      <c r="E41" s="156"/>
      <c r="F41" s="157"/>
      <c r="G41" s="251">
        <v>1999</v>
      </c>
      <c r="H41" s="304">
        <v>97</v>
      </c>
      <c r="I41" s="462"/>
      <c r="J41" s="162" t="s">
        <v>928</v>
      </c>
      <c r="K41" s="164">
        <v>1</v>
      </c>
    </row>
    <row r="42" spans="2:11" s="45" customFormat="1" ht="8.5500000000000007" customHeight="1" x14ac:dyDescent="0.25">
      <c r="B42" s="158"/>
      <c r="C42" s="158"/>
      <c r="D42" s="158"/>
      <c r="E42" s="158"/>
      <c r="F42" s="159"/>
      <c r="G42" s="252"/>
      <c r="H42" s="303"/>
      <c r="I42" s="462"/>
      <c r="J42" s="163"/>
      <c r="K42" s="165"/>
    </row>
    <row r="43" spans="2:11" s="45" customFormat="1" ht="8.5500000000000007" customHeight="1" x14ac:dyDescent="0.25">
      <c r="B43" s="156" t="s">
        <v>393</v>
      </c>
      <c r="C43" s="156"/>
      <c r="D43" s="156"/>
      <c r="E43" s="156"/>
      <c r="F43" s="157"/>
      <c r="G43" s="251">
        <v>2003</v>
      </c>
      <c r="H43" s="304" t="s">
        <v>42</v>
      </c>
      <c r="I43" s="462"/>
      <c r="J43" s="302"/>
      <c r="K43" s="164">
        <v>2</v>
      </c>
    </row>
    <row r="44" spans="2:11" s="45" customFormat="1" ht="8.5500000000000007" customHeight="1" x14ac:dyDescent="0.25">
      <c r="B44" s="158"/>
      <c r="C44" s="158"/>
      <c r="D44" s="158"/>
      <c r="E44" s="158"/>
      <c r="F44" s="159"/>
      <c r="G44" s="252"/>
      <c r="H44" s="303"/>
      <c r="I44" s="462"/>
      <c r="J44" s="303"/>
      <c r="K44" s="165"/>
    </row>
    <row r="45" spans="2:11" s="45" customFormat="1" ht="8.5500000000000007" customHeight="1" x14ac:dyDescent="0.25">
      <c r="B45" s="156" t="s">
        <v>393</v>
      </c>
      <c r="C45" s="156"/>
      <c r="D45" s="156"/>
      <c r="E45" s="156"/>
      <c r="F45" s="157"/>
      <c r="G45" s="251">
        <v>2006</v>
      </c>
      <c r="H45" s="304">
        <v>98</v>
      </c>
      <c r="I45" s="462"/>
      <c r="J45" s="302"/>
      <c r="K45" s="164">
        <v>1</v>
      </c>
    </row>
    <row r="46" spans="2:11" s="45" customFormat="1" ht="8.5500000000000007" customHeight="1" x14ac:dyDescent="0.25">
      <c r="B46" s="158"/>
      <c r="C46" s="158"/>
      <c r="D46" s="158"/>
      <c r="E46" s="158"/>
      <c r="F46" s="159"/>
      <c r="G46" s="252"/>
      <c r="H46" s="303"/>
      <c r="I46" s="462"/>
      <c r="J46" s="303"/>
      <c r="K46" s="165"/>
    </row>
    <row r="47" spans="2:11" s="45" customFormat="1" ht="8.5500000000000007" customHeight="1" x14ac:dyDescent="0.25">
      <c r="B47" s="156" t="s">
        <v>393</v>
      </c>
      <c r="C47" s="156"/>
      <c r="D47" s="156"/>
      <c r="E47" s="156"/>
      <c r="F47" s="157"/>
      <c r="G47" s="251">
        <v>2007</v>
      </c>
      <c r="H47" s="304">
        <v>97</v>
      </c>
      <c r="I47" s="462"/>
      <c r="J47" s="302"/>
      <c r="K47" s="164">
        <v>1</v>
      </c>
    </row>
    <row r="48" spans="2:11" s="45" customFormat="1" ht="8.5500000000000007" customHeight="1" x14ac:dyDescent="0.25">
      <c r="B48" s="158"/>
      <c r="C48" s="158"/>
      <c r="D48" s="158"/>
      <c r="E48" s="158"/>
      <c r="F48" s="159"/>
      <c r="G48" s="252"/>
      <c r="H48" s="303"/>
      <c r="I48" s="462"/>
      <c r="J48" s="303"/>
      <c r="K48" s="165"/>
    </row>
    <row r="49" spans="2:11" s="45" customFormat="1" ht="8.5500000000000007" customHeight="1" x14ac:dyDescent="0.25">
      <c r="B49" s="156" t="s">
        <v>908</v>
      </c>
      <c r="C49" s="156"/>
      <c r="D49" s="156"/>
      <c r="E49" s="156"/>
      <c r="F49" s="157"/>
      <c r="G49" s="251">
        <v>2009</v>
      </c>
      <c r="H49" s="304" t="s">
        <v>626</v>
      </c>
      <c r="I49" s="462"/>
      <c r="J49" s="302"/>
      <c r="K49" s="164">
        <v>1</v>
      </c>
    </row>
    <row r="50" spans="2:11" s="45" customFormat="1" ht="8.5500000000000007" customHeight="1" x14ac:dyDescent="0.25">
      <c r="B50" s="158"/>
      <c r="C50" s="158"/>
      <c r="D50" s="158"/>
      <c r="E50" s="158"/>
      <c r="F50" s="159"/>
      <c r="G50" s="252"/>
      <c r="H50" s="303"/>
      <c r="I50" s="462"/>
      <c r="J50" s="303"/>
      <c r="K50" s="165"/>
    </row>
    <row r="51" spans="2:11" s="45" customFormat="1" ht="8.5500000000000007" customHeight="1" x14ac:dyDescent="0.25">
      <c r="B51" s="156" t="s">
        <v>908</v>
      </c>
      <c r="C51" s="156"/>
      <c r="D51" s="156"/>
      <c r="E51" s="156"/>
      <c r="F51" s="157"/>
      <c r="G51" s="251">
        <v>2013</v>
      </c>
      <c r="H51" s="304">
        <v>91</v>
      </c>
      <c r="I51" s="462"/>
      <c r="J51" s="302" t="s">
        <v>1593</v>
      </c>
      <c r="K51" s="164">
        <v>1</v>
      </c>
    </row>
    <row r="52" spans="2:11" s="45" customFormat="1" ht="8.5500000000000007" customHeight="1" x14ac:dyDescent="0.25">
      <c r="B52" s="158"/>
      <c r="C52" s="158"/>
      <c r="D52" s="158"/>
      <c r="E52" s="158"/>
      <c r="F52" s="159"/>
      <c r="G52" s="252"/>
      <c r="H52" s="303"/>
      <c r="I52" s="462"/>
      <c r="J52" s="303"/>
      <c r="K52" s="165"/>
    </row>
    <row r="53" spans="2:11" s="45" customFormat="1" ht="8.5500000000000007" customHeight="1" x14ac:dyDescent="0.25">
      <c r="B53" s="156" t="s">
        <v>936</v>
      </c>
      <c r="C53" s="156"/>
      <c r="D53" s="156"/>
      <c r="E53" s="156"/>
      <c r="F53" s="157"/>
      <c r="G53" s="251">
        <v>2012</v>
      </c>
      <c r="H53" s="304">
        <v>94</v>
      </c>
      <c r="I53" s="462"/>
      <c r="J53" s="302"/>
      <c r="K53" s="164">
        <v>1</v>
      </c>
    </row>
    <row r="54" spans="2:11" s="45" customFormat="1" ht="8.5500000000000007" customHeight="1" x14ac:dyDescent="0.25">
      <c r="B54" s="158"/>
      <c r="C54" s="158"/>
      <c r="D54" s="158"/>
      <c r="E54" s="158"/>
      <c r="F54" s="159"/>
      <c r="G54" s="252"/>
      <c r="H54" s="303"/>
      <c r="I54" s="462"/>
      <c r="J54" s="303"/>
      <c r="K54" s="165"/>
    </row>
    <row r="55" spans="2:11" s="45" customFormat="1" ht="8.5500000000000007" customHeight="1" x14ac:dyDescent="0.25">
      <c r="B55" s="156" t="s">
        <v>907</v>
      </c>
      <c r="C55" s="156"/>
      <c r="D55" s="156"/>
      <c r="E55" s="156"/>
      <c r="F55" s="157"/>
      <c r="G55" s="251">
        <v>2011</v>
      </c>
      <c r="H55" s="304">
        <v>93</v>
      </c>
      <c r="I55" s="462"/>
      <c r="J55" s="302"/>
      <c r="K55" s="164">
        <v>1</v>
      </c>
    </row>
    <row r="56" spans="2:11" s="45" customFormat="1" ht="8.5500000000000007" customHeight="1" x14ac:dyDescent="0.25">
      <c r="B56" s="158"/>
      <c r="C56" s="158"/>
      <c r="D56" s="158"/>
      <c r="E56" s="158"/>
      <c r="F56" s="159"/>
      <c r="G56" s="252"/>
      <c r="H56" s="303"/>
      <c r="I56" s="462"/>
      <c r="J56" s="303"/>
      <c r="K56" s="165"/>
    </row>
    <row r="57" spans="2:11" s="45" customFormat="1" ht="8.5500000000000007" customHeight="1" x14ac:dyDescent="0.25">
      <c r="B57" s="156" t="s">
        <v>1462</v>
      </c>
      <c r="C57" s="156"/>
      <c r="D57" s="156"/>
      <c r="E57" s="156"/>
      <c r="F57" s="157"/>
      <c r="G57" s="251">
        <v>2020</v>
      </c>
      <c r="H57" s="304"/>
      <c r="I57" s="462"/>
      <c r="J57" s="302"/>
      <c r="K57" s="164">
        <v>3</v>
      </c>
    </row>
    <row r="58" spans="2:11" s="45" customFormat="1" ht="8.5500000000000007" customHeight="1" x14ac:dyDescent="0.25">
      <c r="B58" s="158"/>
      <c r="C58" s="158"/>
      <c r="D58" s="158"/>
      <c r="E58" s="158"/>
      <c r="F58" s="159"/>
      <c r="G58" s="252"/>
      <c r="H58" s="303"/>
      <c r="I58" s="462"/>
      <c r="J58" s="303"/>
      <c r="K58" s="165"/>
    </row>
    <row r="59" spans="2:11" s="45" customFormat="1" ht="8.5500000000000007" customHeight="1" x14ac:dyDescent="0.25">
      <c r="B59" s="156" t="s">
        <v>1462</v>
      </c>
      <c r="C59" s="156"/>
      <c r="D59" s="156"/>
      <c r="E59" s="156"/>
      <c r="F59" s="157"/>
      <c r="G59" s="251">
        <v>2021</v>
      </c>
      <c r="H59" s="304"/>
      <c r="I59" s="462"/>
      <c r="J59" s="302"/>
      <c r="K59" s="164">
        <v>4</v>
      </c>
    </row>
    <row r="60" spans="2:11" s="45" customFormat="1" ht="8.5500000000000007" customHeight="1" x14ac:dyDescent="0.25">
      <c r="B60" s="158"/>
      <c r="C60" s="158"/>
      <c r="D60" s="158"/>
      <c r="E60" s="158"/>
      <c r="F60" s="159"/>
      <c r="G60" s="252"/>
      <c r="H60" s="303"/>
      <c r="I60" s="462"/>
      <c r="J60" s="303"/>
      <c r="K60" s="165"/>
    </row>
    <row r="61" spans="2:11" s="45" customFormat="1" ht="8.5500000000000007" customHeight="1" x14ac:dyDescent="0.25">
      <c r="B61" s="156" t="s">
        <v>909</v>
      </c>
      <c r="C61" s="156"/>
      <c r="D61" s="156"/>
      <c r="E61" s="156"/>
      <c r="F61" s="157"/>
      <c r="G61" s="251">
        <v>2012</v>
      </c>
      <c r="H61" s="304">
        <v>92</v>
      </c>
      <c r="I61" s="462"/>
      <c r="J61" s="302"/>
      <c r="K61" s="164">
        <v>1</v>
      </c>
    </row>
    <row r="62" spans="2:11" s="45" customFormat="1" ht="8.5500000000000007" customHeight="1" x14ac:dyDescent="0.25">
      <c r="B62" s="158"/>
      <c r="C62" s="158"/>
      <c r="D62" s="158"/>
      <c r="E62" s="158"/>
      <c r="F62" s="159"/>
      <c r="G62" s="252"/>
      <c r="H62" s="303"/>
      <c r="I62" s="462"/>
      <c r="J62" s="303"/>
      <c r="K62" s="165"/>
    </row>
    <row r="63" spans="2:11" s="45" customFormat="1" ht="8.5500000000000007" customHeight="1" x14ac:dyDescent="0.25">
      <c r="B63" s="156" t="s">
        <v>910</v>
      </c>
      <c r="C63" s="156"/>
      <c r="D63" s="156"/>
      <c r="E63" s="156"/>
      <c r="F63" s="157"/>
      <c r="G63" s="251">
        <v>2009</v>
      </c>
      <c r="H63" s="304">
        <v>96</v>
      </c>
      <c r="I63" s="462"/>
      <c r="J63" s="302"/>
      <c r="K63" s="164">
        <v>1</v>
      </c>
    </row>
    <row r="64" spans="2:11" s="45" customFormat="1" ht="8.5500000000000007" customHeight="1" x14ac:dyDescent="0.25">
      <c r="B64" s="158"/>
      <c r="C64" s="158"/>
      <c r="D64" s="158"/>
      <c r="E64" s="158"/>
      <c r="F64" s="159"/>
      <c r="G64" s="252"/>
      <c r="H64" s="303"/>
      <c r="I64" s="462"/>
      <c r="J64" s="303"/>
      <c r="K64" s="165"/>
    </row>
    <row r="65" spans="2:11" s="45" customFormat="1" ht="8.5500000000000007" customHeight="1" x14ac:dyDescent="0.25">
      <c r="B65" s="156" t="s">
        <v>939</v>
      </c>
      <c r="C65" s="156"/>
      <c r="D65" s="156"/>
      <c r="E65" s="156"/>
      <c r="F65" s="157"/>
      <c r="G65" s="251">
        <v>1994</v>
      </c>
      <c r="H65" s="304">
        <v>93</v>
      </c>
      <c r="I65" s="462"/>
      <c r="J65" s="302"/>
      <c r="K65" s="164">
        <v>1</v>
      </c>
    </row>
    <row r="66" spans="2:11" s="45" customFormat="1" ht="8.5500000000000007" customHeight="1" x14ac:dyDescent="0.25">
      <c r="B66" s="158"/>
      <c r="C66" s="158"/>
      <c r="D66" s="158"/>
      <c r="E66" s="158"/>
      <c r="F66" s="159"/>
      <c r="G66" s="252"/>
      <c r="H66" s="303"/>
      <c r="I66" s="462"/>
      <c r="J66" s="303"/>
      <c r="K66" s="165"/>
    </row>
    <row r="67" spans="2:11" s="45" customFormat="1" ht="8.5500000000000007" customHeight="1" x14ac:dyDescent="0.25">
      <c r="B67" s="156" t="s">
        <v>939</v>
      </c>
      <c r="C67" s="156"/>
      <c r="D67" s="156"/>
      <c r="E67" s="156"/>
      <c r="F67" s="157"/>
      <c r="G67" s="251">
        <v>2001</v>
      </c>
      <c r="H67" s="304">
        <v>95</v>
      </c>
      <c r="I67" s="462"/>
      <c r="J67" s="302"/>
      <c r="K67" s="164">
        <v>1</v>
      </c>
    </row>
    <row r="68" spans="2:11" s="45" customFormat="1" ht="8.5500000000000007" customHeight="1" x14ac:dyDescent="0.25">
      <c r="B68" s="158"/>
      <c r="C68" s="158"/>
      <c r="D68" s="158"/>
      <c r="E68" s="158"/>
      <c r="F68" s="159"/>
      <c r="G68" s="252"/>
      <c r="H68" s="303"/>
      <c r="I68" s="462"/>
      <c r="J68" s="303"/>
      <c r="K68" s="165"/>
    </row>
    <row r="69" spans="2:11" s="45" customFormat="1" ht="8.5500000000000007" customHeight="1" x14ac:dyDescent="0.25">
      <c r="B69" s="156" t="s">
        <v>939</v>
      </c>
      <c r="C69" s="156"/>
      <c r="D69" s="156"/>
      <c r="E69" s="156"/>
      <c r="F69" s="157"/>
      <c r="G69" s="251">
        <v>2002</v>
      </c>
      <c r="H69" s="304" t="s">
        <v>276</v>
      </c>
      <c r="I69" s="462"/>
      <c r="J69" s="302"/>
      <c r="K69" s="164">
        <v>1</v>
      </c>
    </row>
    <row r="70" spans="2:11" s="45" customFormat="1" ht="8.5500000000000007" customHeight="1" x14ac:dyDescent="0.25">
      <c r="B70" s="158"/>
      <c r="C70" s="158"/>
      <c r="D70" s="158"/>
      <c r="E70" s="158"/>
      <c r="F70" s="159"/>
      <c r="G70" s="252"/>
      <c r="H70" s="303"/>
      <c r="I70" s="462"/>
      <c r="J70" s="303"/>
      <c r="K70" s="165"/>
    </row>
    <row r="71" spans="2:11" s="45" customFormat="1" ht="8.5500000000000007" customHeight="1" x14ac:dyDescent="0.25">
      <c r="B71" s="156" t="s">
        <v>939</v>
      </c>
      <c r="C71" s="156"/>
      <c r="D71" s="156"/>
      <c r="E71" s="156"/>
      <c r="F71" s="157"/>
      <c r="G71" s="251">
        <v>2012</v>
      </c>
      <c r="H71" s="304">
        <v>95</v>
      </c>
      <c r="I71" s="462"/>
      <c r="J71" s="302" t="s">
        <v>1592</v>
      </c>
      <c r="K71" s="164">
        <v>1</v>
      </c>
    </row>
    <row r="72" spans="2:11" s="45" customFormat="1" ht="8.5500000000000007" customHeight="1" x14ac:dyDescent="0.25">
      <c r="B72" s="158"/>
      <c r="C72" s="158"/>
      <c r="D72" s="158"/>
      <c r="E72" s="158"/>
      <c r="F72" s="159"/>
      <c r="G72" s="252"/>
      <c r="H72" s="303"/>
      <c r="I72" s="462"/>
      <c r="J72" s="303"/>
      <c r="K72" s="165"/>
    </row>
    <row r="73" spans="2:11" s="45" customFormat="1" ht="8.5500000000000007" customHeight="1" x14ac:dyDescent="0.25">
      <c r="B73" s="156" t="s">
        <v>1569</v>
      </c>
      <c r="C73" s="156"/>
      <c r="D73" s="156"/>
      <c r="E73" s="156"/>
      <c r="F73" s="157"/>
      <c r="G73" s="251">
        <v>2000</v>
      </c>
      <c r="H73" s="304">
        <v>91</v>
      </c>
      <c r="I73" s="462"/>
      <c r="J73" s="302"/>
      <c r="K73" s="164">
        <v>1</v>
      </c>
    </row>
    <row r="74" spans="2:11" s="45" customFormat="1" ht="8.5500000000000007" customHeight="1" x14ac:dyDescent="0.25">
      <c r="B74" s="158"/>
      <c r="C74" s="158"/>
      <c r="D74" s="158"/>
      <c r="E74" s="158"/>
      <c r="F74" s="159"/>
      <c r="G74" s="252"/>
      <c r="H74" s="303"/>
      <c r="I74" s="462"/>
      <c r="J74" s="303"/>
      <c r="K74" s="165"/>
    </row>
    <row r="75" spans="2:11" s="45" customFormat="1" ht="8.5500000000000007" customHeight="1" x14ac:dyDescent="0.25">
      <c r="B75" s="156" t="s">
        <v>1569</v>
      </c>
      <c r="C75" s="156"/>
      <c r="D75" s="156"/>
      <c r="E75" s="156"/>
      <c r="F75" s="157"/>
      <c r="G75" s="251">
        <v>2013</v>
      </c>
      <c r="H75" s="304">
        <v>94</v>
      </c>
      <c r="I75" s="462"/>
      <c r="J75" s="302" t="s">
        <v>1593</v>
      </c>
      <c r="K75" s="164">
        <v>1</v>
      </c>
    </row>
    <row r="76" spans="2:11" s="45" customFormat="1" ht="8.5500000000000007" customHeight="1" x14ac:dyDescent="0.25">
      <c r="B76" s="158"/>
      <c r="C76" s="158"/>
      <c r="D76" s="158"/>
      <c r="E76" s="158"/>
      <c r="F76" s="159"/>
      <c r="G76" s="252"/>
      <c r="H76" s="303"/>
      <c r="I76" s="462"/>
      <c r="J76" s="303"/>
      <c r="K76" s="165"/>
    </row>
    <row r="77" spans="2:11" s="45" customFormat="1" ht="8.5500000000000007" customHeight="1" x14ac:dyDescent="0.25">
      <c r="B77" s="156" t="s">
        <v>937</v>
      </c>
      <c r="C77" s="156"/>
      <c r="D77" s="156"/>
      <c r="E77" s="156"/>
      <c r="F77" s="157"/>
      <c r="G77" s="251">
        <v>1996</v>
      </c>
      <c r="H77" s="304">
        <v>93</v>
      </c>
      <c r="I77" s="462"/>
      <c r="J77" s="302"/>
      <c r="K77" s="164">
        <v>1</v>
      </c>
    </row>
    <row r="78" spans="2:11" s="45" customFormat="1" ht="8.5500000000000007" customHeight="1" x14ac:dyDescent="0.25">
      <c r="B78" s="158"/>
      <c r="C78" s="158"/>
      <c r="D78" s="158"/>
      <c r="E78" s="158"/>
      <c r="F78" s="159"/>
      <c r="G78" s="252"/>
      <c r="H78" s="303"/>
      <c r="I78" s="462"/>
      <c r="J78" s="303"/>
      <c r="K78" s="165"/>
    </row>
    <row r="79" spans="2:11" s="45" customFormat="1" ht="8.5500000000000007" customHeight="1" x14ac:dyDescent="0.25">
      <c r="B79" s="156" t="s">
        <v>933</v>
      </c>
      <c r="C79" s="156"/>
      <c r="D79" s="156"/>
      <c r="E79" s="156"/>
      <c r="F79" s="157"/>
      <c r="G79" s="251">
        <v>1995</v>
      </c>
      <c r="H79" s="304">
        <v>95</v>
      </c>
      <c r="I79" s="462"/>
      <c r="J79" s="302"/>
      <c r="K79" s="164">
        <v>1</v>
      </c>
    </row>
    <row r="80" spans="2:11" s="45" customFormat="1" ht="8.5500000000000007" customHeight="1" x14ac:dyDescent="0.25">
      <c r="B80" s="158"/>
      <c r="C80" s="158"/>
      <c r="D80" s="158"/>
      <c r="E80" s="158"/>
      <c r="F80" s="159"/>
      <c r="G80" s="252"/>
      <c r="H80" s="303"/>
      <c r="I80" s="462"/>
      <c r="J80" s="303"/>
      <c r="K80" s="165"/>
    </row>
    <row r="81" spans="2:11" s="45" customFormat="1" ht="8.5500000000000007" customHeight="1" x14ac:dyDescent="0.25">
      <c r="B81" s="156" t="s">
        <v>1091</v>
      </c>
      <c r="C81" s="156"/>
      <c r="D81" s="156"/>
      <c r="E81" s="156"/>
      <c r="F81" s="157"/>
      <c r="G81" s="251">
        <v>1997</v>
      </c>
      <c r="H81" s="304">
        <v>95</v>
      </c>
      <c r="I81" s="462"/>
      <c r="J81" s="302"/>
      <c r="K81" s="164">
        <v>1</v>
      </c>
    </row>
    <row r="82" spans="2:11" s="45" customFormat="1" ht="8.5500000000000007" customHeight="1" x14ac:dyDescent="0.25">
      <c r="B82" s="158"/>
      <c r="C82" s="158"/>
      <c r="D82" s="158"/>
      <c r="E82" s="158"/>
      <c r="F82" s="159"/>
      <c r="G82" s="252"/>
      <c r="H82" s="303"/>
      <c r="I82" s="462"/>
      <c r="J82" s="303"/>
      <c r="K82" s="165"/>
    </row>
    <row r="83" spans="2:11" s="45" customFormat="1" ht="8.5500000000000007" customHeight="1" x14ac:dyDescent="0.25">
      <c r="B83" s="156" t="s">
        <v>933</v>
      </c>
      <c r="C83" s="156"/>
      <c r="D83" s="156"/>
      <c r="E83" s="156"/>
      <c r="F83" s="157"/>
      <c r="G83" s="251">
        <v>1998</v>
      </c>
      <c r="H83" s="304">
        <v>96</v>
      </c>
      <c r="I83" s="462"/>
      <c r="J83" s="302"/>
      <c r="K83" s="164">
        <v>1</v>
      </c>
    </row>
    <row r="84" spans="2:11" s="45" customFormat="1" ht="8.5500000000000007" customHeight="1" x14ac:dyDescent="0.25">
      <c r="B84" s="158"/>
      <c r="C84" s="158"/>
      <c r="D84" s="158"/>
      <c r="E84" s="158"/>
      <c r="F84" s="159"/>
      <c r="G84" s="252"/>
      <c r="H84" s="303"/>
      <c r="I84" s="462"/>
      <c r="J84" s="303"/>
      <c r="K84" s="165"/>
    </row>
    <row r="85" spans="2:11" s="45" customFormat="1" ht="8.5500000000000007" customHeight="1" x14ac:dyDescent="0.25">
      <c r="B85" s="156" t="s">
        <v>934</v>
      </c>
      <c r="C85" s="156"/>
      <c r="D85" s="156"/>
      <c r="E85" s="156"/>
      <c r="F85" s="157"/>
      <c r="G85" s="251">
        <v>1997</v>
      </c>
      <c r="H85" s="304">
        <v>94</v>
      </c>
      <c r="I85" s="462"/>
      <c r="J85" s="302"/>
      <c r="K85" s="164">
        <v>1</v>
      </c>
    </row>
    <row r="86" spans="2:11" s="45" customFormat="1" ht="8.5500000000000007" customHeight="1" x14ac:dyDescent="0.25">
      <c r="B86" s="158"/>
      <c r="C86" s="158"/>
      <c r="D86" s="158"/>
      <c r="E86" s="158"/>
      <c r="F86" s="159"/>
      <c r="G86" s="252"/>
      <c r="H86" s="303"/>
      <c r="I86" s="462"/>
      <c r="J86" s="303"/>
      <c r="K86" s="165"/>
    </row>
    <row r="87" spans="2:11" s="45" customFormat="1" ht="8.5500000000000007" customHeight="1" x14ac:dyDescent="0.25">
      <c r="B87" s="156" t="s">
        <v>934</v>
      </c>
      <c r="C87" s="156"/>
      <c r="D87" s="156"/>
      <c r="E87" s="156"/>
      <c r="F87" s="157"/>
      <c r="G87" s="251">
        <v>1998</v>
      </c>
      <c r="H87" s="304">
        <v>95</v>
      </c>
      <c r="I87" s="462"/>
      <c r="J87" s="302"/>
      <c r="K87" s="164">
        <v>1</v>
      </c>
    </row>
    <row r="88" spans="2:11" s="45" customFormat="1" ht="8.5500000000000007" customHeight="1" x14ac:dyDescent="0.25">
      <c r="B88" s="158"/>
      <c r="C88" s="158"/>
      <c r="D88" s="158"/>
      <c r="E88" s="158"/>
      <c r="F88" s="159"/>
      <c r="G88" s="252"/>
      <c r="H88" s="303"/>
      <c r="I88" s="462"/>
      <c r="J88" s="303"/>
      <c r="K88" s="165"/>
    </row>
    <row r="89" spans="2:11" s="45" customFormat="1" ht="8.5500000000000007" customHeight="1" x14ac:dyDescent="0.25">
      <c r="B89" s="156" t="s">
        <v>934</v>
      </c>
      <c r="C89" s="156"/>
      <c r="D89" s="156"/>
      <c r="E89" s="156"/>
      <c r="F89" s="157"/>
      <c r="G89" s="251">
        <v>2012</v>
      </c>
      <c r="H89" s="304">
        <v>97</v>
      </c>
      <c r="I89" s="462"/>
      <c r="J89" s="302"/>
      <c r="K89" s="164">
        <v>1</v>
      </c>
    </row>
    <row r="90" spans="2:11" s="45" customFormat="1" ht="8.5500000000000007" customHeight="1" x14ac:dyDescent="0.25">
      <c r="B90" s="158"/>
      <c r="C90" s="158"/>
      <c r="D90" s="158"/>
      <c r="E90" s="158"/>
      <c r="F90" s="159"/>
      <c r="G90" s="252"/>
      <c r="H90" s="303"/>
      <c r="I90" s="462"/>
      <c r="J90" s="303"/>
      <c r="K90" s="165"/>
    </row>
    <row r="91" spans="2:11" s="45" customFormat="1" ht="8.5500000000000007" customHeight="1" x14ac:dyDescent="0.25">
      <c r="B91" s="156" t="s">
        <v>935</v>
      </c>
      <c r="C91" s="156"/>
      <c r="D91" s="156"/>
      <c r="E91" s="156"/>
      <c r="F91" s="157"/>
      <c r="G91" s="251">
        <v>1997</v>
      </c>
      <c r="H91" s="304">
        <v>93</v>
      </c>
      <c r="I91" s="462"/>
      <c r="J91" s="302"/>
      <c r="K91" s="164">
        <v>1</v>
      </c>
    </row>
    <row r="92" spans="2:11" s="45" customFormat="1" ht="8.5500000000000007" customHeight="1" x14ac:dyDescent="0.25">
      <c r="B92" s="158"/>
      <c r="C92" s="158"/>
      <c r="D92" s="158"/>
      <c r="E92" s="158"/>
      <c r="F92" s="159"/>
      <c r="G92" s="252"/>
      <c r="H92" s="303"/>
      <c r="I92" s="462"/>
      <c r="J92" s="303"/>
      <c r="K92" s="165"/>
    </row>
    <row r="93" spans="2:11" s="45" customFormat="1" ht="8.5500000000000007" customHeight="1" x14ac:dyDescent="0.25">
      <c r="B93" s="201" t="s">
        <v>935</v>
      </c>
      <c r="C93" s="201"/>
      <c r="D93" s="201"/>
      <c r="E93" s="201"/>
      <c r="F93" s="202"/>
      <c r="G93" s="480">
        <v>1998</v>
      </c>
      <c r="H93" s="479">
        <v>95</v>
      </c>
      <c r="I93" s="477"/>
      <c r="J93" s="478"/>
      <c r="K93" s="481">
        <v>1</v>
      </c>
    </row>
    <row r="94" spans="2:11" s="45" customFormat="1" ht="8.5500000000000007" customHeight="1" x14ac:dyDescent="0.25">
      <c r="B94" s="158"/>
      <c r="C94" s="158"/>
      <c r="D94" s="158"/>
      <c r="E94" s="158"/>
      <c r="F94" s="159"/>
      <c r="G94" s="252"/>
      <c r="H94" s="303"/>
      <c r="I94" s="306"/>
      <c r="J94" s="338"/>
      <c r="K94" s="233"/>
    </row>
    <row r="95" spans="2:11" s="45" customFormat="1" ht="8.5500000000000007" customHeight="1" x14ac:dyDescent="0.25">
      <c r="B95" s="201" t="s">
        <v>938</v>
      </c>
      <c r="C95" s="201"/>
      <c r="D95" s="201"/>
      <c r="E95" s="201"/>
      <c r="F95" s="202"/>
      <c r="G95" s="480">
        <v>1998</v>
      </c>
      <c r="H95" s="479">
        <v>95</v>
      </c>
      <c r="I95" s="477"/>
      <c r="J95" s="478"/>
      <c r="K95" s="481">
        <v>1</v>
      </c>
    </row>
    <row r="96" spans="2:11" s="45" customFormat="1" ht="8.5500000000000007" customHeight="1" x14ac:dyDescent="0.25">
      <c r="B96" s="158"/>
      <c r="C96" s="158"/>
      <c r="D96" s="158"/>
      <c r="E96" s="158"/>
      <c r="F96" s="159"/>
      <c r="G96" s="252"/>
      <c r="H96" s="303"/>
      <c r="I96" s="306"/>
      <c r="J96" s="338"/>
      <c r="K96" s="233"/>
    </row>
    <row r="97" spans="2:11" s="45" customFormat="1" ht="8.5500000000000007" customHeight="1" x14ac:dyDescent="0.25">
      <c r="B97" s="201" t="s">
        <v>962</v>
      </c>
      <c r="C97" s="201"/>
      <c r="D97" s="201"/>
      <c r="E97" s="201"/>
      <c r="F97" s="202"/>
      <c r="G97" s="480">
        <v>1999</v>
      </c>
      <c r="H97" s="479">
        <v>94</v>
      </c>
      <c r="I97" s="477"/>
      <c r="J97" s="478"/>
      <c r="K97" s="481">
        <v>1</v>
      </c>
    </row>
    <row r="98" spans="2:11" s="45" customFormat="1" ht="8.5500000000000007" customHeight="1" x14ac:dyDescent="0.25">
      <c r="B98" s="158"/>
      <c r="C98" s="158"/>
      <c r="D98" s="158"/>
      <c r="E98" s="158"/>
      <c r="F98" s="159"/>
      <c r="G98" s="252"/>
      <c r="H98" s="303"/>
      <c r="I98" s="306"/>
      <c r="J98" s="338"/>
      <c r="K98" s="233"/>
    </row>
    <row r="99" spans="2:11" s="45" customFormat="1" ht="8.5500000000000007" customHeight="1" x14ac:dyDescent="0.25">
      <c r="B99" s="201" t="s">
        <v>962</v>
      </c>
      <c r="C99" s="201"/>
      <c r="D99" s="201"/>
      <c r="E99" s="201"/>
      <c r="F99" s="202"/>
      <c r="G99" s="480">
        <v>2007</v>
      </c>
      <c r="H99" s="479">
        <v>98</v>
      </c>
      <c r="I99" s="477"/>
      <c r="J99" s="478"/>
      <c r="K99" s="481">
        <v>1</v>
      </c>
    </row>
    <row r="100" spans="2:11" s="45" customFormat="1" ht="8.5500000000000007" customHeight="1" x14ac:dyDescent="0.25">
      <c r="B100" s="158"/>
      <c r="C100" s="158"/>
      <c r="D100" s="158"/>
      <c r="E100" s="158"/>
      <c r="F100" s="159"/>
      <c r="G100" s="252"/>
      <c r="H100" s="303"/>
      <c r="I100" s="306"/>
      <c r="J100" s="338"/>
      <c r="K100" s="233"/>
    </row>
    <row r="101" spans="2:11" s="45" customFormat="1" ht="8.5500000000000007" customHeight="1" x14ac:dyDescent="0.25">
      <c r="B101" s="201" t="s">
        <v>962</v>
      </c>
      <c r="C101" s="201"/>
      <c r="D101" s="201"/>
      <c r="E101" s="201"/>
      <c r="F101" s="202"/>
      <c r="G101" s="480">
        <v>2008</v>
      </c>
      <c r="H101" s="479">
        <v>98</v>
      </c>
      <c r="I101" s="477"/>
      <c r="J101" s="478"/>
      <c r="K101" s="481">
        <v>1</v>
      </c>
    </row>
    <row r="102" spans="2:11" s="45" customFormat="1" ht="8.5500000000000007" customHeight="1" x14ac:dyDescent="0.25">
      <c r="B102" s="158"/>
      <c r="C102" s="158"/>
      <c r="D102" s="158"/>
      <c r="E102" s="158"/>
      <c r="F102" s="159"/>
      <c r="G102" s="252"/>
      <c r="H102" s="303"/>
      <c r="I102" s="306"/>
      <c r="J102" s="338"/>
      <c r="K102" s="233"/>
    </row>
    <row r="103" spans="2:11" s="45" customFormat="1" ht="8.5500000000000007" customHeight="1" x14ac:dyDescent="0.25">
      <c r="B103" s="201" t="s">
        <v>935</v>
      </c>
      <c r="C103" s="201"/>
      <c r="D103" s="201"/>
      <c r="E103" s="201"/>
      <c r="F103" s="202"/>
      <c r="G103" s="480">
        <v>2002</v>
      </c>
      <c r="H103" s="479" t="s">
        <v>48</v>
      </c>
      <c r="I103" s="477"/>
      <c r="J103" s="478"/>
      <c r="K103" s="481">
        <v>1</v>
      </c>
    </row>
    <row r="104" spans="2:11" s="45" customFormat="1" ht="8.5500000000000007" customHeight="1" x14ac:dyDescent="0.25">
      <c r="B104" s="158"/>
      <c r="C104" s="158"/>
      <c r="D104" s="158"/>
      <c r="E104" s="158"/>
      <c r="F104" s="159"/>
      <c r="G104" s="252"/>
      <c r="H104" s="303"/>
      <c r="I104" s="306"/>
      <c r="J104" s="338"/>
      <c r="K104" s="233"/>
    </row>
    <row r="105" spans="2:11" s="45" customFormat="1" ht="8.5500000000000007" customHeight="1" x14ac:dyDescent="0.25">
      <c r="B105" s="201" t="s">
        <v>891</v>
      </c>
      <c r="C105" s="201"/>
      <c r="D105" s="201"/>
      <c r="E105" s="201"/>
      <c r="F105" s="202"/>
      <c r="G105" s="480">
        <v>2004</v>
      </c>
      <c r="H105" s="479">
        <v>94</v>
      </c>
      <c r="I105" s="477"/>
      <c r="J105" s="478"/>
      <c r="K105" s="481">
        <v>2</v>
      </c>
    </row>
    <row r="106" spans="2:11" s="45" customFormat="1" ht="8.5500000000000007" customHeight="1" x14ac:dyDescent="0.25">
      <c r="B106" s="158"/>
      <c r="C106" s="158"/>
      <c r="D106" s="158"/>
      <c r="E106" s="158"/>
      <c r="F106" s="159"/>
      <c r="G106" s="252"/>
      <c r="H106" s="303"/>
      <c r="I106" s="306"/>
      <c r="J106" s="338"/>
      <c r="K106" s="233"/>
    </row>
    <row r="107" spans="2:11" s="45" customFormat="1" ht="8.5500000000000007" customHeight="1" x14ac:dyDescent="0.25">
      <c r="B107" s="201" t="s">
        <v>1162</v>
      </c>
      <c r="C107" s="201"/>
      <c r="D107" s="201"/>
      <c r="E107" s="201"/>
      <c r="F107" s="202"/>
      <c r="G107" s="480">
        <v>2016</v>
      </c>
      <c r="H107" s="479">
        <v>92</v>
      </c>
      <c r="I107" s="477"/>
      <c r="J107" s="478" t="s">
        <v>1623</v>
      </c>
      <c r="K107" s="481">
        <v>2</v>
      </c>
    </row>
    <row r="108" spans="2:11" s="45" customFormat="1" ht="8.5500000000000007" customHeight="1" x14ac:dyDescent="0.25">
      <c r="B108" s="158"/>
      <c r="C108" s="158"/>
      <c r="D108" s="158"/>
      <c r="E108" s="158"/>
      <c r="F108" s="159"/>
      <c r="G108" s="252"/>
      <c r="H108" s="303"/>
      <c r="I108" s="306"/>
      <c r="J108" s="338"/>
      <c r="K108" s="233"/>
    </row>
    <row r="109" spans="2:11" s="45" customFormat="1" ht="8.5500000000000007" customHeight="1" x14ac:dyDescent="0.25">
      <c r="B109" s="201" t="s">
        <v>884</v>
      </c>
      <c r="C109" s="201"/>
      <c r="D109" s="201"/>
      <c r="E109" s="201"/>
      <c r="F109" s="202"/>
      <c r="G109" s="480">
        <v>2004</v>
      </c>
      <c r="H109" s="479">
        <v>98</v>
      </c>
      <c r="I109" s="477"/>
      <c r="J109" s="478"/>
      <c r="K109" s="481">
        <v>1</v>
      </c>
    </row>
    <row r="110" spans="2:11" s="45" customFormat="1" ht="8.5500000000000007" customHeight="1" x14ac:dyDescent="0.25">
      <c r="B110" s="158"/>
      <c r="C110" s="158"/>
      <c r="D110" s="158"/>
      <c r="E110" s="158"/>
      <c r="F110" s="159"/>
      <c r="G110" s="252"/>
      <c r="H110" s="303"/>
      <c r="I110" s="306"/>
      <c r="J110" s="338"/>
      <c r="K110" s="233"/>
    </row>
    <row r="111" spans="2:11" s="45" customFormat="1" ht="8.5500000000000007" customHeight="1" x14ac:dyDescent="0.25">
      <c r="B111" s="201" t="s">
        <v>1342</v>
      </c>
      <c r="C111" s="201"/>
      <c r="D111" s="201"/>
      <c r="E111" s="201"/>
      <c r="F111" s="202"/>
      <c r="G111" s="480">
        <v>2007</v>
      </c>
      <c r="H111" s="479">
        <v>96</v>
      </c>
      <c r="I111" s="477"/>
      <c r="J111" s="478"/>
      <c r="K111" s="481">
        <v>1</v>
      </c>
    </row>
    <row r="112" spans="2:11" s="45" customFormat="1" ht="8.5500000000000007" customHeight="1" x14ac:dyDescent="0.25">
      <c r="B112" s="158"/>
      <c r="C112" s="158"/>
      <c r="D112" s="158"/>
      <c r="E112" s="158"/>
      <c r="F112" s="159"/>
      <c r="G112" s="252"/>
      <c r="H112" s="303"/>
      <c r="I112" s="306"/>
      <c r="J112" s="338"/>
      <c r="K112" s="233"/>
    </row>
    <row r="113" spans="1:12" s="45" customFormat="1" ht="8.5500000000000007" customHeight="1" x14ac:dyDescent="0.25">
      <c r="B113" s="201" t="s">
        <v>902</v>
      </c>
      <c r="C113" s="201"/>
      <c r="D113" s="201"/>
      <c r="E113" s="201"/>
      <c r="F113" s="202"/>
      <c r="G113" s="480">
        <v>2003</v>
      </c>
      <c r="H113" s="479"/>
      <c r="I113" s="477"/>
      <c r="J113" s="478"/>
      <c r="K113" s="481">
        <v>1</v>
      </c>
    </row>
    <row r="114" spans="1:12" s="45" customFormat="1" ht="8.5500000000000007" customHeight="1" x14ac:dyDescent="0.25">
      <c r="B114" s="158"/>
      <c r="C114" s="158"/>
      <c r="D114" s="158"/>
      <c r="E114" s="158"/>
      <c r="F114" s="159"/>
      <c r="G114" s="252"/>
      <c r="H114" s="303"/>
      <c r="I114" s="306"/>
      <c r="J114" s="338"/>
      <c r="K114" s="233"/>
    </row>
    <row r="115" spans="1:12" s="45" customFormat="1" ht="8.5500000000000007" customHeight="1" x14ac:dyDescent="0.25">
      <c r="B115" s="201" t="s">
        <v>959</v>
      </c>
      <c r="C115" s="201"/>
      <c r="D115" s="201"/>
      <c r="E115" s="201"/>
      <c r="F115" s="202"/>
      <c r="G115" s="480">
        <v>2006</v>
      </c>
      <c r="H115" s="479">
        <v>94</v>
      </c>
      <c r="I115" s="477"/>
      <c r="J115" s="478" t="s">
        <v>352</v>
      </c>
      <c r="K115" s="481">
        <v>1</v>
      </c>
    </row>
    <row r="116" spans="1:12" s="45" customFormat="1" ht="8.5500000000000007" customHeight="1" x14ac:dyDescent="0.25">
      <c r="B116" s="158"/>
      <c r="C116" s="158"/>
      <c r="D116" s="158"/>
      <c r="E116" s="158"/>
      <c r="F116" s="159"/>
      <c r="G116" s="252"/>
      <c r="H116" s="303"/>
      <c r="I116" s="306"/>
      <c r="J116" s="338"/>
      <c r="K116" s="233"/>
    </row>
    <row r="117" spans="1:12" s="45" customFormat="1" ht="8.5500000000000007" customHeight="1" x14ac:dyDescent="0.25">
      <c r="B117" s="201" t="s">
        <v>1450</v>
      </c>
      <c r="C117" s="201"/>
      <c r="D117" s="201"/>
      <c r="E117" s="201"/>
      <c r="F117" s="202"/>
      <c r="G117" s="480">
        <v>2017</v>
      </c>
      <c r="H117" s="479"/>
      <c r="I117" s="477"/>
      <c r="J117" s="478"/>
      <c r="K117" s="481">
        <v>2</v>
      </c>
    </row>
    <row r="118" spans="1:12" s="45" customFormat="1" ht="8.5500000000000007" customHeight="1" x14ac:dyDescent="0.25">
      <c r="B118" s="158"/>
      <c r="C118" s="158"/>
      <c r="D118" s="158"/>
      <c r="E118" s="158"/>
      <c r="F118" s="159"/>
      <c r="G118" s="252"/>
      <c r="H118" s="303"/>
      <c r="I118" s="306"/>
      <c r="J118" s="338"/>
      <c r="K118" s="233"/>
    </row>
    <row r="119" spans="1:12" s="45" customFormat="1" ht="8.5500000000000007" customHeight="1" x14ac:dyDescent="0.25">
      <c r="B119" s="201" t="s">
        <v>1814</v>
      </c>
      <c r="C119" s="201"/>
      <c r="D119" s="201"/>
      <c r="E119" s="201"/>
      <c r="F119" s="202"/>
      <c r="G119" s="480">
        <v>2020</v>
      </c>
      <c r="H119" s="479"/>
      <c r="I119" s="477"/>
      <c r="J119" s="478"/>
      <c r="K119" s="481">
        <v>1</v>
      </c>
    </row>
    <row r="120" spans="1:12" s="45" customFormat="1" ht="8.5500000000000007" customHeight="1" x14ac:dyDescent="0.25">
      <c r="B120" s="158"/>
      <c r="C120" s="158"/>
      <c r="D120" s="158"/>
      <c r="E120" s="158"/>
      <c r="F120" s="159"/>
      <c r="G120" s="252"/>
      <c r="H120" s="303"/>
      <c r="I120" s="306"/>
      <c r="J120" s="338"/>
      <c r="K120" s="233"/>
    </row>
    <row r="121" spans="1:12" s="45" customFormat="1" ht="8.5500000000000007" customHeight="1" x14ac:dyDescent="0.25">
      <c r="B121" s="201" t="s">
        <v>1998</v>
      </c>
      <c r="C121" s="201"/>
      <c r="D121" s="201"/>
      <c r="E121" s="201"/>
      <c r="F121" s="202"/>
      <c r="G121" s="480">
        <v>2022</v>
      </c>
      <c r="H121" s="479"/>
      <c r="I121" s="477"/>
      <c r="J121" s="478"/>
      <c r="K121" s="481">
        <v>1</v>
      </c>
    </row>
    <row r="122" spans="1:12" s="45" customFormat="1" ht="8.5500000000000007" customHeight="1" x14ac:dyDescent="0.25">
      <c r="B122" s="158"/>
      <c r="C122" s="158"/>
      <c r="D122" s="158"/>
      <c r="E122" s="158"/>
      <c r="F122" s="159"/>
      <c r="G122" s="252"/>
      <c r="H122" s="303"/>
      <c r="I122" s="306"/>
      <c r="J122" s="338"/>
      <c r="K122" s="233"/>
    </row>
    <row r="123" spans="1:12" s="45" customFormat="1" ht="8.5500000000000007" customHeight="1" x14ac:dyDescent="0.2">
      <c r="A123" s="43"/>
      <c r="B123" s="213" t="s">
        <v>807</v>
      </c>
      <c r="C123" s="213"/>
      <c r="D123" s="213"/>
      <c r="E123" s="213"/>
      <c r="F123" s="213"/>
      <c r="G123" s="47"/>
      <c r="H123" s="47"/>
      <c r="I123" s="48"/>
      <c r="J123" s="48"/>
      <c r="K123" s="236">
        <v>74</v>
      </c>
      <c r="L123" s="43"/>
    </row>
    <row r="124" spans="1:12" s="45" customFormat="1" ht="8.25" customHeight="1" x14ac:dyDescent="0.2">
      <c r="A124" s="43"/>
      <c r="B124" s="171"/>
      <c r="C124" s="171"/>
      <c r="D124" s="171"/>
      <c r="E124" s="171"/>
      <c r="F124" s="171"/>
      <c r="G124" s="54"/>
      <c r="H124" s="54"/>
      <c r="I124" s="49"/>
      <c r="J124" s="49"/>
      <c r="K124" s="225"/>
      <c r="L124" s="43"/>
    </row>
    <row r="125" spans="1:12" ht="9.4499999999999993" customHeight="1" x14ac:dyDescent="0.25">
      <c r="B125" s="361"/>
      <c r="C125" s="355"/>
      <c r="D125" s="355"/>
      <c r="E125" s="355"/>
      <c r="F125" s="373"/>
      <c r="G125" s="352"/>
      <c r="H125" s="375"/>
      <c r="I125" s="26"/>
      <c r="J125" s="377"/>
      <c r="K125" s="482"/>
    </row>
    <row r="126" spans="1:12" x14ac:dyDescent="0.25">
      <c r="B126" s="356"/>
      <c r="C126" s="356"/>
      <c r="D126" s="356"/>
      <c r="E126" s="356"/>
      <c r="F126" s="374"/>
      <c r="G126" s="353"/>
      <c r="H126" s="376"/>
      <c r="I126" s="27"/>
      <c r="J126" s="376"/>
      <c r="K126" s="483"/>
    </row>
    <row r="127" spans="1:12" ht="12.75" customHeight="1" x14ac:dyDescent="0.25">
      <c r="B127" s="361"/>
      <c r="C127" s="355"/>
      <c r="D127" s="355"/>
      <c r="E127" s="355"/>
      <c r="F127" s="373"/>
      <c r="G127" s="352"/>
      <c r="H127" s="375"/>
      <c r="I127" s="26"/>
      <c r="J127" s="377"/>
      <c r="K127" s="40"/>
    </row>
    <row r="128" spans="1:12" x14ac:dyDescent="0.25">
      <c r="B128" s="356"/>
      <c r="C128" s="356"/>
      <c r="D128" s="356"/>
      <c r="E128" s="356"/>
      <c r="F128" s="374"/>
      <c r="G128" s="353"/>
      <c r="H128" s="376"/>
      <c r="I128" s="27"/>
      <c r="J128" s="376"/>
      <c r="K128" s="41"/>
    </row>
    <row r="129" spans="8:11" x14ac:dyDescent="0.25">
      <c r="H129" s="8"/>
      <c r="K129" s="7"/>
    </row>
    <row r="130" spans="8:11" x14ac:dyDescent="0.25">
      <c r="H130" s="8"/>
      <c r="K130" s="9"/>
    </row>
    <row r="131" spans="8:11" x14ac:dyDescent="0.25">
      <c r="H131" s="8"/>
    </row>
    <row r="132" spans="8:11" x14ac:dyDescent="0.25">
      <c r="H132" s="8"/>
    </row>
    <row r="133" spans="8:11" x14ac:dyDescent="0.25">
      <c r="H133" s="8"/>
    </row>
    <row r="134" spans="8:11" x14ac:dyDescent="0.25">
      <c r="H134" s="8"/>
    </row>
    <row r="135" spans="8:11" x14ac:dyDescent="0.25">
      <c r="H135" s="8"/>
    </row>
    <row r="136" spans="8:11" x14ac:dyDescent="0.25">
      <c r="H136" s="8"/>
    </row>
    <row r="137" spans="8:11" x14ac:dyDescent="0.25">
      <c r="H137" s="8"/>
    </row>
    <row r="138" spans="8:11" x14ac:dyDescent="0.25">
      <c r="H138" s="8"/>
    </row>
    <row r="139" spans="8:11" x14ac:dyDescent="0.25">
      <c r="H139" s="8"/>
    </row>
    <row r="140" spans="8:11" x14ac:dyDescent="0.25">
      <c r="H140" s="8"/>
    </row>
    <row r="141" spans="8:11" x14ac:dyDescent="0.25">
      <c r="H141" s="8"/>
    </row>
    <row r="142" spans="8:11" x14ac:dyDescent="0.25">
      <c r="H142" s="8"/>
    </row>
    <row r="143" spans="8:11" x14ac:dyDescent="0.25">
      <c r="H143" s="8"/>
    </row>
    <row r="144" spans="8:11" x14ac:dyDescent="0.25">
      <c r="H144" s="8"/>
    </row>
  </sheetData>
  <autoFilter ref="B3:L144" xr:uid="{00000000-0009-0000-0000-00000F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354">
    <mergeCell ref="B121:F122"/>
    <mergeCell ref="H95:H96"/>
    <mergeCell ref="B105:F106"/>
    <mergeCell ref="B115:F116"/>
    <mergeCell ref="K97:K98"/>
    <mergeCell ref="I121:I122"/>
    <mergeCell ref="J121:J122"/>
    <mergeCell ref="I113:I114"/>
    <mergeCell ref="G113:G114"/>
    <mergeCell ref="H113:H114"/>
    <mergeCell ref="G115:G116"/>
    <mergeCell ref="H115:H116"/>
    <mergeCell ref="I115:I116"/>
    <mergeCell ref="J115:J116"/>
    <mergeCell ref="H107:H108"/>
    <mergeCell ref="I107:I108"/>
    <mergeCell ref="J109:J110"/>
    <mergeCell ref="J95:J96"/>
    <mergeCell ref="K121:K122"/>
    <mergeCell ref="K109:K110"/>
    <mergeCell ref="K115:K116"/>
    <mergeCell ref="J101:J102"/>
    <mergeCell ref="I109:I110"/>
    <mergeCell ref="H109:H110"/>
    <mergeCell ref="G29:G30"/>
    <mergeCell ref="I35:I36"/>
    <mergeCell ref="K9:K10"/>
    <mergeCell ref="B9:F10"/>
    <mergeCell ref="H9:H10"/>
    <mergeCell ref="I9:I10"/>
    <mergeCell ref="G9:G10"/>
    <mergeCell ref="H13:H14"/>
    <mergeCell ref="J13:J14"/>
    <mergeCell ref="H11:H12"/>
    <mergeCell ref="K11:K12"/>
    <mergeCell ref="K13:K14"/>
    <mergeCell ref="B13:F14"/>
    <mergeCell ref="G13:G14"/>
    <mergeCell ref="B21:F22"/>
    <mergeCell ref="B29:F30"/>
    <mergeCell ref="B27:F28"/>
    <mergeCell ref="B25:F26"/>
    <mergeCell ref="G21:G22"/>
    <mergeCell ref="H27:H28"/>
    <mergeCell ref="G25:G26"/>
    <mergeCell ref="G27:G28"/>
    <mergeCell ref="H25:H26"/>
    <mergeCell ref="H21:H22"/>
    <mergeCell ref="B33:F34"/>
    <mergeCell ref="G33:G34"/>
    <mergeCell ref="G35:G36"/>
    <mergeCell ref="B31:F32"/>
    <mergeCell ref="G31:G32"/>
    <mergeCell ref="B35:F36"/>
    <mergeCell ref="H35:H36"/>
    <mergeCell ref="H33:H34"/>
    <mergeCell ref="K35:K36"/>
    <mergeCell ref="J33:J34"/>
    <mergeCell ref="J35:J36"/>
    <mergeCell ref="I33:I34"/>
    <mergeCell ref="K31:K32"/>
    <mergeCell ref="H31:H32"/>
    <mergeCell ref="J31:J32"/>
    <mergeCell ref="K21:K22"/>
    <mergeCell ref="I21:I22"/>
    <mergeCell ref="K15:K16"/>
    <mergeCell ref="K17:K18"/>
    <mergeCell ref="K19:K20"/>
    <mergeCell ref="I17:I18"/>
    <mergeCell ref="J21:J22"/>
    <mergeCell ref="K23:K24"/>
    <mergeCell ref="J23:J24"/>
    <mergeCell ref="J15:J16"/>
    <mergeCell ref="I19:I20"/>
    <mergeCell ref="J17:J18"/>
    <mergeCell ref="B37:F38"/>
    <mergeCell ref="H43:H44"/>
    <mergeCell ref="G53:G54"/>
    <mergeCell ref="B45:F46"/>
    <mergeCell ref="G45:G46"/>
    <mergeCell ref="G37:G38"/>
    <mergeCell ref="B39:F40"/>
    <mergeCell ref="B51:F52"/>
    <mergeCell ref="G43:G44"/>
    <mergeCell ref="H39:H40"/>
    <mergeCell ref="H41:H42"/>
    <mergeCell ref="H37:H38"/>
    <mergeCell ref="H53:H54"/>
    <mergeCell ref="B53:F54"/>
    <mergeCell ref="B41:F42"/>
    <mergeCell ref="B43:F44"/>
    <mergeCell ref="H45:H46"/>
    <mergeCell ref="G39:G40"/>
    <mergeCell ref="H51:H52"/>
    <mergeCell ref="G41:G42"/>
    <mergeCell ref="G49:G50"/>
    <mergeCell ref="H49:H50"/>
    <mergeCell ref="B49:F50"/>
    <mergeCell ref="B127:F128"/>
    <mergeCell ref="I83:I84"/>
    <mergeCell ref="H69:H70"/>
    <mergeCell ref="B71:F72"/>
    <mergeCell ref="G77:G78"/>
    <mergeCell ref="G69:G70"/>
    <mergeCell ref="G71:G72"/>
    <mergeCell ref="B91:F92"/>
    <mergeCell ref="B69:F70"/>
    <mergeCell ref="B73:F74"/>
    <mergeCell ref="G89:G90"/>
    <mergeCell ref="H89:H90"/>
    <mergeCell ref="I89:I90"/>
    <mergeCell ref="G87:G88"/>
    <mergeCell ref="I69:I70"/>
    <mergeCell ref="I73:I74"/>
    <mergeCell ref="G85:G86"/>
    <mergeCell ref="G81:G82"/>
    <mergeCell ref="B89:F90"/>
    <mergeCell ref="H77:H78"/>
    <mergeCell ref="H71:H72"/>
    <mergeCell ref="B81:F82"/>
    <mergeCell ref="G75:G76"/>
    <mergeCell ref="H75:H76"/>
    <mergeCell ref="B125:F126"/>
    <mergeCell ref="I61:I62"/>
    <mergeCell ref="H81:H82"/>
    <mergeCell ref="H87:H88"/>
    <mergeCell ref="H85:H86"/>
    <mergeCell ref="G91:G92"/>
    <mergeCell ref="H83:H84"/>
    <mergeCell ref="I87:I88"/>
    <mergeCell ref="I85:I86"/>
    <mergeCell ref="I65:I66"/>
    <mergeCell ref="I63:I64"/>
    <mergeCell ref="H91:H92"/>
    <mergeCell ref="H61:H62"/>
    <mergeCell ref="I81:I82"/>
    <mergeCell ref="G73:G74"/>
    <mergeCell ref="H73:H74"/>
    <mergeCell ref="G67:G68"/>
    <mergeCell ref="H63:H64"/>
    <mergeCell ref="H67:H68"/>
    <mergeCell ref="B75:F76"/>
    <mergeCell ref="G83:G84"/>
    <mergeCell ref="B77:F78"/>
    <mergeCell ref="B83:F84"/>
    <mergeCell ref="B79:F80"/>
    <mergeCell ref="B123:F124"/>
    <mergeCell ref="B101:F102"/>
    <mergeCell ref="K81:K82"/>
    <mergeCell ref="K105:K106"/>
    <mergeCell ref="K107:K108"/>
    <mergeCell ref="G65:G66"/>
    <mergeCell ref="K49:K50"/>
    <mergeCell ref="J63:J64"/>
    <mergeCell ref="B61:F62"/>
    <mergeCell ref="G63:G64"/>
    <mergeCell ref="G101:G102"/>
    <mergeCell ref="G121:G122"/>
    <mergeCell ref="H121:H122"/>
    <mergeCell ref="B57:F58"/>
    <mergeCell ref="G57:G58"/>
    <mergeCell ref="H57:H58"/>
    <mergeCell ref="B55:F56"/>
    <mergeCell ref="G59:G60"/>
    <mergeCell ref="I59:I60"/>
    <mergeCell ref="I55:I56"/>
    <mergeCell ref="I57:I58"/>
    <mergeCell ref="I51:I52"/>
    <mergeCell ref="I53:I54"/>
    <mergeCell ref="I49:I50"/>
    <mergeCell ref="B47:F48"/>
    <mergeCell ref="G47:G48"/>
    <mergeCell ref="H47:H48"/>
    <mergeCell ref="J47:J48"/>
    <mergeCell ref="K47:K48"/>
    <mergeCell ref="B93:F94"/>
    <mergeCell ref="G79:G80"/>
    <mergeCell ref="H79:H80"/>
    <mergeCell ref="I79:I80"/>
    <mergeCell ref="J79:J80"/>
    <mergeCell ref="G51:G52"/>
    <mergeCell ref="K89:K90"/>
    <mergeCell ref="K87:K88"/>
    <mergeCell ref="I47:I48"/>
    <mergeCell ref="B87:F88"/>
    <mergeCell ref="B85:F86"/>
    <mergeCell ref="B67:F68"/>
    <mergeCell ref="B59:F60"/>
    <mergeCell ref="G55:G56"/>
    <mergeCell ref="H55:H56"/>
    <mergeCell ref="H59:H60"/>
    <mergeCell ref="G127:G128"/>
    <mergeCell ref="J125:J126"/>
    <mergeCell ref="G125:G126"/>
    <mergeCell ref="H111:H112"/>
    <mergeCell ref="I71:I72"/>
    <mergeCell ref="J107:J108"/>
    <mergeCell ref="H125:H126"/>
    <mergeCell ref="J127:J128"/>
    <mergeCell ref="J85:J86"/>
    <mergeCell ref="J71:J72"/>
    <mergeCell ref="J75:J76"/>
    <mergeCell ref="G117:G118"/>
    <mergeCell ref="H117:H118"/>
    <mergeCell ref="I117:I118"/>
    <mergeCell ref="J117:J118"/>
    <mergeCell ref="J87:J88"/>
    <mergeCell ref="J93:J94"/>
    <mergeCell ref="I101:I102"/>
    <mergeCell ref="H101:H102"/>
    <mergeCell ref="J111:J112"/>
    <mergeCell ref="I111:I112"/>
    <mergeCell ref="H127:H128"/>
    <mergeCell ref="I31:I32"/>
    <mergeCell ref="I23:I24"/>
    <mergeCell ref="I25:I26"/>
    <mergeCell ref="I29:I30"/>
    <mergeCell ref="J27:J28"/>
    <mergeCell ref="J25:J26"/>
    <mergeCell ref="H23:H24"/>
    <mergeCell ref="H29:H30"/>
    <mergeCell ref="K125:K126"/>
    <mergeCell ref="K117:K118"/>
    <mergeCell ref="K71:K72"/>
    <mergeCell ref="K123:K124"/>
    <mergeCell ref="K27:K28"/>
    <mergeCell ref="I27:I28"/>
    <mergeCell ref="J29:J30"/>
    <mergeCell ref="K29:K30"/>
    <mergeCell ref="K25:K26"/>
    <mergeCell ref="K33:K34"/>
    <mergeCell ref="I37:I38"/>
    <mergeCell ref="I39:I40"/>
    <mergeCell ref="I41:I42"/>
    <mergeCell ref="I43:I44"/>
    <mergeCell ref="I45:I46"/>
    <mergeCell ref="G61:G62"/>
    <mergeCell ref="B63:F64"/>
    <mergeCell ref="B23:F24"/>
    <mergeCell ref="G23:G24"/>
    <mergeCell ref="B65:F66"/>
    <mergeCell ref="J49:J50"/>
    <mergeCell ref="C3:J5"/>
    <mergeCell ref="B19:F20"/>
    <mergeCell ref="G19:G20"/>
    <mergeCell ref="H19:H20"/>
    <mergeCell ref="J19:J20"/>
    <mergeCell ref="D6:J7"/>
    <mergeCell ref="I11:I12"/>
    <mergeCell ref="J11:J12"/>
    <mergeCell ref="I13:I14"/>
    <mergeCell ref="B11:F12"/>
    <mergeCell ref="G11:G12"/>
    <mergeCell ref="B17:F18"/>
    <mergeCell ref="B15:F16"/>
    <mergeCell ref="G15:G16"/>
    <mergeCell ref="G17:G18"/>
    <mergeCell ref="H17:H18"/>
    <mergeCell ref="H15:H16"/>
    <mergeCell ref="I15:I16"/>
    <mergeCell ref="K45:K46"/>
    <mergeCell ref="J43:J44"/>
    <mergeCell ref="J39:J40"/>
    <mergeCell ref="J45:J46"/>
    <mergeCell ref="K39:K40"/>
    <mergeCell ref="K41:K42"/>
    <mergeCell ref="K37:K38"/>
    <mergeCell ref="K43:K44"/>
    <mergeCell ref="K63:K64"/>
    <mergeCell ref="K51:K52"/>
    <mergeCell ref="J53:J54"/>
    <mergeCell ref="J55:J56"/>
    <mergeCell ref="K53:K54"/>
    <mergeCell ref="J61:J62"/>
    <mergeCell ref="J51:J52"/>
    <mergeCell ref="J57:J58"/>
    <mergeCell ref="K57:K58"/>
    <mergeCell ref="J59:J60"/>
    <mergeCell ref="K59:K60"/>
    <mergeCell ref="K61:K62"/>
    <mergeCell ref="K55:K56"/>
    <mergeCell ref="J37:J38"/>
    <mergeCell ref="J41:J42"/>
    <mergeCell ref="K69:K70"/>
    <mergeCell ref="K73:K74"/>
    <mergeCell ref="K91:K92"/>
    <mergeCell ref="K65:K66"/>
    <mergeCell ref="K67:K68"/>
    <mergeCell ref="K75:K76"/>
    <mergeCell ref="K85:K86"/>
    <mergeCell ref="K79:K80"/>
    <mergeCell ref="K77:K78"/>
    <mergeCell ref="K83:K84"/>
    <mergeCell ref="H65:H66"/>
    <mergeCell ref="I67:I68"/>
    <mergeCell ref="I75:I76"/>
    <mergeCell ref="I91:I92"/>
    <mergeCell ref="J91:J92"/>
    <mergeCell ref="J89:J90"/>
    <mergeCell ref="J67:J68"/>
    <mergeCell ref="I93:I94"/>
    <mergeCell ref="J69:J70"/>
    <mergeCell ref="J73:J74"/>
    <mergeCell ref="I77:I78"/>
    <mergeCell ref="J81:J82"/>
    <mergeCell ref="J83:J84"/>
    <mergeCell ref="J65:J66"/>
    <mergeCell ref="J77:J78"/>
    <mergeCell ref="B107:F108"/>
    <mergeCell ref="B109:F110"/>
    <mergeCell ref="B103:F104"/>
    <mergeCell ref="B111:F112"/>
    <mergeCell ref="B113:F114"/>
    <mergeCell ref="J113:J114"/>
    <mergeCell ref="J99:J100"/>
    <mergeCell ref="I99:I100"/>
    <mergeCell ref="G111:G112"/>
    <mergeCell ref="I105:I106"/>
    <mergeCell ref="H103:H104"/>
    <mergeCell ref="G107:G108"/>
    <mergeCell ref="H105:H106"/>
    <mergeCell ref="K111:K112"/>
    <mergeCell ref="K113:K114"/>
    <mergeCell ref="B119:F120"/>
    <mergeCell ref="G119:G120"/>
    <mergeCell ref="H119:H120"/>
    <mergeCell ref="I119:I120"/>
    <mergeCell ref="J119:J120"/>
    <mergeCell ref="K119:K120"/>
    <mergeCell ref="B117:F118"/>
    <mergeCell ref="G109:G110"/>
    <mergeCell ref="J103:J104"/>
    <mergeCell ref="I103:I104"/>
    <mergeCell ref="K93:K94"/>
    <mergeCell ref="K95:K96"/>
    <mergeCell ref="G93:G94"/>
    <mergeCell ref="G95:G96"/>
    <mergeCell ref="G99:G100"/>
    <mergeCell ref="G97:G98"/>
    <mergeCell ref="K99:K100"/>
    <mergeCell ref="K101:K102"/>
    <mergeCell ref="K103:K104"/>
    <mergeCell ref="H93:H94"/>
    <mergeCell ref="B95:F96"/>
    <mergeCell ref="B97:F98"/>
    <mergeCell ref="B99:F100"/>
    <mergeCell ref="I95:I96"/>
    <mergeCell ref="J97:J98"/>
    <mergeCell ref="H97:H98"/>
    <mergeCell ref="I97:I98"/>
    <mergeCell ref="H99:H100"/>
    <mergeCell ref="G105:G106"/>
    <mergeCell ref="G103:G104"/>
    <mergeCell ref="J105:J106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6"/>
  <dimension ref="A1:L208"/>
  <sheetViews>
    <sheetView showGridLines="0" tabSelected="1" view="pageBreakPreview" zoomScaleNormal="100" zoomScaleSheetLayoutView="100" workbookViewId="0"/>
  </sheetViews>
  <sheetFormatPr defaultColWidth="9.109375" defaultRowHeight="13.2" x14ac:dyDescent="0.25"/>
  <cols>
    <col min="1" max="1" width="8.88671875" customWidth="1"/>
    <col min="2" max="3" width="15.6640625" style="1" customWidth="1"/>
    <col min="4" max="4" width="10.109375" style="1" customWidth="1"/>
    <col min="5" max="5" width="9.109375" style="1"/>
    <col min="6" max="6" width="9.6640625" style="1" customWidth="1"/>
    <col min="7" max="7" width="6.6640625" style="1" customWidth="1"/>
    <col min="8" max="11" width="9.109375" style="1"/>
    <col min="12" max="12" width="8.88671875" customWidth="1"/>
    <col min="13" max="16384" width="9.109375" style="1"/>
  </cols>
  <sheetData>
    <row r="1" spans="1:12" ht="10.5" customHeight="1" x14ac:dyDescent="0.25"/>
    <row r="2" spans="1:12" ht="12" customHeight="1" x14ac:dyDescent="0.25"/>
    <row r="3" spans="1:12" ht="12" customHeight="1" x14ac:dyDescent="0.25">
      <c r="C3" s="208" t="s">
        <v>429</v>
      </c>
      <c r="D3" s="208"/>
      <c r="E3" s="208"/>
      <c r="F3" s="208"/>
      <c r="G3" s="208"/>
      <c r="H3" s="208"/>
      <c r="I3" s="208"/>
      <c r="J3" s="208"/>
    </row>
    <row r="4" spans="1:12" ht="12" customHeight="1" x14ac:dyDescent="0.25">
      <c r="C4" s="208"/>
      <c r="D4" s="208"/>
      <c r="E4" s="208"/>
      <c r="F4" s="208"/>
      <c r="G4" s="208"/>
      <c r="H4" s="208"/>
      <c r="I4" s="208"/>
      <c r="J4" s="208"/>
    </row>
    <row r="5" spans="1:12" ht="12" customHeight="1" x14ac:dyDescent="0.25">
      <c r="C5" s="208"/>
      <c r="D5" s="208"/>
      <c r="E5" s="208"/>
      <c r="F5" s="208"/>
      <c r="G5" s="208"/>
      <c r="H5" s="208"/>
      <c r="I5" s="208"/>
      <c r="J5" s="208"/>
    </row>
    <row r="6" spans="1:12" ht="12" customHeight="1" x14ac:dyDescent="0.25">
      <c r="D6" s="227" t="s">
        <v>435</v>
      </c>
      <c r="E6" s="227"/>
      <c r="F6" s="227"/>
      <c r="G6" s="227"/>
      <c r="H6" s="227"/>
      <c r="I6" s="227"/>
      <c r="J6" s="227"/>
    </row>
    <row r="7" spans="1:12" ht="12" customHeight="1" x14ac:dyDescent="0.25">
      <c r="B7" s="3" t="s">
        <v>85</v>
      </c>
      <c r="D7" s="227"/>
      <c r="E7" s="227"/>
      <c r="F7" s="227"/>
      <c r="G7" s="227"/>
      <c r="H7" s="227"/>
      <c r="I7" s="227"/>
      <c r="J7" s="227"/>
    </row>
    <row r="8" spans="1:12" ht="12" customHeight="1" x14ac:dyDescent="0.25">
      <c r="B8" s="2"/>
    </row>
    <row r="9" spans="1:12" ht="12" customHeight="1" x14ac:dyDescent="0.25">
      <c r="B9" s="308" t="s">
        <v>82</v>
      </c>
      <c r="C9" s="308"/>
      <c r="D9" s="308"/>
      <c r="E9" s="308"/>
      <c r="F9" s="308"/>
      <c r="G9" s="308" t="s">
        <v>84</v>
      </c>
      <c r="H9" s="308" t="s">
        <v>90</v>
      </c>
      <c r="I9" s="308" t="s">
        <v>192</v>
      </c>
      <c r="J9" s="14" t="s">
        <v>91</v>
      </c>
      <c r="K9" s="308" t="s">
        <v>83</v>
      </c>
    </row>
    <row r="10" spans="1:12" ht="12" customHeight="1" x14ac:dyDescent="0.25">
      <c r="B10" s="309"/>
      <c r="C10" s="309"/>
      <c r="D10" s="309"/>
      <c r="E10" s="309"/>
      <c r="F10" s="309"/>
      <c r="G10" s="310"/>
      <c r="H10" s="309"/>
      <c r="I10" s="309"/>
      <c r="J10" s="15" t="s">
        <v>90</v>
      </c>
      <c r="K10" s="309"/>
    </row>
    <row r="11" spans="1:12" s="45" customFormat="1" ht="8.5500000000000007" customHeight="1" x14ac:dyDescent="0.2">
      <c r="A11" s="43"/>
      <c r="B11" s="401" t="s">
        <v>847</v>
      </c>
      <c r="C11" s="156"/>
      <c r="D11" s="156"/>
      <c r="E11" s="156"/>
      <c r="F11" s="156"/>
      <c r="G11" s="484">
        <v>1966</v>
      </c>
      <c r="H11" s="304">
        <v>93</v>
      </c>
      <c r="I11" s="305"/>
      <c r="J11" s="211" t="s">
        <v>860</v>
      </c>
      <c r="K11" s="234">
        <v>2</v>
      </c>
      <c r="L11" s="43"/>
    </row>
    <row r="12" spans="1:12" s="45" customFormat="1" ht="8.5500000000000007" customHeight="1" x14ac:dyDescent="0.2">
      <c r="A12" s="43"/>
      <c r="B12" s="158"/>
      <c r="C12" s="158"/>
      <c r="D12" s="158"/>
      <c r="E12" s="158"/>
      <c r="F12" s="158"/>
      <c r="G12" s="484"/>
      <c r="H12" s="303"/>
      <c r="I12" s="306"/>
      <c r="J12" s="168"/>
      <c r="K12" s="235"/>
      <c r="L12" s="43"/>
    </row>
    <row r="13" spans="1:12" s="45" customFormat="1" ht="8.5500000000000007" customHeight="1" x14ac:dyDescent="0.2">
      <c r="A13" s="43"/>
      <c r="B13" s="401" t="s">
        <v>847</v>
      </c>
      <c r="C13" s="156"/>
      <c r="D13" s="156"/>
      <c r="E13" s="156"/>
      <c r="F13" s="156"/>
      <c r="G13" s="484">
        <v>1967</v>
      </c>
      <c r="H13" s="304">
        <v>90</v>
      </c>
      <c r="I13" s="305">
        <v>91</v>
      </c>
      <c r="J13" s="211" t="s">
        <v>925</v>
      </c>
      <c r="K13" s="234">
        <v>1</v>
      </c>
      <c r="L13" s="43"/>
    </row>
    <row r="14" spans="1:12" s="45" customFormat="1" ht="8.5500000000000007" customHeight="1" x14ac:dyDescent="0.2">
      <c r="A14" s="43"/>
      <c r="B14" s="158"/>
      <c r="C14" s="158"/>
      <c r="D14" s="158"/>
      <c r="E14" s="158"/>
      <c r="F14" s="158"/>
      <c r="G14" s="484"/>
      <c r="H14" s="303"/>
      <c r="I14" s="306"/>
      <c r="J14" s="168"/>
      <c r="K14" s="235"/>
      <c r="L14" s="43"/>
    </row>
    <row r="15" spans="1:12" s="45" customFormat="1" ht="8.5500000000000007" customHeight="1" x14ac:dyDescent="0.2">
      <c r="A15" s="43"/>
      <c r="B15" s="401" t="s">
        <v>847</v>
      </c>
      <c r="C15" s="156"/>
      <c r="D15" s="156"/>
      <c r="E15" s="156"/>
      <c r="F15" s="156"/>
      <c r="G15" s="484">
        <v>1971</v>
      </c>
      <c r="H15" s="304">
        <v>96</v>
      </c>
      <c r="I15" s="305">
        <v>92</v>
      </c>
      <c r="J15" s="211" t="s">
        <v>924</v>
      </c>
      <c r="K15" s="234">
        <v>1</v>
      </c>
      <c r="L15" s="43"/>
    </row>
    <row r="16" spans="1:12" s="45" customFormat="1" ht="8.5500000000000007" customHeight="1" x14ac:dyDescent="0.2">
      <c r="A16" s="43"/>
      <c r="B16" s="158"/>
      <c r="C16" s="158"/>
      <c r="D16" s="158"/>
      <c r="E16" s="158"/>
      <c r="F16" s="158"/>
      <c r="G16" s="484"/>
      <c r="H16" s="303"/>
      <c r="I16" s="306"/>
      <c r="J16" s="168"/>
      <c r="K16" s="235"/>
      <c r="L16" s="43"/>
    </row>
    <row r="17" spans="1:12" s="45" customFormat="1" ht="8.5500000000000007" customHeight="1" x14ac:dyDescent="0.2">
      <c r="A17" s="43"/>
      <c r="B17" s="401" t="s">
        <v>847</v>
      </c>
      <c r="C17" s="156"/>
      <c r="D17" s="156"/>
      <c r="E17" s="156"/>
      <c r="F17" s="156"/>
      <c r="G17" s="484">
        <v>1973</v>
      </c>
      <c r="H17" s="304">
        <v>90</v>
      </c>
      <c r="I17" s="305">
        <v>87</v>
      </c>
      <c r="J17" s="211" t="s">
        <v>866</v>
      </c>
      <c r="K17" s="234">
        <v>2</v>
      </c>
      <c r="L17" s="43"/>
    </row>
    <row r="18" spans="1:12" s="45" customFormat="1" ht="8.5500000000000007" customHeight="1" x14ac:dyDescent="0.2">
      <c r="A18" s="43"/>
      <c r="B18" s="158"/>
      <c r="C18" s="158"/>
      <c r="D18" s="158"/>
      <c r="E18" s="158"/>
      <c r="F18" s="158"/>
      <c r="G18" s="484"/>
      <c r="H18" s="303"/>
      <c r="I18" s="306"/>
      <c r="J18" s="168"/>
      <c r="K18" s="235"/>
      <c r="L18" s="43"/>
    </row>
    <row r="19" spans="1:12" s="45" customFormat="1" ht="8.5500000000000007" customHeight="1" x14ac:dyDescent="0.2">
      <c r="A19" s="43"/>
      <c r="B19" s="401" t="s">
        <v>847</v>
      </c>
      <c r="C19" s="156"/>
      <c r="D19" s="156"/>
      <c r="E19" s="156"/>
      <c r="F19" s="156"/>
      <c r="G19" s="484">
        <v>1975</v>
      </c>
      <c r="H19" s="304">
        <v>92</v>
      </c>
      <c r="I19" s="305"/>
      <c r="J19" s="211" t="s">
        <v>1624</v>
      </c>
      <c r="K19" s="234">
        <v>3</v>
      </c>
      <c r="L19" s="43"/>
    </row>
    <row r="20" spans="1:12" s="45" customFormat="1" ht="8.5500000000000007" customHeight="1" x14ac:dyDescent="0.2">
      <c r="A20" s="43"/>
      <c r="B20" s="158"/>
      <c r="C20" s="158"/>
      <c r="D20" s="158"/>
      <c r="E20" s="158"/>
      <c r="F20" s="158"/>
      <c r="G20" s="484"/>
      <c r="H20" s="303"/>
      <c r="I20" s="306"/>
      <c r="J20" s="168"/>
      <c r="K20" s="235"/>
      <c r="L20" s="43"/>
    </row>
    <row r="21" spans="1:12" s="45" customFormat="1" ht="8.5500000000000007" customHeight="1" x14ac:dyDescent="0.2">
      <c r="A21" s="43"/>
      <c r="B21" s="401" t="s">
        <v>847</v>
      </c>
      <c r="C21" s="156"/>
      <c r="D21" s="156"/>
      <c r="E21" s="156"/>
      <c r="F21" s="156"/>
      <c r="G21" s="484">
        <v>1977</v>
      </c>
      <c r="H21" s="304">
        <v>93</v>
      </c>
      <c r="I21" s="305"/>
      <c r="J21" s="211" t="s">
        <v>1576</v>
      </c>
      <c r="K21" s="234">
        <v>3</v>
      </c>
      <c r="L21" s="43"/>
    </row>
    <row r="22" spans="1:12" s="45" customFormat="1" ht="8.5500000000000007" customHeight="1" x14ac:dyDescent="0.2">
      <c r="A22" s="43"/>
      <c r="B22" s="158"/>
      <c r="C22" s="158"/>
      <c r="D22" s="158"/>
      <c r="E22" s="158"/>
      <c r="F22" s="158"/>
      <c r="G22" s="484"/>
      <c r="H22" s="303"/>
      <c r="I22" s="306"/>
      <c r="J22" s="168"/>
      <c r="K22" s="235"/>
      <c r="L22" s="43"/>
    </row>
    <row r="23" spans="1:12" s="45" customFormat="1" ht="8.5500000000000007" customHeight="1" x14ac:dyDescent="0.2">
      <c r="A23" s="43"/>
      <c r="B23" s="401" t="s">
        <v>847</v>
      </c>
      <c r="C23" s="156"/>
      <c r="D23" s="156"/>
      <c r="E23" s="156"/>
      <c r="F23" s="156"/>
      <c r="G23" s="484">
        <v>1980</v>
      </c>
      <c r="H23" s="304" t="s">
        <v>633</v>
      </c>
      <c r="I23" s="305"/>
      <c r="J23" s="211"/>
      <c r="K23" s="234">
        <v>1</v>
      </c>
      <c r="L23" s="43"/>
    </row>
    <row r="24" spans="1:12" s="45" customFormat="1" ht="8.5500000000000007" customHeight="1" x14ac:dyDescent="0.2">
      <c r="A24" s="43"/>
      <c r="B24" s="158"/>
      <c r="C24" s="158"/>
      <c r="D24" s="158"/>
      <c r="E24" s="158"/>
      <c r="F24" s="158"/>
      <c r="G24" s="484"/>
      <c r="H24" s="303"/>
      <c r="I24" s="306"/>
      <c r="J24" s="168"/>
      <c r="K24" s="235"/>
      <c r="L24" s="43"/>
    </row>
    <row r="25" spans="1:12" s="45" customFormat="1" ht="8.5500000000000007" customHeight="1" x14ac:dyDescent="0.2">
      <c r="A25" s="43"/>
      <c r="B25" s="401" t="s">
        <v>847</v>
      </c>
      <c r="C25" s="156"/>
      <c r="D25" s="156"/>
      <c r="E25" s="156"/>
      <c r="F25" s="156"/>
      <c r="G25" s="484">
        <v>1981</v>
      </c>
      <c r="H25" s="304">
        <v>97</v>
      </c>
      <c r="I25" s="305">
        <v>89</v>
      </c>
      <c r="J25" s="211" t="s">
        <v>517</v>
      </c>
      <c r="K25" s="234">
        <v>5</v>
      </c>
      <c r="L25" s="43"/>
    </row>
    <row r="26" spans="1:12" s="45" customFormat="1" ht="8.5500000000000007" customHeight="1" x14ac:dyDescent="0.2">
      <c r="A26" s="43"/>
      <c r="B26" s="158"/>
      <c r="C26" s="158"/>
      <c r="D26" s="158"/>
      <c r="E26" s="158"/>
      <c r="F26" s="158"/>
      <c r="G26" s="484"/>
      <c r="H26" s="303"/>
      <c r="I26" s="306"/>
      <c r="J26" s="168"/>
      <c r="K26" s="235"/>
      <c r="L26" s="43"/>
    </row>
    <row r="27" spans="1:12" s="45" customFormat="1" ht="8.5500000000000007" customHeight="1" x14ac:dyDescent="0.2">
      <c r="A27" s="43"/>
      <c r="B27" s="401" t="s">
        <v>847</v>
      </c>
      <c r="C27" s="156"/>
      <c r="D27" s="156"/>
      <c r="E27" s="156"/>
      <c r="F27" s="156"/>
      <c r="G27" s="484">
        <v>1982</v>
      </c>
      <c r="H27" s="304">
        <v>97</v>
      </c>
      <c r="I27" s="305">
        <v>92</v>
      </c>
      <c r="J27" s="211" t="s">
        <v>362</v>
      </c>
      <c r="K27" s="234">
        <v>3</v>
      </c>
      <c r="L27" s="43"/>
    </row>
    <row r="28" spans="1:12" s="45" customFormat="1" ht="8.5500000000000007" customHeight="1" x14ac:dyDescent="0.2">
      <c r="A28" s="43"/>
      <c r="B28" s="158"/>
      <c r="C28" s="158"/>
      <c r="D28" s="158"/>
      <c r="E28" s="158"/>
      <c r="F28" s="158"/>
      <c r="G28" s="484"/>
      <c r="H28" s="303"/>
      <c r="I28" s="306"/>
      <c r="J28" s="168"/>
      <c r="K28" s="235"/>
      <c r="L28" s="43"/>
    </row>
    <row r="29" spans="1:12" s="45" customFormat="1" ht="8.5500000000000007" customHeight="1" x14ac:dyDescent="0.2">
      <c r="A29" s="43"/>
      <c r="B29" s="401" t="s">
        <v>847</v>
      </c>
      <c r="C29" s="156"/>
      <c r="D29" s="156"/>
      <c r="E29" s="156"/>
      <c r="F29" s="156"/>
      <c r="G29" s="484">
        <v>1984</v>
      </c>
      <c r="H29" s="304">
        <v>94</v>
      </c>
      <c r="I29" s="305"/>
      <c r="J29" s="211"/>
      <c r="K29" s="234">
        <v>2</v>
      </c>
      <c r="L29" s="43"/>
    </row>
    <row r="30" spans="1:12" s="45" customFormat="1" ht="8.5500000000000007" customHeight="1" x14ac:dyDescent="0.2">
      <c r="A30" s="43"/>
      <c r="B30" s="158"/>
      <c r="C30" s="158"/>
      <c r="D30" s="158"/>
      <c r="E30" s="158"/>
      <c r="F30" s="158"/>
      <c r="G30" s="484"/>
      <c r="H30" s="303"/>
      <c r="I30" s="306"/>
      <c r="J30" s="168"/>
      <c r="K30" s="235"/>
      <c r="L30" s="43"/>
    </row>
    <row r="31" spans="1:12" s="45" customFormat="1" ht="8.5500000000000007" customHeight="1" x14ac:dyDescent="0.2">
      <c r="A31" s="43"/>
      <c r="B31" s="401" t="s">
        <v>847</v>
      </c>
      <c r="C31" s="156"/>
      <c r="D31" s="156"/>
      <c r="E31" s="156"/>
      <c r="F31" s="156"/>
      <c r="G31" s="484">
        <v>1986</v>
      </c>
      <c r="H31" s="304" t="s">
        <v>629</v>
      </c>
      <c r="I31" s="305">
        <v>98</v>
      </c>
      <c r="J31" s="211" t="s">
        <v>363</v>
      </c>
      <c r="K31" s="234">
        <v>6</v>
      </c>
      <c r="L31" s="43"/>
    </row>
    <row r="32" spans="1:12" s="45" customFormat="1" ht="8.5500000000000007" customHeight="1" x14ac:dyDescent="0.2">
      <c r="A32" s="43"/>
      <c r="B32" s="158"/>
      <c r="C32" s="158"/>
      <c r="D32" s="158"/>
      <c r="E32" s="158"/>
      <c r="F32" s="158"/>
      <c r="G32" s="484"/>
      <c r="H32" s="303"/>
      <c r="I32" s="306"/>
      <c r="J32" s="168"/>
      <c r="K32" s="235"/>
      <c r="L32" s="43"/>
    </row>
    <row r="33" spans="1:12" s="45" customFormat="1" ht="8.5500000000000007" customHeight="1" x14ac:dyDescent="0.2">
      <c r="A33" s="43"/>
      <c r="B33" s="401" t="s">
        <v>402</v>
      </c>
      <c r="C33" s="156"/>
      <c r="D33" s="156"/>
      <c r="E33" s="156"/>
      <c r="F33" s="156"/>
      <c r="G33" s="484">
        <v>1990</v>
      </c>
      <c r="H33" s="304">
        <v>95</v>
      </c>
      <c r="I33" s="305"/>
      <c r="J33" s="211" t="s">
        <v>926</v>
      </c>
      <c r="K33" s="234">
        <v>1</v>
      </c>
      <c r="L33" s="43"/>
    </row>
    <row r="34" spans="1:12" s="45" customFormat="1" ht="8.5500000000000007" customHeight="1" x14ac:dyDescent="0.2">
      <c r="A34" s="43"/>
      <c r="B34" s="158"/>
      <c r="C34" s="158"/>
      <c r="D34" s="158"/>
      <c r="E34" s="158"/>
      <c r="F34" s="158"/>
      <c r="G34" s="484"/>
      <c r="H34" s="303"/>
      <c r="I34" s="306"/>
      <c r="J34" s="168"/>
      <c r="K34" s="235"/>
      <c r="L34" s="43"/>
    </row>
    <row r="35" spans="1:12" s="45" customFormat="1" ht="8.5500000000000007" customHeight="1" x14ac:dyDescent="0.2">
      <c r="A35" s="43"/>
      <c r="B35" s="401" t="s">
        <v>402</v>
      </c>
      <c r="C35" s="156"/>
      <c r="D35" s="156"/>
      <c r="E35" s="156"/>
      <c r="F35" s="156"/>
      <c r="G35" s="484">
        <v>1991</v>
      </c>
      <c r="H35" s="304">
        <v>93</v>
      </c>
      <c r="I35" s="305">
        <v>95</v>
      </c>
      <c r="J35" s="211" t="s">
        <v>364</v>
      </c>
      <c r="K35" s="234">
        <v>1</v>
      </c>
      <c r="L35" s="43"/>
    </row>
    <row r="36" spans="1:12" s="45" customFormat="1" ht="8.5500000000000007" customHeight="1" x14ac:dyDescent="0.2">
      <c r="A36" s="43"/>
      <c r="B36" s="158"/>
      <c r="C36" s="158"/>
      <c r="D36" s="158"/>
      <c r="E36" s="158"/>
      <c r="F36" s="158"/>
      <c r="G36" s="484"/>
      <c r="H36" s="303"/>
      <c r="I36" s="306"/>
      <c r="J36" s="168"/>
      <c r="K36" s="235"/>
      <c r="L36" s="43"/>
    </row>
    <row r="37" spans="1:12" s="45" customFormat="1" ht="8.5500000000000007" customHeight="1" x14ac:dyDescent="0.2">
      <c r="A37" s="43"/>
      <c r="B37" s="401" t="s">
        <v>402</v>
      </c>
      <c r="C37" s="156"/>
      <c r="D37" s="156"/>
      <c r="E37" s="156"/>
      <c r="F37" s="156"/>
      <c r="G37" s="484">
        <v>1997</v>
      </c>
      <c r="H37" s="304">
        <v>94</v>
      </c>
      <c r="I37" s="305"/>
      <c r="J37" s="211"/>
      <c r="K37" s="234">
        <v>1</v>
      </c>
      <c r="L37" s="43"/>
    </row>
    <row r="38" spans="1:12" s="45" customFormat="1" ht="8.5500000000000007" customHeight="1" x14ac:dyDescent="0.2">
      <c r="A38" s="43"/>
      <c r="B38" s="158"/>
      <c r="C38" s="158"/>
      <c r="D38" s="158"/>
      <c r="E38" s="158"/>
      <c r="F38" s="158"/>
      <c r="G38" s="484"/>
      <c r="H38" s="303"/>
      <c r="I38" s="306"/>
      <c r="J38" s="168"/>
      <c r="K38" s="235"/>
      <c r="L38" s="43"/>
    </row>
    <row r="39" spans="1:12" s="45" customFormat="1" ht="8.5500000000000007" customHeight="1" x14ac:dyDescent="0.2">
      <c r="A39" s="43"/>
      <c r="B39" s="401" t="s">
        <v>402</v>
      </c>
      <c r="C39" s="156"/>
      <c r="D39" s="156"/>
      <c r="E39" s="156"/>
      <c r="F39" s="156"/>
      <c r="G39" s="484">
        <v>1998</v>
      </c>
      <c r="H39" s="304" t="s">
        <v>629</v>
      </c>
      <c r="I39" s="305">
        <v>97</v>
      </c>
      <c r="J39" s="211" t="s">
        <v>363</v>
      </c>
      <c r="K39" s="234">
        <v>5</v>
      </c>
      <c r="L39" s="43"/>
    </row>
    <row r="40" spans="1:12" s="45" customFormat="1" ht="8.5500000000000007" customHeight="1" x14ac:dyDescent="0.2">
      <c r="A40" s="43"/>
      <c r="B40" s="158"/>
      <c r="C40" s="158"/>
      <c r="D40" s="158"/>
      <c r="E40" s="158"/>
      <c r="F40" s="158"/>
      <c r="G40" s="484"/>
      <c r="H40" s="303"/>
      <c r="I40" s="306"/>
      <c r="J40" s="168"/>
      <c r="K40" s="235"/>
      <c r="L40" s="43"/>
    </row>
    <row r="41" spans="1:12" s="45" customFormat="1" ht="8.5500000000000007" customHeight="1" x14ac:dyDescent="0.2">
      <c r="A41" s="43"/>
      <c r="B41" s="401" t="s">
        <v>402</v>
      </c>
      <c r="C41" s="156"/>
      <c r="D41" s="156"/>
      <c r="E41" s="156"/>
      <c r="F41" s="156"/>
      <c r="G41" s="484">
        <v>1999</v>
      </c>
      <c r="H41" s="304">
        <v>92</v>
      </c>
      <c r="I41" s="305">
        <v>94</v>
      </c>
      <c r="J41" s="211" t="s">
        <v>365</v>
      </c>
      <c r="K41" s="234">
        <v>5</v>
      </c>
      <c r="L41" s="43"/>
    </row>
    <row r="42" spans="1:12" s="45" customFormat="1" ht="8.5500000000000007" customHeight="1" x14ac:dyDescent="0.2">
      <c r="A42" s="43"/>
      <c r="B42" s="158"/>
      <c r="C42" s="158"/>
      <c r="D42" s="158"/>
      <c r="E42" s="158"/>
      <c r="F42" s="158"/>
      <c r="G42" s="484"/>
      <c r="H42" s="303"/>
      <c r="I42" s="306"/>
      <c r="J42" s="168"/>
      <c r="K42" s="235"/>
      <c r="L42" s="43"/>
    </row>
    <row r="43" spans="1:12" s="45" customFormat="1" ht="8.5500000000000007" customHeight="1" x14ac:dyDescent="0.2">
      <c r="A43" s="43"/>
      <c r="B43" s="401" t="s">
        <v>402</v>
      </c>
      <c r="C43" s="156"/>
      <c r="D43" s="156"/>
      <c r="E43" s="156"/>
      <c r="F43" s="156"/>
      <c r="G43" s="484">
        <v>2001</v>
      </c>
      <c r="H43" s="304" t="s">
        <v>660</v>
      </c>
      <c r="I43" s="305">
        <v>93</v>
      </c>
      <c r="J43" s="211" t="s">
        <v>225</v>
      </c>
      <c r="K43" s="234">
        <v>2</v>
      </c>
      <c r="L43" s="43"/>
    </row>
    <row r="44" spans="1:12" s="45" customFormat="1" ht="8.5500000000000007" customHeight="1" x14ac:dyDescent="0.2">
      <c r="A44" s="43"/>
      <c r="B44" s="158"/>
      <c r="C44" s="158"/>
      <c r="D44" s="158"/>
      <c r="E44" s="158"/>
      <c r="F44" s="158"/>
      <c r="G44" s="484"/>
      <c r="H44" s="303"/>
      <c r="I44" s="306"/>
      <c r="J44" s="168"/>
      <c r="K44" s="235"/>
      <c r="L44" s="43"/>
    </row>
    <row r="45" spans="1:12" s="45" customFormat="1" ht="8.5500000000000007" customHeight="1" x14ac:dyDescent="0.2">
      <c r="A45" s="43"/>
      <c r="B45" s="401" t="s">
        <v>402</v>
      </c>
      <c r="C45" s="156"/>
      <c r="D45" s="156"/>
      <c r="E45" s="156"/>
      <c r="F45" s="156"/>
      <c r="G45" s="484">
        <v>2002</v>
      </c>
      <c r="H45" s="304">
        <v>98</v>
      </c>
      <c r="I45" s="305">
        <v>95</v>
      </c>
      <c r="J45" s="211" t="s">
        <v>366</v>
      </c>
      <c r="K45" s="234">
        <v>2</v>
      </c>
      <c r="L45" s="43"/>
    </row>
    <row r="46" spans="1:12" s="45" customFormat="1" ht="8.5500000000000007" customHeight="1" x14ac:dyDescent="0.2">
      <c r="A46" s="43"/>
      <c r="B46" s="158"/>
      <c r="C46" s="158"/>
      <c r="D46" s="158"/>
      <c r="E46" s="158"/>
      <c r="F46" s="158"/>
      <c r="G46" s="484"/>
      <c r="H46" s="303"/>
      <c r="I46" s="306"/>
      <c r="J46" s="168"/>
      <c r="K46" s="235"/>
      <c r="L46" s="43"/>
    </row>
    <row r="47" spans="1:12" s="45" customFormat="1" ht="8.5500000000000007" customHeight="1" x14ac:dyDescent="0.2">
      <c r="A47" s="43"/>
      <c r="B47" s="401" t="s">
        <v>197</v>
      </c>
      <c r="C47" s="156"/>
      <c r="D47" s="156"/>
      <c r="E47" s="156"/>
      <c r="F47" s="156"/>
      <c r="G47" s="484">
        <v>2003</v>
      </c>
      <c r="H47" s="304">
        <v>92</v>
      </c>
      <c r="I47" s="305">
        <v>94</v>
      </c>
      <c r="J47" s="211" t="s">
        <v>259</v>
      </c>
      <c r="K47" s="234">
        <v>1</v>
      </c>
      <c r="L47" s="43"/>
    </row>
    <row r="48" spans="1:12" s="45" customFormat="1" ht="8.5500000000000007" customHeight="1" x14ac:dyDescent="0.2">
      <c r="A48" s="43"/>
      <c r="B48" s="158"/>
      <c r="C48" s="158"/>
      <c r="D48" s="158"/>
      <c r="E48" s="158"/>
      <c r="F48" s="158"/>
      <c r="G48" s="484"/>
      <c r="H48" s="303"/>
      <c r="I48" s="306"/>
      <c r="J48" s="168"/>
      <c r="K48" s="235"/>
      <c r="L48" s="43"/>
    </row>
    <row r="49" spans="1:12" s="45" customFormat="1" ht="8.5500000000000007" customHeight="1" x14ac:dyDescent="0.2">
      <c r="A49" s="43"/>
      <c r="B49" s="401" t="s">
        <v>197</v>
      </c>
      <c r="C49" s="156"/>
      <c r="D49" s="156"/>
      <c r="E49" s="156"/>
      <c r="F49" s="156"/>
      <c r="G49" s="484">
        <v>2004</v>
      </c>
      <c r="H49" s="304">
        <v>99</v>
      </c>
      <c r="I49" s="305">
        <v>98</v>
      </c>
      <c r="J49" s="211" t="s">
        <v>367</v>
      </c>
      <c r="K49" s="234">
        <v>4</v>
      </c>
      <c r="L49" s="43"/>
    </row>
    <row r="50" spans="1:12" s="45" customFormat="1" ht="8.5500000000000007" customHeight="1" x14ac:dyDescent="0.2">
      <c r="A50" s="43"/>
      <c r="B50" s="158"/>
      <c r="C50" s="158"/>
      <c r="D50" s="158"/>
      <c r="E50" s="158"/>
      <c r="F50" s="158"/>
      <c r="G50" s="484"/>
      <c r="H50" s="303"/>
      <c r="I50" s="306"/>
      <c r="J50" s="168"/>
      <c r="K50" s="235"/>
      <c r="L50" s="43"/>
    </row>
    <row r="51" spans="1:12" s="45" customFormat="1" ht="8.5500000000000007" customHeight="1" x14ac:dyDescent="0.2">
      <c r="A51" s="43"/>
      <c r="B51" s="401" t="s">
        <v>197</v>
      </c>
      <c r="C51" s="156"/>
      <c r="D51" s="156"/>
      <c r="E51" s="156"/>
      <c r="F51" s="156"/>
      <c r="G51" s="484">
        <v>2005</v>
      </c>
      <c r="H51" s="304">
        <v>97</v>
      </c>
      <c r="I51" s="305"/>
      <c r="J51" s="211" t="s">
        <v>127</v>
      </c>
      <c r="K51" s="234">
        <v>1</v>
      </c>
      <c r="L51" s="43"/>
    </row>
    <row r="52" spans="1:12" s="45" customFormat="1" ht="8.5500000000000007" customHeight="1" x14ac:dyDescent="0.2">
      <c r="A52" s="43"/>
      <c r="B52" s="158"/>
      <c r="C52" s="158"/>
      <c r="D52" s="158"/>
      <c r="E52" s="158"/>
      <c r="F52" s="158"/>
      <c r="G52" s="484"/>
      <c r="H52" s="303"/>
      <c r="I52" s="306"/>
      <c r="J52" s="168"/>
      <c r="K52" s="235"/>
      <c r="L52" s="43"/>
    </row>
    <row r="53" spans="1:12" s="45" customFormat="1" ht="8.5500000000000007" customHeight="1" x14ac:dyDescent="0.2">
      <c r="A53" s="43"/>
      <c r="B53" s="401" t="s">
        <v>1083</v>
      </c>
      <c r="C53" s="156"/>
      <c r="D53" s="156"/>
      <c r="E53" s="156"/>
      <c r="F53" s="156"/>
      <c r="G53" s="484">
        <v>1981</v>
      </c>
      <c r="H53" s="304"/>
      <c r="I53" s="305"/>
      <c r="J53" s="485"/>
      <c r="K53" s="234">
        <v>1</v>
      </c>
      <c r="L53" s="43"/>
    </row>
    <row r="54" spans="1:12" s="45" customFormat="1" ht="8.5500000000000007" customHeight="1" x14ac:dyDescent="0.2">
      <c r="A54" s="43"/>
      <c r="B54" s="158"/>
      <c r="C54" s="158"/>
      <c r="D54" s="158"/>
      <c r="E54" s="158"/>
      <c r="F54" s="158"/>
      <c r="G54" s="484"/>
      <c r="H54" s="303"/>
      <c r="I54" s="306"/>
      <c r="J54" s="168"/>
      <c r="K54" s="235"/>
      <c r="L54" s="43"/>
    </row>
    <row r="55" spans="1:12" s="45" customFormat="1" ht="8.5500000000000007" customHeight="1" x14ac:dyDescent="0.2">
      <c r="A55" s="43"/>
      <c r="B55" s="401" t="s">
        <v>1530</v>
      </c>
      <c r="C55" s="156"/>
      <c r="D55" s="156"/>
      <c r="E55" s="156"/>
      <c r="F55" s="156"/>
      <c r="G55" s="484">
        <v>1985</v>
      </c>
      <c r="H55" s="304"/>
      <c r="I55" s="305"/>
      <c r="J55" s="211"/>
      <c r="K55" s="234">
        <v>1</v>
      </c>
      <c r="L55" s="43"/>
    </row>
    <row r="56" spans="1:12" s="45" customFormat="1" ht="8.5500000000000007" customHeight="1" x14ac:dyDescent="0.2">
      <c r="A56" s="43"/>
      <c r="B56" s="158"/>
      <c r="C56" s="158"/>
      <c r="D56" s="158"/>
      <c r="E56" s="158"/>
      <c r="F56" s="158"/>
      <c r="G56" s="484"/>
      <c r="H56" s="303"/>
      <c r="I56" s="306"/>
      <c r="J56" s="168"/>
      <c r="K56" s="235"/>
      <c r="L56" s="43"/>
    </row>
    <row r="57" spans="1:12" s="45" customFormat="1" ht="8.5500000000000007" customHeight="1" x14ac:dyDescent="0.2">
      <c r="A57" s="43"/>
      <c r="B57" s="401" t="s">
        <v>1083</v>
      </c>
      <c r="C57" s="156"/>
      <c r="D57" s="156"/>
      <c r="E57" s="156"/>
      <c r="F57" s="156"/>
      <c r="G57" s="484">
        <v>2009</v>
      </c>
      <c r="H57" s="304"/>
      <c r="I57" s="305"/>
      <c r="J57" s="485"/>
      <c r="K57" s="234">
        <v>1</v>
      </c>
      <c r="L57" s="43"/>
    </row>
    <row r="58" spans="1:12" s="45" customFormat="1" ht="8.5500000000000007" customHeight="1" x14ac:dyDescent="0.2">
      <c r="A58" s="43"/>
      <c r="B58" s="158"/>
      <c r="C58" s="158"/>
      <c r="D58" s="158"/>
      <c r="E58" s="158"/>
      <c r="F58" s="158"/>
      <c r="G58" s="484"/>
      <c r="H58" s="303"/>
      <c r="I58" s="306"/>
      <c r="J58" s="168"/>
      <c r="K58" s="235"/>
      <c r="L58" s="43"/>
    </row>
    <row r="59" spans="1:12" s="45" customFormat="1" ht="8.5500000000000007" customHeight="1" x14ac:dyDescent="0.2">
      <c r="A59" s="43"/>
      <c r="B59" s="401" t="s">
        <v>403</v>
      </c>
      <c r="C59" s="156"/>
      <c r="D59" s="156"/>
      <c r="E59" s="156"/>
      <c r="F59" s="156"/>
      <c r="G59" s="484">
        <v>1986</v>
      </c>
      <c r="H59" s="304"/>
      <c r="I59" s="305"/>
      <c r="J59" s="211"/>
      <c r="K59" s="234">
        <v>1</v>
      </c>
      <c r="L59" s="43"/>
    </row>
    <row r="60" spans="1:12" s="45" customFormat="1" ht="8.5500000000000007" customHeight="1" x14ac:dyDescent="0.2">
      <c r="A60" s="43"/>
      <c r="B60" s="158"/>
      <c r="C60" s="158"/>
      <c r="D60" s="158"/>
      <c r="E60" s="158"/>
      <c r="F60" s="158"/>
      <c r="G60" s="484"/>
      <c r="H60" s="303"/>
      <c r="I60" s="306"/>
      <c r="J60" s="168"/>
      <c r="K60" s="235"/>
      <c r="L60" s="43"/>
    </row>
    <row r="61" spans="1:12" s="45" customFormat="1" ht="8.5500000000000007" customHeight="1" x14ac:dyDescent="0.2">
      <c r="A61" s="43"/>
      <c r="B61" s="401" t="s">
        <v>403</v>
      </c>
      <c r="C61" s="156"/>
      <c r="D61" s="156"/>
      <c r="E61" s="156"/>
      <c r="F61" s="156"/>
      <c r="G61" s="484">
        <v>1998</v>
      </c>
      <c r="H61" s="304">
        <v>90</v>
      </c>
      <c r="I61" s="305"/>
      <c r="J61" s="211"/>
      <c r="K61" s="234">
        <v>1</v>
      </c>
      <c r="L61" s="43"/>
    </row>
    <row r="62" spans="1:12" s="45" customFormat="1" ht="8.5500000000000007" customHeight="1" x14ac:dyDescent="0.2">
      <c r="A62" s="43"/>
      <c r="B62" s="158"/>
      <c r="C62" s="158"/>
      <c r="D62" s="158"/>
      <c r="E62" s="158"/>
      <c r="F62" s="158"/>
      <c r="G62" s="484"/>
      <c r="H62" s="303"/>
      <c r="I62" s="306"/>
      <c r="J62" s="168"/>
      <c r="K62" s="235"/>
      <c r="L62" s="43"/>
    </row>
    <row r="63" spans="1:12" s="45" customFormat="1" ht="8.5500000000000007" customHeight="1" x14ac:dyDescent="0.2">
      <c r="A63" s="43"/>
      <c r="B63" s="401" t="s">
        <v>403</v>
      </c>
      <c r="C63" s="156"/>
      <c r="D63" s="156"/>
      <c r="E63" s="156"/>
      <c r="F63" s="156"/>
      <c r="G63" s="484">
        <v>2005</v>
      </c>
      <c r="H63" s="304">
        <v>94</v>
      </c>
      <c r="I63" s="305"/>
      <c r="J63" s="211" t="s">
        <v>51</v>
      </c>
      <c r="K63" s="234">
        <v>1</v>
      </c>
      <c r="L63" s="43"/>
    </row>
    <row r="64" spans="1:12" s="45" customFormat="1" ht="8.5500000000000007" customHeight="1" x14ac:dyDescent="0.2">
      <c r="A64" s="43"/>
      <c r="B64" s="158"/>
      <c r="C64" s="158"/>
      <c r="D64" s="158"/>
      <c r="E64" s="158"/>
      <c r="F64" s="158"/>
      <c r="G64" s="484"/>
      <c r="H64" s="303"/>
      <c r="I64" s="306"/>
      <c r="J64" s="168"/>
      <c r="K64" s="235"/>
      <c r="L64" s="43"/>
    </row>
    <row r="65" spans="1:12" s="45" customFormat="1" ht="8.5500000000000007" customHeight="1" x14ac:dyDescent="0.2">
      <c r="A65" s="43"/>
      <c r="B65" s="401" t="s">
        <v>1505</v>
      </c>
      <c r="C65" s="156"/>
      <c r="D65" s="156"/>
      <c r="E65" s="156"/>
      <c r="F65" s="156"/>
      <c r="G65" s="484">
        <v>1996</v>
      </c>
      <c r="H65" s="304"/>
      <c r="I65" s="305"/>
      <c r="J65" s="211"/>
      <c r="K65" s="234">
        <v>1</v>
      </c>
      <c r="L65" s="43"/>
    </row>
    <row r="66" spans="1:12" s="45" customFormat="1" ht="8.5500000000000007" customHeight="1" x14ac:dyDescent="0.2">
      <c r="A66" s="43"/>
      <c r="B66" s="158"/>
      <c r="C66" s="158"/>
      <c r="D66" s="158"/>
      <c r="E66" s="158"/>
      <c r="F66" s="158"/>
      <c r="G66" s="484"/>
      <c r="H66" s="303"/>
      <c r="I66" s="306"/>
      <c r="J66" s="168"/>
      <c r="K66" s="235"/>
      <c r="L66" s="43"/>
    </row>
    <row r="67" spans="1:12" s="45" customFormat="1" ht="8.5500000000000007" customHeight="1" x14ac:dyDescent="0.2">
      <c r="A67" s="43"/>
      <c r="B67" s="156" t="s">
        <v>605</v>
      </c>
      <c r="C67" s="156"/>
      <c r="D67" s="156"/>
      <c r="E67" s="156"/>
      <c r="F67" s="156"/>
      <c r="G67" s="484">
        <v>1987</v>
      </c>
      <c r="H67" s="304">
        <v>93</v>
      </c>
      <c r="I67" s="305"/>
      <c r="J67" s="160"/>
      <c r="K67" s="234">
        <v>4</v>
      </c>
      <c r="L67" s="43"/>
    </row>
    <row r="68" spans="1:12" s="45" customFormat="1" ht="8.5500000000000007" customHeight="1" x14ac:dyDescent="0.2">
      <c r="A68" s="43"/>
      <c r="B68" s="158"/>
      <c r="C68" s="158"/>
      <c r="D68" s="158"/>
      <c r="E68" s="158"/>
      <c r="F68" s="158"/>
      <c r="G68" s="484"/>
      <c r="H68" s="303"/>
      <c r="I68" s="306"/>
      <c r="J68" s="161"/>
      <c r="K68" s="235"/>
      <c r="L68" s="43"/>
    </row>
    <row r="69" spans="1:12" s="45" customFormat="1" ht="8.5500000000000007" customHeight="1" x14ac:dyDescent="0.2">
      <c r="A69" s="43"/>
      <c r="B69" s="156" t="s">
        <v>840</v>
      </c>
      <c r="C69" s="156"/>
      <c r="D69" s="156"/>
      <c r="E69" s="156"/>
      <c r="F69" s="156"/>
      <c r="G69" s="484">
        <v>1987</v>
      </c>
      <c r="H69" s="304">
        <v>93</v>
      </c>
      <c r="I69" s="305"/>
      <c r="J69" s="160"/>
      <c r="K69" s="234">
        <v>1</v>
      </c>
      <c r="L69" s="43"/>
    </row>
    <row r="70" spans="1:12" s="45" customFormat="1" ht="8.5500000000000007" customHeight="1" x14ac:dyDescent="0.2">
      <c r="A70" s="43"/>
      <c r="B70" s="158"/>
      <c r="C70" s="158"/>
      <c r="D70" s="158"/>
      <c r="E70" s="158"/>
      <c r="F70" s="158"/>
      <c r="G70" s="484"/>
      <c r="H70" s="303"/>
      <c r="I70" s="306"/>
      <c r="J70" s="161"/>
      <c r="K70" s="235"/>
      <c r="L70" s="43"/>
    </row>
    <row r="71" spans="1:12" s="45" customFormat="1" ht="8.5500000000000007" customHeight="1" x14ac:dyDescent="0.2">
      <c r="A71" s="43"/>
      <c r="B71" s="156" t="s">
        <v>605</v>
      </c>
      <c r="C71" s="156"/>
      <c r="D71" s="156"/>
      <c r="E71" s="156"/>
      <c r="F71" s="156"/>
      <c r="G71" s="484">
        <v>1989</v>
      </c>
      <c r="H71" s="304">
        <v>94</v>
      </c>
      <c r="I71" s="305"/>
      <c r="J71" s="160"/>
      <c r="K71" s="234">
        <v>2</v>
      </c>
      <c r="L71" s="43"/>
    </row>
    <row r="72" spans="1:12" s="45" customFormat="1" ht="8.5500000000000007" customHeight="1" x14ac:dyDescent="0.2">
      <c r="A72" s="43"/>
      <c r="B72" s="158"/>
      <c r="C72" s="158"/>
      <c r="D72" s="158"/>
      <c r="E72" s="158"/>
      <c r="F72" s="158"/>
      <c r="G72" s="484"/>
      <c r="H72" s="303"/>
      <c r="I72" s="306"/>
      <c r="J72" s="161"/>
      <c r="K72" s="235"/>
      <c r="L72" s="43"/>
    </row>
    <row r="73" spans="1:12" s="45" customFormat="1" ht="8.5500000000000007" customHeight="1" x14ac:dyDescent="0.2">
      <c r="A73" s="43"/>
      <c r="B73" s="156" t="s">
        <v>605</v>
      </c>
      <c r="C73" s="156"/>
      <c r="D73" s="156"/>
      <c r="E73" s="156"/>
      <c r="F73" s="156"/>
      <c r="G73" s="484">
        <v>1990</v>
      </c>
      <c r="H73" s="304">
        <v>97</v>
      </c>
      <c r="I73" s="305"/>
      <c r="J73" s="211" t="s">
        <v>708</v>
      </c>
      <c r="K73" s="234">
        <v>4</v>
      </c>
      <c r="L73" s="43"/>
    </row>
    <row r="74" spans="1:12" s="45" customFormat="1" ht="8.5500000000000007" customHeight="1" x14ac:dyDescent="0.2">
      <c r="A74" s="43"/>
      <c r="B74" s="158"/>
      <c r="C74" s="158"/>
      <c r="D74" s="158"/>
      <c r="E74" s="158"/>
      <c r="F74" s="158"/>
      <c r="G74" s="484"/>
      <c r="H74" s="303"/>
      <c r="I74" s="306"/>
      <c r="J74" s="168"/>
      <c r="K74" s="235"/>
      <c r="L74" s="43"/>
    </row>
    <row r="75" spans="1:12" s="45" customFormat="1" ht="8.5500000000000007" customHeight="1" x14ac:dyDescent="0.2">
      <c r="A75" s="43"/>
      <c r="B75" s="156" t="s">
        <v>605</v>
      </c>
      <c r="C75" s="156"/>
      <c r="D75" s="156"/>
      <c r="E75" s="156"/>
      <c r="F75" s="156"/>
      <c r="G75" s="484">
        <v>1991</v>
      </c>
      <c r="H75" s="304">
        <v>97</v>
      </c>
      <c r="I75" s="305">
        <v>91</v>
      </c>
      <c r="J75" s="211" t="s">
        <v>726</v>
      </c>
      <c r="K75" s="234">
        <v>4</v>
      </c>
      <c r="L75" s="43"/>
    </row>
    <row r="76" spans="1:12" s="45" customFormat="1" ht="8.5500000000000007" customHeight="1" x14ac:dyDescent="0.2">
      <c r="A76" s="43"/>
      <c r="B76" s="158"/>
      <c r="C76" s="158"/>
      <c r="D76" s="158"/>
      <c r="E76" s="158"/>
      <c r="F76" s="158"/>
      <c r="G76" s="484"/>
      <c r="H76" s="303"/>
      <c r="I76" s="306"/>
      <c r="J76" s="168"/>
      <c r="K76" s="235"/>
      <c r="L76" s="43"/>
    </row>
    <row r="77" spans="1:12" s="45" customFormat="1" ht="8.5500000000000007" customHeight="1" x14ac:dyDescent="0.2">
      <c r="A77" s="43"/>
      <c r="B77" s="156" t="s">
        <v>605</v>
      </c>
      <c r="C77" s="156"/>
      <c r="D77" s="156"/>
      <c r="E77" s="156"/>
      <c r="F77" s="156"/>
      <c r="G77" s="484">
        <v>1994</v>
      </c>
      <c r="H77" s="304">
        <v>98</v>
      </c>
      <c r="I77" s="305">
        <v>95</v>
      </c>
      <c r="J77" s="211" t="s">
        <v>382</v>
      </c>
      <c r="K77" s="234">
        <v>4</v>
      </c>
      <c r="L77" s="43"/>
    </row>
    <row r="78" spans="1:12" s="45" customFormat="1" ht="8.5500000000000007" customHeight="1" x14ac:dyDescent="0.2">
      <c r="A78" s="43"/>
      <c r="B78" s="158"/>
      <c r="C78" s="158"/>
      <c r="D78" s="158"/>
      <c r="E78" s="158"/>
      <c r="F78" s="158"/>
      <c r="G78" s="484"/>
      <c r="H78" s="303"/>
      <c r="I78" s="306"/>
      <c r="J78" s="168"/>
      <c r="K78" s="235"/>
      <c r="L78" s="43"/>
    </row>
    <row r="79" spans="1:12" s="45" customFormat="1" ht="8.5500000000000007" customHeight="1" x14ac:dyDescent="0.2">
      <c r="A79" s="43"/>
      <c r="B79" s="156" t="s">
        <v>605</v>
      </c>
      <c r="C79" s="156"/>
      <c r="D79" s="156"/>
      <c r="E79" s="156"/>
      <c r="F79" s="156"/>
      <c r="G79" s="484">
        <v>1996</v>
      </c>
      <c r="H79" s="304">
        <v>92</v>
      </c>
      <c r="I79" s="305">
        <v>98</v>
      </c>
      <c r="J79" s="211" t="s">
        <v>225</v>
      </c>
      <c r="K79" s="234">
        <v>2</v>
      </c>
      <c r="L79" s="43"/>
    </row>
    <row r="80" spans="1:12" s="45" customFormat="1" ht="8.5500000000000007" customHeight="1" x14ac:dyDescent="0.2">
      <c r="A80" s="43"/>
      <c r="B80" s="158"/>
      <c r="C80" s="158"/>
      <c r="D80" s="158"/>
      <c r="E80" s="158"/>
      <c r="F80" s="158"/>
      <c r="G80" s="484"/>
      <c r="H80" s="303"/>
      <c r="I80" s="306"/>
      <c r="J80" s="168"/>
      <c r="K80" s="235"/>
      <c r="L80" s="43"/>
    </row>
    <row r="81" spans="1:12" s="45" customFormat="1" ht="8.5500000000000007" customHeight="1" x14ac:dyDescent="0.2">
      <c r="A81" s="43"/>
      <c r="B81" s="156" t="s">
        <v>605</v>
      </c>
      <c r="C81" s="156"/>
      <c r="D81" s="156"/>
      <c r="E81" s="156"/>
      <c r="F81" s="156"/>
      <c r="G81" s="484">
        <v>1998</v>
      </c>
      <c r="H81" s="304">
        <v>97</v>
      </c>
      <c r="I81" s="305">
        <v>93</v>
      </c>
      <c r="J81" s="211" t="s">
        <v>137</v>
      </c>
      <c r="K81" s="234">
        <v>4</v>
      </c>
      <c r="L81" s="43"/>
    </row>
    <row r="82" spans="1:12" s="45" customFormat="1" ht="8.5500000000000007" customHeight="1" x14ac:dyDescent="0.2">
      <c r="A82" s="43"/>
      <c r="B82" s="158"/>
      <c r="C82" s="158"/>
      <c r="D82" s="158"/>
      <c r="E82" s="158"/>
      <c r="F82" s="158"/>
      <c r="G82" s="484"/>
      <c r="H82" s="303"/>
      <c r="I82" s="306"/>
      <c r="J82" s="168"/>
      <c r="K82" s="235"/>
      <c r="L82" s="43"/>
    </row>
    <row r="83" spans="1:12" s="45" customFormat="1" ht="8.5500000000000007" customHeight="1" x14ac:dyDescent="0.2">
      <c r="A83" s="43"/>
      <c r="B83" s="156" t="s">
        <v>605</v>
      </c>
      <c r="C83" s="156"/>
      <c r="D83" s="156"/>
      <c r="E83" s="156"/>
      <c r="F83" s="156"/>
      <c r="G83" s="484">
        <v>1999</v>
      </c>
      <c r="H83" s="304">
        <v>98</v>
      </c>
      <c r="I83" s="305">
        <v>93</v>
      </c>
      <c r="J83" s="211" t="s">
        <v>368</v>
      </c>
      <c r="K83" s="234">
        <v>3</v>
      </c>
      <c r="L83" s="43"/>
    </row>
    <row r="84" spans="1:12" s="45" customFormat="1" ht="8.5500000000000007" customHeight="1" x14ac:dyDescent="0.2">
      <c r="A84" s="43"/>
      <c r="B84" s="158"/>
      <c r="C84" s="158"/>
      <c r="D84" s="158"/>
      <c r="E84" s="158"/>
      <c r="F84" s="158"/>
      <c r="G84" s="484"/>
      <c r="H84" s="303"/>
      <c r="I84" s="306"/>
      <c r="J84" s="168"/>
      <c r="K84" s="235"/>
      <c r="L84" s="43"/>
    </row>
    <row r="85" spans="1:12" s="45" customFormat="1" ht="8.5500000000000007" customHeight="1" x14ac:dyDescent="0.2">
      <c r="A85" s="43"/>
      <c r="B85" s="156" t="s">
        <v>605</v>
      </c>
      <c r="C85" s="156"/>
      <c r="D85" s="156"/>
      <c r="E85" s="156"/>
      <c r="F85" s="156"/>
      <c r="G85" s="484">
        <v>2002</v>
      </c>
      <c r="H85" s="304">
        <v>98</v>
      </c>
      <c r="I85" s="305">
        <v>98</v>
      </c>
      <c r="J85" s="211" t="s">
        <v>369</v>
      </c>
      <c r="K85" s="234">
        <v>1</v>
      </c>
      <c r="L85" s="43"/>
    </row>
    <row r="86" spans="1:12" s="45" customFormat="1" ht="8.5500000000000007" customHeight="1" x14ac:dyDescent="0.2">
      <c r="A86" s="43"/>
      <c r="B86" s="158"/>
      <c r="C86" s="158"/>
      <c r="D86" s="158"/>
      <c r="E86" s="158"/>
      <c r="F86" s="158"/>
      <c r="G86" s="484"/>
      <c r="H86" s="303"/>
      <c r="I86" s="306"/>
      <c r="J86" s="168"/>
      <c r="K86" s="235"/>
      <c r="L86" s="43"/>
    </row>
    <row r="87" spans="1:12" s="45" customFormat="1" ht="8.5500000000000007" customHeight="1" x14ac:dyDescent="0.2">
      <c r="A87" s="43"/>
      <c r="B87" s="156" t="s">
        <v>605</v>
      </c>
      <c r="C87" s="156"/>
      <c r="D87" s="156"/>
      <c r="E87" s="156"/>
      <c r="F87" s="156"/>
      <c r="G87" s="484">
        <v>2004</v>
      </c>
      <c r="H87" s="304">
        <v>99</v>
      </c>
      <c r="I87" s="305">
        <v>97</v>
      </c>
      <c r="J87" s="211" t="s">
        <v>248</v>
      </c>
      <c r="K87" s="234">
        <v>2</v>
      </c>
      <c r="L87" s="43"/>
    </row>
    <row r="88" spans="1:12" s="45" customFormat="1" ht="8.5500000000000007" customHeight="1" x14ac:dyDescent="0.2">
      <c r="A88" s="43"/>
      <c r="B88" s="158"/>
      <c r="C88" s="158"/>
      <c r="D88" s="158"/>
      <c r="E88" s="158"/>
      <c r="F88" s="158"/>
      <c r="G88" s="484"/>
      <c r="H88" s="303"/>
      <c r="I88" s="306"/>
      <c r="J88" s="168"/>
      <c r="K88" s="235"/>
      <c r="L88" s="43"/>
    </row>
    <row r="89" spans="1:12" s="45" customFormat="1" ht="8.5500000000000007" customHeight="1" x14ac:dyDescent="0.2">
      <c r="A89" s="43"/>
      <c r="B89" s="156" t="s">
        <v>405</v>
      </c>
      <c r="C89" s="156"/>
      <c r="D89" s="156"/>
      <c r="E89" s="156"/>
      <c r="F89" s="156"/>
      <c r="G89" s="484">
        <v>1993</v>
      </c>
      <c r="H89" s="304">
        <v>99</v>
      </c>
      <c r="I89" s="305"/>
      <c r="J89" s="211" t="s">
        <v>709</v>
      </c>
      <c r="K89" s="234">
        <v>2</v>
      </c>
      <c r="L89" s="43"/>
    </row>
    <row r="90" spans="1:12" s="45" customFormat="1" ht="8.5500000000000007" customHeight="1" x14ac:dyDescent="0.2">
      <c r="A90" s="43"/>
      <c r="B90" s="158"/>
      <c r="C90" s="158"/>
      <c r="D90" s="158"/>
      <c r="E90" s="158"/>
      <c r="F90" s="158"/>
      <c r="G90" s="484"/>
      <c r="H90" s="303"/>
      <c r="I90" s="306"/>
      <c r="J90" s="168"/>
      <c r="K90" s="235"/>
      <c r="L90" s="43"/>
    </row>
    <row r="91" spans="1:12" s="45" customFormat="1" ht="8.5500000000000007" customHeight="1" x14ac:dyDescent="0.2">
      <c r="A91" s="43"/>
      <c r="B91" s="156" t="s">
        <v>405</v>
      </c>
      <c r="C91" s="156"/>
      <c r="D91" s="156"/>
      <c r="E91" s="156"/>
      <c r="F91" s="156"/>
      <c r="G91" s="484">
        <v>1996</v>
      </c>
      <c r="H91" s="304">
        <v>100</v>
      </c>
      <c r="I91" s="305"/>
      <c r="J91" s="211" t="s">
        <v>226</v>
      </c>
      <c r="K91" s="234">
        <v>4</v>
      </c>
      <c r="L91" s="43"/>
    </row>
    <row r="92" spans="1:12" s="45" customFormat="1" ht="8.5500000000000007" customHeight="1" x14ac:dyDescent="0.2">
      <c r="A92" s="43"/>
      <c r="B92" s="158"/>
      <c r="C92" s="158"/>
      <c r="D92" s="158"/>
      <c r="E92" s="158"/>
      <c r="F92" s="158"/>
      <c r="G92" s="484"/>
      <c r="H92" s="303"/>
      <c r="I92" s="306"/>
      <c r="J92" s="168"/>
      <c r="K92" s="235"/>
      <c r="L92" s="43"/>
    </row>
    <row r="93" spans="1:12" s="45" customFormat="1" ht="8.5500000000000007" customHeight="1" x14ac:dyDescent="0.2">
      <c r="A93" s="43"/>
      <c r="B93" s="156" t="s">
        <v>405</v>
      </c>
      <c r="C93" s="156"/>
      <c r="D93" s="156"/>
      <c r="E93" s="156"/>
      <c r="F93" s="156"/>
      <c r="G93" s="484">
        <v>1998</v>
      </c>
      <c r="H93" s="304">
        <v>100</v>
      </c>
      <c r="I93" s="305"/>
      <c r="J93" s="211" t="s">
        <v>510</v>
      </c>
      <c r="K93" s="234">
        <v>2</v>
      </c>
      <c r="L93" s="43"/>
    </row>
    <row r="94" spans="1:12" s="45" customFormat="1" ht="8.5500000000000007" customHeight="1" x14ac:dyDescent="0.2">
      <c r="A94" s="43"/>
      <c r="B94" s="158"/>
      <c r="C94" s="158"/>
      <c r="D94" s="158"/>
      <c r="E94" s="158"/>
      <c r="F94" s="158"/>
      <c r="G94" s="484"/>
      <c r="H94" s="303"/>
      <c r="I94" s="306"/>
      <c r="J94" s="168"/>
      <c r="K94" s="235"/>
      <c r="L94" s="43"/>
    </row>
    <row r="95" spans="1:12" s="45" customFormat="1" ht="8.5500000000000007" customHeight="1" x14ac:dyDescent="0.2">
      <c r="A95" s="43"/>
      <c r="B95" s="156" t="s">
        <v>405</v>
      </c>
      <c r="C95" s="156"/>
      <c r="D95" s="156"/>
      <c r="E95" s="156"/>
      <c r="F95" s="156"/>
      <c r="G95" s="484">
        <v>2002</v>
      </c>
      <c r="H95" s="304">
        <v>100</v>
      </c>
      <c r="I95" s="305"/>
      <c r="J95" s="211" t="s">
        <v>285</v>
      </c>
      <c r="K95" s="234">
        <v>1</v>
      </c>
      <c r="L95" s="43"/>
    </row>
    <row r="96" spans="1:12" s="45" customFormat="1" ht="8.5500000000000007" customHeight="1" x14ac:dyDescent="0.2">
      <c r="A96" s="43"/>
      <c r="B96" s="158"/>
      <c r="C96" s="158"/>
      <c r="D96" s="158"/>
      <c r="E96" s="158"/>
      <c r="F96" s="158"/>
      <c r="G96" s="484"/>
      <c r="H96" s="303"/>
      <c r="I96" s="306"/>
      <c r="J96" s="168"/>
      <c r="K96" s="235"/>
      <c r="L96" s="43"/>
    </row>
    <row r="97" spans="1:12" s="45" customFormat="1" ht="8.5500000000000007" customHeight="1" x14ac:dyDescent="0.2">
      <c r="A97" s="43"/>
      <c r="B97" s="156" t="s">
        <v>405</v>
      </c>
      <c r="C97" s="156"/>
      <c r="D97" s="156"/>
      <c r="E97" s="156"/>
      <c r="F97" s="156"/>
      <c r="G97" s="484">
        <v>2001</v>
      </c>
      <c r="H97" s="304">
        <v>100</v>
      </c>
      <c r="I97" s="305"/>
      <c r="J97" s="211" t="s">
        <v>511</v>
      </c>
      <c r="K97" s="234">
        <v>1</v>
      </c>
      <c r="L97" s="43"/>
    </row>
    <row r="98" spans="1:12" s="45" customFormat="1" ht="8.5500000000000007" customHeight="1" x14ac:dyDescent="0.2">
      <c r="A98" s="43"/>
      <c r="B98" s="158"/>
      <c r="C98" s="158"/>
      <c r="D98" s="158"/>
      <c r="E98" s="158"/>
      <c r="F98" s="158"/>
      <c r="G98" s="484"/>
      <c r="H98" s="303"/>
      <c r="I98" s="306"/>
      <c r="J98" s="168"/>
      <c r="K98" s="235"/>
      <c r="L98" s="43"/>
    </row>
    <row r="99" spans="1:12" s="45" customFormat="1" ht="8.5500000000000007" customHeight="1" x14ac:dyDescent="0.2">
      <c r="A99" s="43"/>
      <c r="B99" s="486" t="s">
        <v>756</v>
      </c>
      <c r="C99" s="486"/>
      <c r="D99" s="486"/>
      <c r="E99" s="486"/>
      <c r="F99" s="486"/>
      <c r="G99" s="484">
        <v>1995</v>
      </c>
      <c r="H99" s="304">
        <v>99</v>
      </c>
      <c r="I99" s="305"/>
      <c r="J99" s="211" t="s">
        <v>255</v>
      </c>
      <c r="K99" s="234">
        <v>2</v>
      </c>
      <c r="L99" s="43"/>
    </row>
    <row r="100" spans="1:12" s="45" customFormat="1" ht="8.5500000000000007" customHeight="1" x14ac:dyDescent="0.2">
      <c r="A100" s="43"/>
      <c r="B100" s="487"/>
      <c r="C100" s="487"/>
      <c r="D100" s="487"/>
      <c r="E100" s="487"/>
      <c r="F100" s="487"/>
      <c r="G100" s="484"/>
      <c r="H100" s="303"/>
      <c r="I100" s="306"/>
      <c r="J100" s="168"/>
      <c r="K100" s="235"/>
      <c r="L100" s="43"/>
    </row>
    <row r="101" spans="1:12" s="45" customFormat="1" ht="8.5500000000000007" customHeight="1" x14ac:dyDescent="0.2">
      <c r="A101" s="43"/>
      <c r="B101" s="486" t="s">
        <v>423</v>
      </c>
      <c r="C101" s="486"/>
      <c r="D101" s="486"/>
      <c r="E101" s="486"/>
      <c r="F101" s="486"/>
      <c r="G101" s="484">
        <v>1996</v>
      </c>
      <c r="H101" s="304">
        <v>100</v>
      </c>
      <c r="I101" s="305"/>
      <c r="J101" s="211" t="s">
        <v>512</v>
      </c>
      <c r="K101" s="234">
        <v>2</v>
      </c>
      <c r="L101" s="43"/>
    </row>
    <row r="102" spans="1:12" s="45" customFormat="1" ht="8.5500000000000007" customHeight="1" x14ac:dyDescent="0.2">
      <c r="A102" s="43"/>
      <c r="B102" s="487"/>
      <c r="C102" s="487"/>
      <c r="D102" s="487"/>
      <c r="E102" s="487"/>
      <c r="F102" s="487"/>
      <c r="G102" s="484"/>
      <c r="H102" s="303"/>
      <c r="I102" s="306"/>
      <c r="J102" s="168"/>
      <c r="K102" s="235"/>
      <c r="L102" s="43"/>
    </row>
    <row r="103" spans="1:12" s="45" customFormat="1" ht="8.5500000000000007" customHeight="1" x14ac:dyDescent="0.2">
      <c r="A103" s="43"/>
      <c r="B103" s="486" t="s">
        <v>423</v>
      </c>
      <c r="C103" s="486"/>
      <c r="D103" s="486"/>
      <c r="E103" s="486"/>
      <c r="F103" s="486"/>
      <c r="G103" s="484">
        <v>1998</v>
      </c>
      <c r="H103" s="304">
        <v>100</v>
      </c>
      <c r="I103" s="305"/>
      <c r="J103" s="211" t="s">
        <v>513</v>
      </c>
      <c r="K103" s="234">
        <v>4</v>
      </c>
      <c r="L103" s="43"/>
    </row>
    <row r="104" spans="1:12" s="45" customFormat="1" ht="8.5500000000000007" customHeight="1" x14ac:dyDescent="0.2">
      <c r="A104" s="43"/>
      <c r="B104" s="487"/>
      <c r="C104" s="487"/>
      <c r="D104" s="487"/>
      <c r="E104" s="487"/>
      <c r="F104" s="487"/>
      <c r="G104" s="484"/>
      <c r="H104" s="303"/>
      <c r="I104" s="306"/>
      <c r="J104" s="168"/>
      <c r="K104" s="235"/>
      <c r="L104" s="43"/>
    </row>
    <row r="105" spans="1:12" s="45" customFormat="1" ht="8.5500000000000007" customHeight="1" x14ac:dyDescent="0.2">
      <c r="A105" s="43"/>
      <c r="B105" s="486" t="s">
        <v>423</v>
      </c>
      <c r="C105" s="486"/>
      <c r="D105" s="486"/>
      <c r="E105" s="486"/>
      <c r="F105" s="486"/>
      <c r="G105" s="484">
        <v>2002</v>
      </c>
      <c r="H105" s="304" t="s">
        <v>626</v>
      </c>
      <c r="I105" s="305"/>
      <c r="J105" s="211" t="s">
        <v>515</v>
      </c>
      <c r="K105" s="234">
        <v>1</v>
      </c>
      <c r="L105" s="43"/>
    </row>
    <row r="106" spans="1:12" s="45" customFormat="1" ht="8.5500000000000007" customHeight="1" x14ac:dyDescent="0.2">
      <c r="A106" s="43"/>
      <c r="B106" s="487"/>
      <c r="C106" s="487"/>
      <c r="D106" s="487"/>
      <c r="E106" s="487"/>
      <c r="F106" s="487"/>
      <c r="G106" s="484"/>
      <c r="H106" s="303"/>
      <c r="I106" s="306"/>
      <c r="J106" s="168"/>
      <c r="K106" s="235"/>
      <c r="L106" s="43"/>
    </row>
    <row r="107" spans="1:12" s="45" customFormat="1" ht="8.5500000000000007" customHeight="1" x14ac:dyDescent="0.2">
      <c r="A107" s="43"/>
      <c r="B107" s="486" t="s">
        <v>424</v>
      </c>
      <c r="C107" s="486"/>
      <c r="D107" s="486"/>
      <c r="E107" s="486"/>
      <c r="F107" s="486"/>
      <c r="G107" s="484">
        <v>1998</v>
      </c>
      <c r="H107" s="304">
        <v>98</v>
      </c>
      <c r="I107" s="305"/>
      <c r="J107" s="211" t="s">
        <v>514</v>
      </c>
      <c r="K107" s="234">
        <v>2</v>
      </c>
      <c r="L107" s="43"/>
    </row>
    <row r="108" spans="1:12" s="45" customFormat="1" ht="8.5500000000000007" customHeight="1" x14ac:dyDescent="0.2">
      <c r="A108" s="43"/>
      <c r="B108" s="487"/>
      <c r="C108" s="487"/>
      <c r="D108" s="487"/>
      <c r="E108" s="487"/>
      <c r="F108" s="487"/>
      <c r="G108" s="484"/>
      <c r="H108" s="303"/>
      <c r="I108" s="306"/>
      <c r="J108" s="168"/>
      <c r="K108" s="235"/>
      <c r="L108" s="43"/>
    </row>
    <row r="109" spans="1:12" s="45" customFormat="1" ht="8.5500000000000007" customHeight="1" x14ac:dyDescent="0.2">
      <c r="A109" s="43"/>
      <c r="B109" s="486" t="s">
        <v>412</v>
      </c>
      <c r="C109" s="486"/>
      <c r="D109" s="486"/>
      <c r="E109" s="486"/>
      <c r="F109" s="486"/>
      <c r="G109" s="484">
        <v>2001</v>
      </c>
      <c r="H109" s="304">
        <v>100</v>
      </c>
      <c r="I109" s="305"/>
      <c r="J109" s="211" t="s">
        <v>79</v>
      </c>
      <c r="K109" s="234">
        <v>2</v>
      </c>
      <c r="L109" s="43"/>
    </row>
    <row r="110" spans="1:12" s="45" customFormat="1" ht="8.5500000000000007" customHeight="1" x14ac:dyDescent="0.2">
      <c r="A110" s="43"/>
      <c r="B110" s="487"/>
      <c r="C110" s="487"/>
      <c r="D110" s="487"/>
      <c r="E110" s="487"/>
      <c r="F110" s="487"/>
      <c r="G110" s="484"/>
      <c r="H110" s="303"/>
      <c r="I110" s="306"/>
      <c r="J110" s="168"/>
      <c r="K110" s="235"/>
      <c r="L110" s="43"/>
    </row>
    <row r="111" spans="1:12" s="45" customFormat="1" ht="8.5500000000000007" customHeight="1" x14ac:dyDescent="0.2">
      <c r="A111" s="43"/>
      <c r="B111" s="486" t="s">
        <v>852</v>
      </c>
      <c r="C111" s="486"/>
      <c r="D111" s="486"/>
      <c r="E111" s="486"/>
      <c r="F111" s="486"/>
      <c r="G111" s="484">
        <v>1982</v>
      </c>
      <c r="H111" s="304"/>
      <c r="I111" s="305"/>
      <c r="J111" s="211"/>
      <c r="K111" s="234">
        <v>1</v>
      </c>
      <c r="L111" s="43"/>
    </row>
    <row r="112" spans="1:12" s="45" customFormat="1" ht="8.5500000000000007" customHeight="1" x14ac:dyDescent="0.2">
      <c r="A112" s="43"/>
      <c r="B112" s="487"/>
      <c r="C112" s="487"/>
      <c r="D112" s="487"/>
      <c r="E112" s="487"/>
      <c r="F112" s="487"/>
      <c r="G112" s="484"/>
      <c r="H112" s="303"/>
      <c r="I112" s="306"/>
      <c r="J112" s="168"/>
      <c r="K112" s="235"/>
      <c r="L112" s="43"/>
    </row>
    <row r="113" spans="1:12" s="45" customFormat="1" ht="8.5500000000000007" customHeight="1" x14ac:dyDescent="0.2">
      <c r="A113" s="43"/>
      <c r="B113" s="486" t="s">
        <v>852</v>
      </c>
      <c r="C113" s="486"/>
      <c r="D113" s="486"/>
      <c r="E113" s="486"/>
      <c r="F113" s="486"/>
      <c r="G113" s="484">
        <v>1991</v>
      </c>
      <c r="H113" s="304"/>
      <c r="I113" s="305"/>
      <c r="J113" s="211"/>
      <c r="K113" s="234">
        <v>1</v>
      </c>
      <c r="L113" s="43"/>
    </row>
    <row r="114" spans="1:12" s="45" customFormat="1" ht="8.5500000000000007" customHeight="1" x14ac:dyDescent="0.2">
      <c r="A114" s="43"/>
      <c r="B114" s="487"/>
      <c r="C114" s="487"/>
      <c r="D114" s="487"/>
      <c r="E114" s="487"/>
      <c r="F114" s="487"/>
      <c r="G114" s="484"/>
      <c r="H114" s="303"/>
      <c r="I114" s="306"/>
      <c r="J114" s="168"/>
      <c r="K114" s="235"/>
      <c r="L114" s="43"/>
    </row>
    <row r="115" spans="1:12" s="45" customFormat="1" ht="8.5500000000000007" customHeight="1" x14ac:dyDescent="0.2">
      <c r="A115" s="43"/>
      <c r="B115" s="401" t="s">
        <v>198</v>
      </c>
      <c r="C115" s="156"/>
      <c r="D115" s="156"/>
      <c r="E115" s="156"/>
      <c r="F115" s="156"/>
      <c r="G115" s="251">
        <v>2003</v>
      </c>
      <c r="H115" s="304">
        <v>95</v>
      </c>
      <c r="I115" s="305"/>
      <c r="J115" s="211" t="s">
        <v>370</v>
      </c>
      <c r="K115" s="234">
        <v>1</v>
      </c>
      <c r="L115" s="43"/>
    </row>
    <row r="116" spans="1:12" s="45" customFormat="1" ht="8.5500000000000007" customHeight="1" x14ac:dyDescent="0.2">
      <c r="A116" s="43"/>
      <c r="B116" s="158"/>
      <c r="C116" s="158"/>
      <c r="D116" s="158"/>
      <c r="E116" s="158"/>
      <c r="F116" s="158"/>
      <c r="G116" s="252"/>
      <c r="H116" s="303"/>
      <c r="I116" s="306"/>
      <c r="J116" s="168"/>
      <c r="K116" s="235"/>
      <c r="L116" s="43"/>
    </row>
    <row r="117" spans="1:12" s="45" customFormat="1" ht="8.5500000000000007" customHeight="1" x14ac:dyDescent="0.2">
      <c r="A117" s="43"/>
      <c r="B117" s="401" t="s">
        <v>516</v>
      </c>
      <c r="C117" s="156"/>
      <c r="D117" s="156"/>
      <c r="E117" s="156"/>
      <c r="F117" s="156"/>
      <c r="G117" s="251">
        <v>2002</v>
      </c>
      <c r="H117" s="304">
        <v>98</v>
      </c>
      <c r="I117" s="305">
        <v>95</v>
      </c>
      <c r="J117" s="211" t="s">
        <v>510</v>
      </c>
      <c r="K117" s="234">
        <v>2</v>
      </c>
      <c r="L117" s="43"/>
    </row>
    <row r="118" spans="1:12" s="45" customFormat="1" ht="8.5500000000000007" customHeight="1" x14ac:dyDescent="0.2">
      <c r="A118" s="43"/>
      <c r="B118" s="158"/>
      <c r="C118" s="158"/>
      <c r="D118" s="158"/>
      <c r="E118" s="158"/>
      <c r="F118" s="158"/>
      <c r="G118" s="252"/>
      <c r="H118" s="303"/>
      <c r="I118" s="306"/>
      <c r="J118" s="168"/>
      <c r="K118" s="235"/>
      <c r="L118" s="43"/>
    </row>
    <row r="119" spans="1:12" s="45" customFormat="1" ht="8.5500000000000007" customHeight="1" x14ac:dyDescent="0.2">
      <c r="A119" s="43"/>
      <c r="B119" s="401" t="s">
        <v>516</v>
      </c>
      <c r="C119" s="156"/>
      <c r="D119" s="156"/>
      <c r="E119" s="156"/>
      <c r="F119" s="156"/>
      <c r="G119" s="251">
        <v>2003</v>
      </c>
      <c r="H119" s="304">
        <v>98</v>
      </c>
      <c r="I119" s="305">
        <v>95</v>
      </c>
      <c r="J119" s="211" t="s">
        <v>517</v>
      </c>
      <c r="K119" s="234">
        <v>2</v>
      </c>
      <c r="L119" s="43"/>
    </row>
    <row r="120" spans="1:12" s="45" customFormat="1" ht="8.5500000000000007" customHeight="1" x14ac:dyDescent="0.2">
      <c r="A120" s="43"/>
      <c r="B120" s="158"/>
      <c r="C120" s="158"/>
      <c r="D120" s="158"/>
      <c r="E120" s="158"/>
      <c r="F120" s="158"/>
      <c r="G120" s="252"/>
      <c r="H120" s="303"/>
      <c r="I120" s="306"/>
      <c r="J120" s="168"/>
      <c r="K120" s="235"/>
      <c r="L120" s="43"/>
    </row>
    <row r="121" spans="1:12" s="45" customFormat="1" ht="8.5500000000000007" customHeight="1" x14ac:dyDescent="0.2">
      <c r="A121" s="43"/>
      <c r="B121" s="156" t="s">
        <v>518</v>
      </c>
      <c r="C121" s="156"/>
      <c r="D121" s="156"/>
      <c r="E121" s="156"/>
      <c r="F121" s="156"/>
      <c r="G121" s="251"/>
      <c r="H121" s="304"/>
      <c r="I121" s="305"/>
      <c r="J121" s="211"/>
      <c r="K121" s="234">
        <v>3</v>
      </c>
      <c r="L121" s="43"/>
    </row>
    <row r="122" spans="1:12" s="45" customFormat="1" ht="8.5500000000000007" customHeight="1" x14ac:dyDescent="0.2">
      <c r="A122" s="43"/>
      <c r="B122" s="158"/>
      <c r="C122" s="158"/>
      <c r="D122" s="158"/>
      <c r="E122" s="158"/>
      <c r="F122" s="158"/>
      <c r="G122" s="252"/>
      <c r="H122" s="303"/>
      <c r="I122" s="306"/>
      <c r="J122" s="168"/>
      <c r="K122" s="235"/>
      <c r="L122" s="43"/>
    </row>
    <row r="123" spans="1:12" s="45" customFormat="1" ht="8.5500000000000007" customHeight="1" x14ac:dyDescent="0.2">
      <c r="A123" s="43"/>
      <c r="B123" s="156" t="s">
        <v>519</v>
      </c>
      <c r="C123" s="156"/>
      <c r="D123" s="156"/>
      <c r="E123" s="156"/>
      <c r="F123" s="156"/>
      <c r="G123" s="251">
        <v>1995</v>
      </c>
      <c r="H123" s="304">
        <v>98</v>
      </c>
      <c r="I123" s="305"/>
      <c r="J123" s="211" t="s">
        <v>520</v>
      </c>
      <c r="K123" s="234">
        <v>2</v>
      </c>
      <c r="L123" s="43"/>
    </row>
    <row r="124" spans="1:12" s="45" customFormat="1" ht="8.5500000000000007" customHeight="1" x14ac:dyDescent="0.2">
      <c r="A124" s="43"/>
      <c r="B124" s="158"/>
      <c r="C124" s="158"/>
      <c r="D124" s="158"/>
      <c r="E124" s="158"/>
      <c r="F124" s="158"/>
      <c r="G124" s="252"/>
      <c r="H124" s="303"/>
      <c r="I124" s="306"/>
      <c r="J124" s="168"/>
      <c r="K124" s="235"/>
      <c r="L124" s="43"/>
    </row>
    <row r="125" spans="1:12" s="45" customFormat="1" ht="8.5500000000000007" customHeight="1" x14ac:dyDescent="0.2">
      <c r="A125" s="43"/>
      <c r="B125" s="156" t="s">
        <v>519</v>
      </c>
      <c r="C125" s="156"/>
      <c r="D125" s="156"/>
      <c r="E125" s="156"/>
      <c r="F125" s="156"/>
      <c r="G125" s="251">
        <v>1998</v>
      </c>
      <c r="H125" s="304">
        <v>99</v>
      </c>
      <c r="I125" s="305">
        <v>95</v>
      </c>
      <c r="J125" s="211" t="s">
        <v>521</v>
      </c>
      <c r="K125" s="234">
        <v>2</v>
      </c>
      <c r="L125" s="43"/>
    </row>
    <row r="126" spans="1:12" s="45" customFormat="1" ht="8.5500000000000007" customHeight="1" x14ac:dyDescent="0.2">
      <c r="A126" s="43"/>
      <c r="B126" s="158"/>
      <c r="C126" s="158"/>
      <c r="D126" s="158"/>
      <c r="E126" s="158"/>
      <c r="F126" s="158"/>
      <c r="G126" s="252"/>
      <c r="H126" s="303"/>
      <c r="I126" s="306"/>
      <c r="J126" s="168"/>
      <c r="K126" s="235"/>
      <c r="L126" s="43"/>
    </row>
    <row r="127" spans="1:12" s="45" customFormat="1" ht="8.5500000000000007" customHeight="1" x14ac:dyDescent="0.2">
      <c r="A127" s="43"/>
      <c r="B127" s="156" t="s">
        <v>519</v>
      </c>
      <c r="C127" s="156"/>
      <c r="D127" s="156"/>
      <c r="E127" s="156"/>
      <c r="F127" s="156"/>
      <c r="G127" s="251">
        <v>1999</v>
      </c>
      <c r="H127" s="304">
        <v>96</v>
      </c>
      <c r="I127" s="305"/>
      <c r="J127" s="211" t="s">
        <v>710</v>
      </c>
      <c r="K127" s="234">
        <v>2</v>
      </c>
      <c r="L127" s="43"/>
    </row>
    <row r="128" spans="1:12" s="45" customFormat="1" ht="8.5500000000000007" customHeight="1" x14ac:dyDescent="0.2">
      <c r="A128" s="43"/>
      <c r="B128" s="158"/>
      <c r="C128" s="158"/>
      <c r="D128" s="158"/>
      <c r="E128" s="158"/>
      <c r="F128" s="158"/>
      <c r="G128" s="252"/>
      <c r="H128" s="303"/>
      <c r="I128" s="306"/>
      <c r="J128" s="168"/>
      <c r="K128" s="235"/>
      <c r="L128" s="43"/>
    </row>
    <row r="129" spans="1:12" s="45" customFormat="1" ht="8.5500000000000007" customHeight="1" x14ac:dyDescent="0.2">
      <c r="A129" s="43"/>
      <c r="B129" s="156" t="s">
        <v>519</v>
      </c>
      <c r="C129" s="156"/>
      <c r="D129" s="156"/>
      <c r="E129" s="156"/>
      <c r="F129" s="156"/>
      <c r="G129" s="251">
        <v>2001</v>
      </c>
      <c r="H129" s="304">
        <v>99</v>
      </c>
      <c r="I129" s="305">
        <v>98</v>
      </c>
      <c r="J129" s="211" t="s">
        <v>522</v>
      </c>
      <c r="K129" s="234">
        <v>3</v>
      </c>
      <c r="L129" s="43"/>
    </row>
    <row r="130" spans="1:12" s="45" customFormat="1" ht="8.5500000000000007" customHeight="1" x14ac:dyDescent="0.2">
      <c r="A130" s="43"/>
      <c r="B130" s="158"/>
      <c r="C130" s="158"/>
      <c r="D130" s="158"/>
      <c r="E130" s="158"/>
      <c r="F130" s="158"/>
      <c r="G130" s="252"/>
      <c r="H130" s="303"/>
      <c r="I130" s="306"/>
      <c r="J130" s="168"/>
      <c r="K130" s="235"/>
      <c r="L130" s="43"/>
    </row>
    <row r="131" spans="1:12" s="45" customFormat="1" ht="8.5500000000000007" customHeight="1" x14ac:dyDescent="0.2">
      <c r="A131" s="43"/>
      <c r="B131" s="156" t="s">
        <v>519</v>
      </c>
      <c r="C131" s="156"/>
      <c r="D131" s="156"/>
      <c r="E131" s="156"/>
      <c r="F131" s="156"/>
      <c r="G131" s="251">
        <v>2002</v>
      </c>
      <c r="H131" s="304">
        <v>99</v>
      </c>
      <c r="I131" s="305">
        <v>93</v>
      </c>
      <c r="J131" s="211" t="s">
        <v>523</v>
      </c>
      <c r="K131" s="234">
        <v>4</v>
      </c>
      <c r="L131" s="43"/>
    </row>
    <row r="132" spans="1:12" s="45" customFormat="1" ht="8.5500000000000007" customHeight="1" x14ac:dyDescent="0.2">
      <c r="A132" s="43"/>
      <c r="B132" s="158"/>
      <c r="C132" s="158"/>
      <c r="D132" s="158"/>
      <c r="E132" s="158"/>
      <c r="F132" s="158"/>
      <c r="G132" s="252"/>
      <c r="H132" s="303"/>
      <c r="I132" s="306"/>
      <c r="J132" s="168"/>
      <c r="K132" s="235"/>
      <c r="L132" s="43"/>
    </row>
    <row r="133" spans="1:12" s="45" customFormat="1" ht="8.5500000000000007" customHeight="1" x14ac:dyDescent="0.2">
      <c r="A133" s="43"/>
      <c r="B133" s="156" t="s">
        <v>519</v>
      </c>
      <c r="C133" s="156"/>
      <c r="D133" s="156"/>
      <c r="E133" s="156"/>
      <c r="F133" s="156"/>
      <c r="G133" s="251">
        <v>2004</v>
      </c>
      <c r="H133" s="304" t="s">
        <v>630</v>
      </c>
      <c r="I133" s="305"/>
      <c r="J133" s="211"/>
      <c r="K133" s="234">
        <v>3</v>
      </c>
      <c r="L133" s="43"/>
    </row>
    <row r="134" spans="1:12" s="45" customFormat="1" ht="8.5500000000000007" customHeight="1" x14ac:dyDescent="0.2">
      <c r="A134" s="43"/>
      <c r="B134" s="158"/>
      <c r="C134" s="158"/>
      <c r="D134" s="158"/>
      <c r="E134" s="158"/>
      <c r="F134" s="158"/>
      <c r="G134" s="252"/>
      <c r="H134" s="303"/>
      <c r="I134" s="306"/>
      <c r="J134" s="168"/>
      <c r="K134" s="235"/>
      <c r="L134" s="43"/>
    </row>
    <row r="135" spans="1:12" s="45" customFormat="1" ht="8.5500000000000007" customHeight="1" x14ac:dyDescent="0.2">
      <c r="A135" s="43"/>
      <c r="B135" s="156" t="s">
        <v>519</v>
      </c>
      <c r="C135" s="156"/>
      <c r="D135" s="156"/>
      <c r="E135" s="156"/>
      <c r="F135" s="156"/>
      <c r="G135" s="251">
        <v>2005</v>
      </c>
      <c r="H135" s="304" t="s">
        <v>660</v>
      </c>
      <c r="I135" s="305">
        <v>95</v>
      </c>
      <c r="J135" s="211" t="s">
        <v>371</v>
      </c>
      <c r="K135" s="234">
        <v>1</v>
      </c>
      <c r="L135" s="43"/>
    </row>
    <row r="136" spans="1:12" s="45" customFormat="1" ht="8.5500000000000007" customHeight="1" x14ac:dyDescent="0.2">
      <c r="A136" s="43"/>
      <c r="B136" s="158"/>
      <c r="C136" s="158"/>
      <c r="D136" s="158"/>
      <c r="E136" s="158"/>
      <c r="F136" s="158"/>
      <c r="G136" s="252"/>
      <c r="H136" s="303"/>
      <c r="I136" s="306"/>
      <c r="J136" s="168"/>
      <c r="K136" s="235"/>
      <c r="L136" s="43"/>
    </row>
    <row r="137" spans="1:12" s="45" customFormat="1" ht="8.5500000000000007" customHeight="1" x14ac:dyDescent="0.2">
      <c r="A137" s="43"/>
      <c r="B137" s="156" t="s">
        <v>524</v>
      </c>
      <c r="C137" s="156"/>
      <c r="D137" s="156"/>
      <c r="E137" s="156"/>
      <c r="F137" s="156"/>
      <c r="G137" s="251">
        <v>2002</v>
      </c>
      <c r="H137" s="304">
        <v>98</v>
      </c>
      <c r="I137" s="305">
        <v>92</v>
      </c>
      <c r="J137" s="211" t="s">
        <v>521</v>
      </c>
      <c r="K137" s="234">
        <v>1</v>
      </c>
      <c r="L137" s="43"/>
    </row>
    <row r="138" spans="1:12" s="45" customFormat="1" ht="8.5500000000000007" customHeight="1" x14ac:dyDescent="0.2">
      <c r="A138" s="43"/>
      <c r="B138" s="158"/>
      <c r="C138" s="158"/>
      <c r="D138" s="158"/>
      <c r="E138" s="158"/>
      <c r="F138" s="158"/>
      <c r="G138" s="252"/>
      <c r="H138" s="303"/>
      <c r="I138" s="306"/>
      <c r="J138" s="168"/>
      <c r="K138" s="235"/>
      <c r="L138" s="43"/>
    </row>
    <row r="139" spans="1:12" s="45" customFormat="1" ht="8.5500000000000007" customHeight="1" x14ac:dyDescent="0.2">
      <c r="A139" s="43"/>
      <c r="B139" s="156" t="s">
        <v>524</v>
      </c>
      <c r="C139" s="156"/>
      <c r="D139" s="156"/>
      <c r="E139" s="156"/>
      <c r="F139" s="156"/>
      <c r="G139" s="251">
        <v>2004</v>
      </c>
      <c r="H139" s="304">
        <v>98</v>
      </c>
      <c r="I139" s="305"/>
      <c r="J139" s="211" t="s">
        <v>525</v>
      </c>
      <c r="K139" s="234">
        <v>1</v>
      </c>
      <c r="L139" s="43"/>
    </row>
    <row r="140" spans="1:12" s="45" customFormat="1" ht="8.5500000000000007" customHeight="1" x14ac:dyDescent="0.2">
      <c r="A140" s="43"/>
      <c r="B140" s="158"/>
      <c r="C140" s="158"/>
      <c r="D140" s="158"/>
      <c r="E140" s="158"/>
      <c r="F140" s="158"/>
      <c r="G140" s="252"/>
      <c r="H140" s="303"/>
      <c r="I140" s="306"/>
      <c r="J140" s="168"/>
      <c r="K140" s="235"/>
      <c r="L140" s="43"/>
    </row>
    <row r="141" spans="1:12" s="45" customFormat="1" ht="8.5500000000000007" customHeight="1" x14ac:dyDescent="0.2">
      <c r="A141" s="43"/>
      <c r="B141" s="156" t="s">
        <v>524</v>
      </c>
      <c r="C141" s="156"/>
      <c r="D141" s="156"/>
      <c r="E141" s="156"/>
      <c r="F141" s="156"/>
      <c r="G141" s="251">
        <v>2009</v>
      </c>
      <c r="H141" s="304">
        <v>98</v>
      </c>
      <c r="I141" s="305"/>
      <c r="J141" s="211"/>
      <c r="K141" s="234">
        <v>1</v>
      </c>
      <c r="L141" s="43"/>
    </row>
    <row r="142" spans="1:12" s="45" customFormat="1" ht="8.5500000000000007" customHeight="1" x14ac:dyDescent="0.2">
      <c r="A142" s="43"/>
      <c r="B142" s="158"/>
      <c r="C142" s="158"/>
      <c r="D142" s="158"/>
      <c r="E142" s="158"/>
      <c r="F142" s="158"/>
      <c r="G142" s="252"/>
      <c r="H142" s="303"/>
      <c r="I142" s="306"/>
      <c r="J142" s="168"/>
      <c r="K142" s="235"/>
      <c r="L142" s="43"/>
    </row>
    <row r="143" spans="1:12" s="45" customFormat="1" ht="8.5500000000000007" customHeight="1" x14ac:dyDescent="0.2">
      <c r="A143" s="43"/>
      <c r="B143" s="156" t="s">
        <v>526</v>
      </c>
      <c r="C143" s="156"/>
      <c r="D143" s="156"/>
      <c r="E143" s="156"/>
      <c r="F143" s="156"/>
      <c r="G143" s="251">
        <v>2005</v>
      </c>
      <c r="H143" s="304">
        <v>97</v>
      </c>
      <c r="I143" s="305">
        <v>91</v>
      </c>
      <c r="J143" s="211" t="s">
        <v>321</v>
      </c>
      <c r="K143" s="234">
        <v>2</v>
      </c>
      <c r="L143" s="43"/>
    </row>
    <row r="144" spans="1:12" s="45" customFormat="1" ht="8.5500000000000007" customHeight="1" x14ac:dyDescent="0.2">
      <c r="A144" s="43"/>
      <c r="B144" s="158"/>
      <c r="C144" s="158"/>
      <c r="D144" s="158"/>
      <c r="E144" s="158"/>
      <c r="F144" s="158"/>
      <c r="G144" s="252"/>
      <c r="H144" s="303"/>
      <c r="I144" s="306"/>
      <c r="J144" s="168"/>
      <c r="K144" s="235"/>
      <c r="L144" s="43"/>
    </row>
    <row r="145" spans="1:12" s="45" customFormat="1" ht="8.5500000000000007" customHeight="1" x14ac:dyDescent="0.2">
      <c r="A145" s="43"/>
      <c r="B145" s="156" t="s">
        <v>527</v>
      </c>
      <c r="C145" s="156"/>
      <c r="D145" s="156"/>
      <c r="E145" s="156"/>
      <c r="F145" s="156"/>
      <c r="G145" s="251">
        <v>2004</v>
      </c>
      <c r="H145" s="304">
        <v>97</v>
      </c>
      <c r="I145" s="305"/>
      <c r="J145" s="211"/>
      <c r="K145" s="234">
        <v>2</v>
      </c>
      <c r="L145" s="43"/>
    </row>
    <row r="146" spans="1:12" s="45" customFormat="1" ht="8.5500000000000007" customHeight="1" x14ac:dyDescent="0.2">
      <c r="A146" s="43"/>
      <c r="B146" s="158"/>
      <c r="C146" s="158"/>
      <c r="D146" s="158"/>
      <c r="E146" s="158"/>
      <c r="F146" s="158"/>
      <c r="G146" s="252"/>
      <c r="H146" s="303"/>
      <c r="I146" s="306"/>
      <c r="J146" s="168"/>
      <c r="K146" s="235"/>
      <c r="L146" s="43"/>
    </row>
    <row r="147" spans="1:12" s="45" customFormat="1" ht="8.5500000000000007" customHeight="1" x14ac:dyDescent="0.2">
      <c r="A147" s="43"/>
      <c r="B147" s="156" t="s">
        <v>527</v>
      </c>
      <c r="C147" s="156"/>
      <c r="D147" s="156"/>
      <c r="E147" s="156"/>
      <c r="F147" s="156"/>
      <c r="G147" s="251">
        <v>2005</v>
      </c>
      <c r="H147" s="304">
        <v>97</v>
      </c>
      <c r="I147" s="305">
        <v>92</v>
      </c>
      <c r="J147" s="211" t="s">
        <v>232</v>
      </c>
      <c r="K147" s="234">
        <v>1</v>
      </c>
      <c r="L147" s="43"/>
    </row>
    <row r="148" spans="1:12" s="45" customFormat="1" ht="8.5500000000000007" customHeight="1" x14ac:dyDescent="0.2">
      <c r="A148" s="43"/>
      <c r="B148" s="158"/>
      <c r="C148" s="158"/>
      <c r="D148" s="158"/>
      <c r="E148" s="158"/>
      <c r="F148" s="158"/>
      <c r="G148" s="252"/>
      <c r="H148" s="303"/>
      <c r="I148" s="306"/>
      <c r="J148" s="168"/>
      <c r="K148" s="235"/>
      <c r="L148" s="43"/>
    </row>
    <row r="149" spans="1:12" s="45" customFormat="1" ht="8.5500000000000007" customHeight="1" x14ac:dyDescent="0.2">
      <c r="A149" s="43"/>
      <c r="B149" s="156" t="s">
        <v>528</v>
      </c>
      <c r="C149" s="156"/>
      <c r="D149" s="156"/>
      <c r="E149" s="156"/>
      <c r="F149" s="156"/>
      <c r="G149" s="251">
        <v>1996</v>
      </c>
      <c r="H149" s="304">
        <v>97</v>
      </c>
      <c r="I149" s="305">
        <v>96</v>
      </c>
      <c r="J149" s="211" t="s">
        <v>371</v>
      </c>
      <c r="K149" s="234">
        <v>3</v>
      </c>
      <c r="L149" s="43"/>
    </row>
    <row r="150" spans="1:12" s="45" customFormat="1" ht="8.5500000000000007" customHeight="1" x14ac:dyDescent="0.2">
      <c r="A150" s="43"/>
      <c r="B150" s="158"/>
      <c r="C150" s="158"/>
      <c r="D150" s="158"/>
      <c r="E150" s="158"/>
      <c r="F150" s="158"/>
      <c r="G150" s="252"/>
      <c r="H150" s="303"/>
      <c r="I150" s="306"/>
      <c r="J150" s="168"/>
      <c r="K150" s="235"/>
      <c r="L150" s="43"/>
    </row>
    <row r="151" spans="1:12" s="45" customFormat="1" ht="8.5500000000000007" customHeight="1" x14ac:dyDescent="0.2">
      <c r="A151" s="43"/>
      <c r="B151" s="156" t="s">
        <v>528</v>
      </c>
      <c r="C151" s="156"/>
      <c r="D151" s="156"/>
      <c r="E151" s="156"/>
      <c r="F151" s="156"/>
      <c r="G151" s="251">
        <v>1998</v>
      </c>
      <c r="H151" s="304">
        <v>98</v>
      </c>
      <c r="I151" s="305">
        <v>95</v>
      </c>
      <c r="J151" s="211" t="s">
        <v>67</v>
      </c>
      <c r="K151" s="234">
        <v>3</v>
      </c>
      <c r="L151" s="43"/>
    </row>
    <row r="152" spans="1:12" s="45" customFormat="1" ht="8.5500000000000007" customHeight="1" x14ac:dyDescent="0.2">
      <c r="A152" s="43"/>
      <c r="B152" s="158"/>
      <c r="C152" s="158"/>
      <c r="D152" s="158"/>
      <c r="E152" s="158"/>
      <c r="F152" s="158"/>
      <c r="G152" s="252"/>
      <c r="H152" s="303"/>
      <c r="I152" s="306"/>
      <c r="J152" s="168"/>
      <c r="K152" s="235"/>
      <c r="L152" s="43"/>
    </row>
    <row r="153" spans="1:12" s="45" customFormat="1" ht="8.5500000000000007" customHeight="1" x14ac:dyDescent="0.2">
      <c r="A153" s="43"/>
      <c r="B153" s="156" t="s">
        <v>528</v>
      </c>
      <c r="C153" s="156"/>
      <c r="D153" s="156"/>
      <c r="E153" s="156"/>
      <c r="F153" s="156"/>
      <c r="G153" s="251">
        <v>2001</v>
      </c>
      <c r="H153" s="304">
        <v>99</v>
      </c>
      <c r="I153" s="305">
        <v>92</v>
      </c>
      <c r="J153" s="211" t="s">
        <v>47</v>
      </c>
      <c r="K153" s="234">
        <v>2</v>
      </c>
      <c r="L153" s="43"/>
    </row>
    <row r="154" spans="1:12" s="45" customFormat="1" ht="8.5500000000000007" customHeight="1" x14ac:dyDescent="0.2">
      <c r="A154" s="43"/>
      <c r="B154" s="158"/>
      <c r="C154" s="158"/>
      <c r="D154" s="158"/>
      <c r="E154" s="158"/>
      <c r="F154" s="158"/>
      <c r="G154" s="252"/>
      <c r="H154" s="303"/>
      <c r="I154" s="306"/>
      <c r="J154" s="168"/>
      <c r="K154" s="235"/>
      <c r="L154" s="43"/>
    </row>
    <row r="155" spans="1:12" s="45" customFormat="1" ht="8.5500000000000007" customHeight="1" x14ac:dyDescent="0.2">
      <c r="A155" s="43"/>
      <c r="B155" s="156" t="s">
        <v>528</v>
      </c>
      <c r="C155" s="156"/>
      <c r="D155" s="156"/>
      <c r="E155" s="156"/>
      <c r="F155" s="156"/>
      <c r="G155" s="307">
        <v>2002</v>
      </c>
      <c r="H155" s="372">
        <v>99</v>
      </c>
      <c r="I155" s="462">
        <v>95</v>
      </c>
      <c r="J155" s="211" t="s">
        <v>603</v>
      </c>
      <c r="K155" s="234">
        <v>3</v>
      </c>
      <c r="L155" s="43"/>
    </row>
    <row r="156" spans="1:12" s="45" customFormat="1" ht="8.5500000000000007" customHeight="1" x14ac:dyDescent="0.2">
      <c r="A156" s="43"/>
      <c r="B156" s="158"/>
      <c r="C156" s="158"/>
      <c r="D156" s="158"/>
      <c r="E156" s="158"/>
      <c r="F156" s="158"/>
      <c r="G156" s="307"/>
      <c r="H156" s="372"/>
      <c r="I156" s="462"/>
      <c r="J156" s="168"/>
      <c r="K156" s="235"/>
      <c r="L156" s="43"/>
    </row>
    <row r="157" spans="1:12" s="45" customFormat="1" ht="8.5500000000000007" customHeight="1" x14ac:dyDescent="0.2">
      <c r="A157" s="43"/>
      <c r="B157" s="156" t="s">
        <v>528</v>
      </c>
      <c r="C157" s="156"/>
      <c r="D157" s="156"/>
      <c r="E157" s="156"/>
      <c r="F157" s="156"/>
      <c r="G157" s="307">
        <v>2003</v>
      </c>
      <c r="H157" s="372">
        <v>99</v>
      </c>
      <c r="I157" s="462">
        <v>95</v>
      </c>
      <c r="J157" s="211" t="s">
        <v>604</v>
      </c>
      <c r="K157" s="234">
        <v>2</v>
      </c>
      <c r="L157" s="43"/>
    </row>
    <row r="158" spans="1:12" s="45" customFormat="1" ht="8.5500000000000007" customHeight="1" x14ac:dyDescent="0.2">
      <c r="A158" s="43"/>
      <c r="B158" s="158"/>
      <c r="C158" s="158"/>
      <c r="D158" s="158"/>
      <c r="E158" s="158"/>
      <c r="F158" s="158"/>
      <c r="G158" s="307"/>
      <c r="H158" s="372"/>
      <c r="I158" s="462"/>
      <c r="J158" s="168"/>
      <c r="K158" s="235"/>
      <c r="L158" s="43"/>
    </row>
    <row r="159" spans="1:12" s="45" customFormat="1" ht="8.5500000000000007" customHeight="1" x14ac:dyDescent="0.2">
      <c r="A159" s="43"/>
      <c r="B159" s="156" t="s">
        <v>528</v>
      </c>
      <c r="C159" s="156"/>
      <c r="D159" s="156"/>
      <c r="E159" s="156"/>
      <c r="F159" s="156"/>
      <c r="G159" s="307">
        <v>2005</v>
      </c>
      <c r="H159" s="372">
        <v>99</v>
      </c>
      <c r="I159" s="462"/>
      <c r="J159" s="211"/>
      <c r="K159" s="234">
        <v>2</v>
      </c>
      <c r="L159" s="43"/>
    </row>
    <row r="160" spans="1:12" s="45" customFormat="1" ht="8.5500000000000007" customHeight="1" x14ac:dyDescent="0.2">
      <c r="A160" s="43"/>
      <c r="B160" s="158"/>
      <c r="C160" s="158"/>
      <c r="D160" s="158"/>
      <c r="E160" s="158"/>
      <c r="F160" s="158"/>
      <c r="G160" s="307"/>
      <c r="H160" s="372"/>
      <c r="I160" s="462"/>
      <c r="J160" s="168"/>
      <c r="K160" s="235"/>
      <c r="L160" s="43"/>
    </row>
    <row r="161" spans="1:12" s="45" customFormat="1" ht="8.5500000000000007" customHeight="1" x14ac:dyDescent="0.2">
      <c r="A161" s="43"/>
      <c r="B161" s="156" t="s">
        <v>771</v>
      </c>
      <c r="C161" s="156"/>
      <c r="D161" s="156"/>
      <c r="E161" s="156"/>
      <c r="F161" s="156"/>
      <c r="G161" s="251">
        <v>1994</v>
      </c>
      <c r="H161" s="304">
        <v>98</v>
      </c>
      <c r="I161" s="305"/>
      <c r="J161" s="211" t="s">
        <v>769</v>
      </c>
      <c r="K161" s="234">
        <v>2</v>
      </c>
      <c r="L161" s="43"/>
    </row>
    <row r="162" spans="1:12" s="45" customFormat="1" ht="8.5500000000000007" customHeight="1" x14ac:dyDescent="0.2">
      <c r="A162" s="43"/>
      <c r="B162" s="158"/>
      <c r="C162" s="158"/>
      <c r="D162" s="158"/>
      <c r="E162" s="158"/>
      <c r="F162" s="158"/>
      <c r="G162" s="252"/>
      <c r="H162" s="303"/>
      <c r="I162" s="306"/>
      <c r="J162" s="168"/>
      <c r="K162" s="235"/>
      <c r="L162" s="43"/>
    </row>
    <row r="163" spans="1:12" s="45" customFormat="1" ht="8.5500000000000007" customHeight="1" x14ac:dyDescent="0.2">
      <c r="A163" s="43"/>
      <c r="B163" s="156" t="s">
        <v>771</v>
      </c>
      <c r="C163" s="156"/>
      <c r="D163" s="156"/>
      <c r="E163" s="156"/>
      <c r="F163" s="156"/>
      <c r="G163" s="251">
        <v>1996</v>
      </c>
      <c r="H163" s="304">
        <v>95</v>
      </c>
      <c r="I163" s="305"/>
      <c r="J163" s="211"/>
      <c r="K163" s="234">
        <v>2</v>
      </c>
      <c r="L163" s="43"/>
    </row>
    <row r="164" spans="1:12" s="45" customFormat="1" ht="8.5500000000000007" customHeight="1" x14ac:dyDescent="0.2">
      <c r="A164" s="43"/>
      <c r="B164" s="158"/>
      <c r="C164" s="158"/>
      <c r="D164" s="158"/>
      <c r="E164" s="158"/>
      <c r="F164" s="158"/>
      <c r="G164" s="252"/>
      <c r="H164" s="303"/>
      <c r="I164" s="306"/>
      <c r="J164" s="168"/>
      <c r="K164" s="235"/>
      <c r="L164" s="43"/>
    </row>
    <row r="165" spans="1:12" s="45" customFormat="1" ht="8.5500000000000007" customHeight="1" x14ac:dyDescent="0.2">
      <c r="A165" s="43"/>
      <c r="B165" s="156" t="s">
        <v>733</v>
      </c>
      <c r="C165" s="156"/>
      <c r="D165" s="156"/>
      <c r="E165" s="156"/>
      <c r="F165" s="156"/>
      <c r="G165" s="251">
        <v>1997</v>
      </c>
      <c r="H165" s="304">
        <v>95</v>
      </c>
      <c r="I165" s="305"/>
      <c r="J165" s="211" t="s">
        <v>600</v>
      </c>
      <c r="K165" s="234">
        <v>2</v>
      </c>
      <c r="L165" s="43"/>
    </row>
    <row r="166" spans="1:12" s="45" customFormat="1" ht="8.5500000000000007" customHeight="1" x14ac:dyDescent="0.2">
      <c r="A166" s="43"/>
      <c r="B166" s="158"/>
      <c r="C166" s="158"/>
      <c r="D166" s="158"/>
      <c r="E166" s="158"/>
      <c r="F166" s="158"/>
      <c r="G166" s="252"/>
      <c r="H166" s="303"/>
      <c r="I166" s="306"/>
      <c r="J166" s="168"/>
      <c r="K166" s="235"/>
      <c r="L166" s="43"/>
    </row>
    <row r="167" spans="1:12" s="45" customFormat="1" ht="8.5500000000000007" customHeight="1" x14ac:dyDescent="0.2">
      <c r="A167" s="43"/>
      <c r="B167" s="156" t="s">
        <v>772</v>
      </c>
      <c r="C167" s="156"/>
      <c r="D167" s="156"/>
      <c r="E167" s="156"/>
      <c r="F167" s="156"/>
      <c r="G167" s="251">
        <v>1998</v>
      </c>
      <c r="H167" s="304">
        <v>96</v>
      </c>
      <c r="I167" s="305"/>
      <c r="J167" s="211" t="s">
        <v>600</v>
      </c>
      <c r="K167" s="234">
        <v>2</v>
      </c>
      <c r="L167" s="43"/>
    </row>
    <row r="168" spans="1:12" s="45" customFormat="1" ht="8.5500000000000007" customHeight="1" x14ac:dyDescent="0.2">
      <c r="A168" s="43"/>
      <c r="B168" s="158"/>
      <c r="C168" s="158"/>
      <c r="D168" s="158"/>
      <c r="E168" s="158"/>
      <c r="F168" s="158"/>
      <c r="G168" s="252"/>
      <c r="H168" s="303"/>
      <c r="I168" s="306"/>
      <c r="J168" s="168"/>
      <c r="K168" s="235"/>
      <c r="L168" s="43"/>
    </row>
    <row r="169" spans="1:12" s="45" customFormat="1" ht="8.5500000000000007" customHeight="1" x14ac:dyDescent="0.2">
      <c r="A169" s="43"/>
      <c r="B169" s="156" t="s">
        <v>732</v>
      </c>
      <c r="C169" s="156"/>
      <c r="D169" s="156"/>
      <c r="E169" s="156"/>
      <c r="F169" s="156"/>
      <c r="G169" s="251">
        <v>2001</v>
      </c>
      <c r="H169" s="304">
        <v>96</v>
      </c>
      <c r="I169" s="305"/>
      <c r="J169" s="211" t="s">
        <v>770</v>
      </c>
      <c r="K169" s="234">
        <v>1</v>
      </c>
      <c r="L169" s="43"/>
    </row>
    <row r="170" spans="1:12" s="45" customFormat="1" ht="8.5500000000000007" customHeight="1" x14ac:dyDescent="0.2">
      <c r="A170" s="43"/>
      <c r="B170" s="158"/>
      <c r="C170" s="158"/>
      <c r="D170" s="158"/>
      <c r="E170" s="158"/>
      <c r="F170" s="158"/>
      <c r="G170" s="252"/>
      <c r="H170" s="303"/>
      <c r="I170" s="306"/>
      <c r="J170" s="168"/>
      <c r="K170" s="235"/>
      <c r="L170" s="43"/>
    </row>
    <row r="171" spans="1:12" s="45" customFormat="1" ht="8.5500000000000007" customHeight="1" x14ac:dyDescent="0.2">
      <c r="A171" s="43"/>
      <c r="B171" s="156" t="s">
        <v>853</v>
      </c>
      <c r="C171" s="156"/>
      <c r="D171" s="156"/>
      <c r="E171" s="156"/>
      <c r="F171" s="156"/>
      <c r="G171" s="251">
        <v>2003</v>
      </c>
      <c r="H171" s="167" t="s">
        <v>927</v>
      </c>
      <c r="I171" s="160"/>
      <c r="J171" s="160"/>
      <c r="K171" s="234">
        <v>2</v>
      </c>
      <c r="L171" s="43"/>
    </row>
    <row r="172" spans="1:12" s="45" customFormat="1" ht="8.5500000000000007" customHeight="1" x14ac:dyDescent="0.2">
      <c r="A172" s="43"/>
      <c r="B172" s="158"/>
      <c r="C172" s="158"/>
      <c r="D172" s="158"/>
      <c r="E172" s="158"/>
      <c r="F172" s="158"/>
      <c r="G172" s="252"/>
      <c r="H172" s="168"/>
      <c r="I172" s="161"/>
      <c r="J172" s="161"/>
      <c r="K172" s="235"/>
      <c r="L172" s="43"/>
    </row>
    <row r="173" spans="1:12" s="45" customFormat="1" ht="8.5500000000000007" customHeight="1" x14ac:dyDescent="0.2">
      <c r="A173" s="43"/>
      <c r="B173" s="156" t="s">
        <v>749</v>
      </c>
      <c r="C173" s="156"/>
      <c r="D173" s="156"/>
      <c r="E173" s="156"/>
      <c r="F173" s="156"/>
      <c r="G173" s="251">
        <v>2003</v>
      </c>
      <c r="H173" s="304">
        <v>98</v>
      </c>
      <c r="I173" s="305"/>
      <c r="J173" s="211" t="s">
        <v>224</v>
      </c>
      <c r="K173" s="234">
        <v>3</v>
      </c>
      <c r="L173" s="43"/>
    </row>
    <row r="174" spans="1:12" s="45" customFormat="1" ht="8.5500000000000007" customHeight="1" x14ac:dyDescent="0.2">
      <c r="A174" s="43"/>
      <c r="B174" s="158"/>
      <c r="C174" s="158"/>
      <c r="D174" s="158"/>
      <c r="E174" s="158"/>
      <c r="F174" s="158"/>
      <c r="G174" s="252"/>
      <c r="H174" s="303"/>
      <c r="I174" s="306"/>
      <c r="J174" s="168"/>
      <c r="K174" s="235"/>
      <c r="L174" s="43"/>
    </row>
    <row r="175" spans="1:12" s="45" customFormat="1" ht="8.5500000000000007" customHeight="1" x14ac:dyDescent="0.2">
      <c r="A175" s="43"/>
      <c r="B175" s="156" t="s">
        <v>754</v>
      </c>
      <c r="C175" s="156"/>
      <c r="D175" s="156"/>
      <c r="E175" s="156"/>
      <c r="F175" s="156"/>
      <c r="G175" s="251">
        <v>2004</v>
      </c>
      <c r="H175" s="304">
        <v>98</v>
      </c>
      <c r="I175" s="305"/>
      <c r="J175" s="211" t="s">
        <v>363</v>
      </c>
      <c r="K175" s="234">
        <v>1</v>
      </c>
      <c r="L175" s="43"/>
    </row>
    <row r="176" spans="1:12" s="45" customFormat="1" ht="8.5500000000000007" customHeight="1" x14ac:dyDescent="0.2">
      <c r="A176" s="43"/>
      <c r="B176" s="158"/>
      <c r="C176" s="158"/>
      <c r="D176" s="158"/>
      <c r="E176" s="158"/>
      <c r="F176" s="158"/>
      <c r="G176" s="252"/>
      <c r="H176" s="303"/>
      <c r="I176" s="306"/>
      <c r="J176" s="168"/>
      <c r="K176" s="235"/>
      <c r="L176" s="43"/>
    </row>
    <row r="177" spans="1:12" s="45" customFormat="1" ht="8.5500000000000007" customHeight="1" x14ac:dyDescent="0.2">
      <c r="A177" s="43"/>
      <c r="B177" s="156" t="s">
        <v>1481</v>
      </c>
      <c r="C177" s="156"/>
      <c r="D177" s="156"/>
      <c r="E177" s="156"/>
      <c r="F177" s="156"/>
      <c r="G177" s="251">
        <v>2004</v>
      </c>
      <c r="H177" s="304">
        <v>96</v>
      </c>
      <c r="I177" s="305"/>
      <c r="J177" s="211"/>
      <c r="K177" s="234">
        <v>1</v>
      </c>
      <c r="L177" s="43"/>
    </row>
    <row r="178" spans="1:12" s="45" customFormat="1" ht="8.5500000000000007" customHeight="1" x14ac:dyDescent="0.2">
      <c r="A178" s="43"/>
      <c r="B178" s="158"/>
      <c r="C178" s="158"/>
      <c r="D178" s="158"/>
      <c r="E178" s="158"/>
      <c r="F178" s="158"/>
      <c r="G178" s="252"/>
      <c r="H178" s="303"/>
      <c r="I178" s="306"/>
      <c r="J178" s="168"/>
      <c r="K178" s="235"/>
      <c r="L178" s="43"/>
    </row>
    <row r="179" spans="1:12" s="45" customFormat="1" ht="8.5500000000000007" customHeight="1" x14ac:dyDescent="0.2">
      <c r="A179" s="43"/>
      <c r="B179" s="156" t="s">
        <v>199</v>
      </c>
      <c r="C179" s="156"/>
      <c r="D179" s="156"/>
      <c r="E179" s="156"/>
      <c r="F179" s="156"/>
      <c r="G179" s="251">
        <v>2006</v>
      </c>
      <c r="H179" s="304">
        <v>95</v>
      </c>
      <c r="I179" s="305">
        <v>88</v>
      </c>
      <c r="J179" s="211" t="s">
        <v>372</v>
      </c>
      <c r="K179" s="234">
        <v>1</v>
      </c>
      <c r="L179" s="43"/>
    </row>
    <row r="180" spans="1:12" s="45" customFormat="1" ht="8.5500000000000007" customHeight="1" x14ac:dyDescent="0.2">
      <c r="A180" s="43"/>
      <c r="B180" s="158"/>
      <c r="C180" s="158"/>
      <c r="D180" s="158"/>
      <c r="E180" s="158"/>
      <c r="F180" s="158"/>
      <c r="G180" s="252"/>
      <c r="H180" s="303"/>
      <c r="I180" s="306"/>
      <c r="J180" s="168"/>
      <c r="K180" s="235"/>
      <c r="L180" s="43"/>
    </row>
    <row r="181" spans="1:12" s="45" customFormat="1" ht="8.5500000000000007" customHeight="1" x14ac:dyDescent="0.2">
      <c r="A181" s="43"/>
      <c r="B181" s="156" t="s">
        <v>200</v>
      </c>
      <c r="C181" s="156"/>
      <c r="D181" s="156"/>
      <c r="E181" s="156"/>
      <c r="F181" s="156"/>
      <c r="G181" s="251">
        <v>2006</v>
      </c>
      <c r="H181" s="304" t="s">
        <v>625</v>
      </c>
      <c r="I181" s="305">
        <v>90</v>
      </c>
      <c r="J181" s="211" t="s">
        <v>248</v>
      </c>
      <c r="K181" s="234">
        <v>1</v>
      </c>
      <c r="L181" s="43"/>
    </row>
    <row r="182" spans="1:12" s="45" customFormat="1" ht="8.5500000000000007" customHeight="1" x14ac:dyDescent="0.2">
      <c r="A182" s="43"/>
      <c r="B182" s="158"/>
      <c r="C182" s="158"/>
      <c r="D182" s="158"/>
      <c r="E182" s="158"/>
      <c r="F182" s="158"/>
      <c r="G182" s="252"/>
      <c r="H182" s="303"/>
      <c r="I182" s="306"/>
      <c r="J182" s="168"/>
      <c r="K182" s="235"/>
      <c r="L182" s="43"/>
    </row>
    <row r="183" spans="1:12" s="45" customFormat="1" ht="8.5500000000000007" customHeight="1" x14ac:dyDescent="0.2">
      <c r="A183" s="43"/>
      <c r="B183" s="156" t="s">
        <v>201</v>
      </c>
      <c r="C183" s="156"/>
      <c r="D183" s="156"/>
      <c r="E183" s="156"/>
      <c r="F183" s="156"/>
      <c r="G183" s="251">
        <v>2006</v>
      </c>
      <c r="H183" s="304">
        <v>94</v>
      </c>
      <c r="I183" s="305">
        <v>91</v>
      </c>
      <c r="J183" s="211" t="s">
        <v>529</v>
      </c>
      <c r="K183" s="234">
        <v>1</v>
      </c>
      <c r="L183" s="43"/>
    </row>
    <row r="184" spans="1:12" s="45" customFormat="1" ht="8.5500000000000007" customHeight="1" x14ac:dyDescent="0.2">
      <c r="A184" s="43"/>
      <c r="B184" s="158"/>
      <c r="C184" s="158"/>
      <c r="D184" s="158"/>
      <c r="E184" s="158"/>
      <c r="F184" s="158"/>
      <c r="G184" s="252"/>
      <c r="H184" s="303"/>
      <c r="I184" s="306"/>
      <c r="J184" s="168"/>
      <c r="K184" s="235"/>
      <c r="L184" s="43"/>
    </row>
    <row r="185" spans="1:12" s="45" customFormat="1" ht="8.5500000000000007" customHeight="1" x14ac:dyDescent="0.2">
      <c r="A185" s="43"/>
      <c r="B185" s="156" t="s">
        <v>201</v>
      </c>
      <c r="C185" s="156"/>
      <c r="D185" s="156"/>
      <c r="E185" s="156"/>
      <c r="F185" s="156"/>
      <c r="G185" s="251">
        <v>2008</v>
      </c>
      <c r="H185" s="304">
        <v>95</v>
      </c>
      <c r="I185" s="305"/>
      <c r="J185" s="211" t="s">
        <v>530</v>
      </c>
      <c r="K185" s="234">
        <v>1</v>
      </c>
      <c r="L185" s="43"/>
    </row>
    <row r="186" spans="1:12" s="45" customFormat="1" ht="8.5500000000000007" customHeight="1" x14ac:dyDescent="0.2">
      <c r="A186" s="43"/>
      <c r="B186" s="158"/>
      <c r="C186" s="158"/>
      <c r="D186" s="158"/>
      <c r="E186" s="158"/>
      <c r="F186" s="158"/>
      <c r="G186" s="252"/>
      <c r="H186" s="303"/>
      <c r="I186" s="306"/>
      <c r="J186" s="168"/>
      <c r="K186" s="235"/>
      <c r="L186" s="43"/>
    </row>
    <row r="187" spans="1:12" s="45" customFormat="1" ht="8.5500000000000007" customHeight="1" x14ac:dyDescent="0.2">
      <c r="A187" s="43"/>
      <c r="B187" s="401" t="s">
        <v>404</v>
      </c>
      <c r="C187" s="156"/>
      <c r="D187" s="156"/>
      <c r="E187" s="156"/>
      <c r="F187" s="156"/>
      <c r="G187" s="484">
        <v>2006</v>
      </c>
      <c r="H187" s="304" t="s">
        <v>638</v>
      </c>
      <c r="I187" s="305"/>
      <c r="J187" s="211" t="s">
        <v>305</v>
      </c>
      <c r="K187" s="234">
        <v>1</v>
      </c>
      <c r="L187" s="43"/>
    </row>
    <row r="188" spans="1:12" s="45" customFormat="1" ht="8.5500000000000007" customHeight="1" x14ac:dyDescent="0.2">
      <c r="A188" s="43"/>
      <c r="B188" s="158"/>
      <c r="C188" s="158"/>
      <c r="D188" s="158"/>
      <c r="E188" s="158"/>
      <c r="F188" s="158"/>
      <c r="G188" s="484"/>
      <c r="H188" s="303"/>
      <c r="I188" s="306"/>
      <c r="J188" s="168"/>
      <c r="K188" s="235"/>
      <c r="L188" s="43"/>
    </row>
    <row r="189" spans="1:12" s="45" customFormat="1" ht="8.5500000000000007" customHeight="1" x14ac:dyDescent="0.2">
      <c r="A189" s="43"/>
      <c r="B189" s="401" t="s">
        <v>1156</v>
      </c>
      <c r="C189" s="156"/>
      <c r="D189" s="156"/>
      <c r="E189" s="156"/>
      <c r="F189" s="156"/>
      <c r="G189" s="484">
        <v>2008</v>
      </c>
      <c r="H189" s="304">
        <v>94</v>
      </c>
      <c r="I189" s="305"/>
      <c r="J189" s="211"/>
      <c r="K189" s="234">
        <v>1</v>
      </c>
      <c r="L189" s="43"/>
    </row>
    <row r="190" spans="1:12" s="45" customFormat="1" ht="8.5500000000000007" customHeight="1" x14ac:dyDescent="0.2">
      <c r="A190" s="43"/>
      <c r="B190" s="158"/>
      <c r="C190" s="158"/>
      <c r="D190" s="158"/>
      <c r="E190" s="158"/>
      <c r="F190" s="158"/>
      <c r="G190" s="484"/>
      <c r="H190" s="303"/>
      <c r="I190" s="306"/>
      <c r="J190" s="168"/>
      <c r="K190" s="235"/>
      <c r="L190" s="43"/>
    </row>
    <row r="191" spans="1:12" s="45" customFormat="1" ht="8.5500000000000007" customHeight="1" x14ac:dyDescent="0.2">
      <c r="A191" s="43"/>
      <c r="B191" s="401" t="s">
        <v>1415</v>
      </c>
      <c r="C191" s="156"/>
      <c r="D191" s="156"/>
      <c r="E191" s="156"/>
      <c r="F191" s="156"/>
      <c r="G191" s="484">
        <v>2017</v>
      </c>
      <c r="H191" s="304">
        <v>89</v>
      </c>
      <c r="I191" s="305"/>
      <c r="J191" s="211"/>
      <c r="K191" s="234">
        <v>1</v>
      </c>
      <c r="L191" s="43"/>
    </row>
    <row r="192" spans="1:12" s="45" customFormat="1" ht="8.5500000000000007" customHeight="1" x14ac:dyDescent="0.2">
      <c r="A192" s="43"/>
      <c r="B192" s="158"/>
      <c r="C192" s="158"/>
      <c r="D192" s="158"/>
      <c r="E192" s="158"/>
      <c r="F192" s="158"/>
      <c r="G192" s="484"/>
      <c r="H192" s="303"/>
      <c r="I192" s="306"/>
      <c r="J192" s="168"/>
      <c r="K192" s="235"/>
      <c r="L192" s="43"/>
    </row>
    <row r="193" spans="1:12" s="45" customFormat="1" ht="8.5500000000000007" customHeight="1" x14ac:dyDescent="0.2">
      <c r="A193" s="43"/>
      <c r="B193" s="463" t="s">
        <v>1732</v>
      </c>
      <c r="C193" s="464"/>
      <c r="D193" s="464"/>
      <c r="E193" s="464"/>
      <c r="F193" s="464"/>
      <c r="G193" s="307">
        <v>2006</v>
      </c>
      <c r="H193" s="372">
        <v>95</v>
      </c>
      <c r="I193" s="462"/>
      <c r="J193" s="162" t="s">
        <v>264</v>
      </c>
      <c r="K193" s="164">
        <v>2</v>
      </c>
      <c r="L193" s="43"/>
    </row>
    <row r="194" spans="1:12" s="45" customFormat="1" ht="8.5500000000000007" customHeight="1" x14ac:dyDescent="0.2">
      <c r="A194" s="43"/>
      <c r="B194" s="463"/>
      <c r="C194" s="464"/>
      <c r="D194" s="464"/>
      <c r="E194" s="464"/>
      <c r="F194" s="464"/>
      <c r="G194" s="307"/>
      <c r="H194" s="372"/>
      <c r="I194" s="462"/>
      <c r="J194" s="163"/>
      <c r="K194" s="165"/>
      <c r="L194" s="43"/>
    </row>
    <row r="195" spans="1:12" s="45" customFormat="1" ht="8.5500000000000007" customHeight="1" x14ac:dyDescent="0.2">
      <c r="A195" s="43"/>
      <c r="B195" s="463" t="s">
        <v>1706</v>
      </c>
      <c r="C195" s="464"/>
      <c r="D195" s="464"/>
      <c r="E195" s="464"/>
      <c r="F195" s="464"/>
      <c r="G195" s="307">
        <v>2010</v>
      </c>
      <c r="H195" s="372" t="s">
        <v>620</v>
      </c>
      <c r="I195" s="462"/>
      <c r="J195" s="162"/>
      <c r="K195" s="164">
        <v>1</v>
      </c>
      <c r="L195" s="43"/>
    </row>
    <row r="196" spans="1:12" s="45" customFormat="1" ht="8.5500000000000007" customHeight="1" x14ac:dyDescent="0.2">
      <c r="A196" s="43"/>
      <c r="B196" s="463"/>
      <c r="C196" s="464"/>
      <c r="D196" s="464"/>
      <c r="E196" s="464"/>
      <c r="F196" s="464"/>
      <c r="G196" s="307"/>
      <c r="H196" s="372"/>
      <c r="I196" s="462"/>
      <c r="J196" s="163"/>
      <c r="K196" s="165"/>
      <c r="L196" s="43"/>
    </row>
    <row r="197" spans="1:12" s="45" customFormat="1" ht="8.5500000000000007" customHeight="1" x14ac:dyDescent="0.2">
      <c r="A197" s="43"/>
      <c r="B197" s="401" t="s">
        <v>1416</v>
      </c>
      <c r="C197" s="156"/>
      <c r="D197" s="156"/>
      <c r="E197" s="156"/>
      <c r="F197" s="156"/>
      <c r="G197" s="484">
        <v>2018</v>
      </c>
      <c r="H197" s="304"/>
      <c r="I197" s="305"/>
      <c r="J197" s="211"/>
      <c r="K197" s="234">
        <v>1</v>
      </c>
      <c r="L197" s="43"/>
    </row>
    <row r="198" spans="1:12" s="45" customFormat="1" ht="8.5500000000000007" customHeight="1" x14ac:dyDescent="0.2">
      <c r="A198" s="43"/>
      <c r="B198" s="158"/>
      <c r="C198" s="158"/>
      <c r="D198" s="158"/>
      <c r="E198" s="158"/>
      <c r="F198" s="158"/>
      <c r="G198" s="484"/>
      <c r="H198" s="303"/>
      <c r="I198" s="306"/>
      <c r="J198" s="168"/>
      <c r="K198" s="235"/>
      <c r="L198" s="43"/>
    </row>
    <row r="199" spans="1:12" s="45" customFormat="1" ht="8.5500000000000007" customHeight="1" x14ac:dyDescent="0.2">
      <c r="A199" s="43"/>
      <c r="B199" s="170" t="s">
        <v>808</v>
      </c>
      <c r="C199" s="170"/>
      <c r="D199" s="170"/>
      <c r="E199" s="170"/>
      <c r="F199" s="170"/>
      <c r="G199" s="47"/>
      <c r="H199" s="47"/>
      <c r="I199" s="48"/>
      <c r="J199" s="48"/>
      <c r="K199" s="224">
        <v>190</v>
      </c>
      <c r="L199" s="43"/>
    </row>
    <row r="200" spans="1:12" s="45" customFormat="1" ht="8.5500000000000007" customHeight="1" x14ac:dyDescent="0.2">
      <c r="A200" s="43"/>
      <c r="B200" s="171"/>
      <c r="C200" s="171"/>
      <c r="D200" s="171"/>
      <c r="E200" s="171"/>
      <c r="F200" s="171"/>
      <c r="G200" s="54"/>
      <c r="H200" s="54"/>
      <c r="I200" s="49"/>
      <c r="J200" s="49"/>
      <c r="K200" s="225"/>
      <c r="L200" s="43"/>
    </row>
    <row r="201" spans="1:12" ht="12.75" customHeight="1" x14ac:dyDescent="0.25">
      <c r="B201" s="361"/>
      <c r="C201" s="355"/>
      <c r="D201" s="355"/>
      <c r="E201" s="355"/>
      <c r="F201" s="355"/>
      <c r="G201" s="352"/>
      <c r="H201" s="375"/>
      <c r="I201" s="26"/>
      <c r="J201" s="377"/>
      <c r="K201" s="350"/>
    </row>
    <row r="202" spans="1:12" x14ac:dyDescent="0.25">
      <c r="B202" s="356"/>
      <c r="C202" s="356"/>
      <c r="D202" s="356"/>
      <c r="E202" s="356"/>
      <c r="F202" s="356"/>
      <c r="G202" s="353"/>
      <c r="H202" s="376"/>
      <c r="I202" s="27"/>
      <c r="J202" s="376"/>
      <c r="K202" s="351"/>
    </row>
    <row r="203" spans="1:12" ht="12.75" customHeight="1" x14ac:dyDescent="0.25">
      <c r="B203" s="361"/>
      <c r="C203" s="355"/>
      <c r="D203" s="355"/>
      <c r="E203" s="355"/>
      <c r="F203" s="355"/>
      <c r="G203" s="352"/>
      <c r="H203" s="375"/>
      <c r="I203" s="26"/>
      <c r="J203" s="377"/>
      <c r="K203" s="350"/>
    </row>
    <row r="204" spans="1:12" x14ac:dyDescent="0.25">
      <c r="B204" s="356"/>
      <c r="C204" s="356"/>
      <c r="D204" s="356"/>
      <c r="E204" s="356"/>
      <c r="F204" s="356"/>
      <c r="G204" s="353"/>
      <c r="H204" s="376"/>
      <c r="I204" s="27"/>
      <c r="J204" s="376"/>
      <c r="K204" s="351"/>
    </row>
    <row r="205" spans="1:12" ht="12.75" customHeight="1" x14ac:dyDescent="0.25">
      <c r="B205" s="361"/>
      <c r="C205" s="355"/>
      <c r="D205" s="355"/>
      <c r="E205" s="355"/>
      <c r="F205" s="355"/>
      <c r="G205" s="352"/>
      <c r="H205" s="375"/>
      <c r="I205" s="26"/>
      <c r="J205" s="377"/>
      <c r="K205" s="350"/>
    </row>
    <row r="206" spans="1:12" x14ac:dyDescent="0.25">
      <c r="B206" s="356"/>
      <c r="C206" s="356"/>
      <c r="D206" s="356"/>
      <c r="E206" s="356"/>
      <c r="F206" s="356"/>
      <c r="G206" s="353"/>
      <c r="H206" s="376"/>
      <c r="I206" s="27"/>
      <c r="J206" s="376"/>
      <c r="K206" s="351"/>
    </row>
    <row r="207" spans="1:12" ht="12.75" customHeight="1" x14ac:dyDescent="0.25">
      <c r="B207" s="361"/>
      <c r="C207" s="355"/>
      <c r="D207" s="355"/>
      <c r="E207" s="355"/>
      <c r="F207" s="355"/>
      <c r="G207" s="352"/>
      <c r="H207" s="375"/>
      <c r="I207" s="26"/>
      <c r="J207" s="377"/>
      <c r="K207" s="38"/>
    </row>
    <row r="208" spans="1:12" x14ac:dyDescent="0.25">
      <c r="B208" s="356"/>
      <c r="C208" s="356"/>
      <c r="D208" s="356"/>
      <c r="E208" s="356"/>
      <c r="F208" s="356"/>
      <c r="G208" s="353"/>
      <c r="H208" s="376"/>
      <c r="I208" s="27"/>
      <c r="J208" s="376"/>
      <c r="K208" s="39"/>
    </row>
  </sheetData>
  <autoFilter ref="A3:L208" xr:uid="{00000000-0009-0000-0000-00001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592">
    <mergeCell ref="K121:K122"/>
    <mergeCell ref="K127:K128"/>
    <mergeCell ref="K129:K130"/>
    <mergeCell ref="J131:J132"/>
    <mergeCell ref="K131:K132"/>
    <mergeCell ref="B125:F126"/>
    <mergeCell ref="H125:H126"/>
    <mergeCell ref="H129:H130"/>
    <mergeCell ref="I131:I132"/>
    <mergeCell ref="K123:K124"/>
    <mergeCell ref="J125:J126"/>
    <mergeCell ref="J127:J128"/>
    <mergeCell ref="J121:J122"/>
    <mergeCell ref="K125:K126"/>
    <mergeCell ref="I121:I122"/>
    <mergeCell ref="J139:J140"/>
    <mergeCell ref="J145:J146"/>
    <mergeCell ref="J151:J152"/>
    <mergeCell ref="K147:K148"/>
    <mergeCell ref="K135:K136"/>
    <mergeCell ref="B123:F124"/>
    <mergeCell ref="B127:F128"/>
    <mergeCell ref="B129:F130"/>
    <mergeCell ref="I129:I130"/>
    <mergeCell ref="G127:G128"/>
    <mergeCell ref="H131:H132"/>
    <mergeCell ref="B133:F134"/>
    <mergeCell ref="H133:H134"/>
    <mergeCell ref="I133:I134"/>
    <mergeCell ref="G149:G150"/>
    <mergeCell ref="J123:J124"/>
    <mergeCell ref="I143:I144"/>
    <mergeCell ref="I147:I148"/>
    <mergeCell ref="I123:I124"/>
    <mergeCell ref="I125:I126"/>
    <mergeCell ref="H149:H150"/>
    <mergeCell ref="G137:G138"/>
    <mergeCell ref="J143:J144"/>
    <mergeCell ref="J147:J148"/>
    <mergeCell ref="I145:I146"/>
    <mergeCell ref="J141:J142"/>
    <mergeCell ref="I139:I140"/>
    <mergeCell ref="I127:I128"/>
    <mergeCell ref="G131:G132"/>
    <mergeCell ref="G129:G130"/>
    <mergeCell ref="G125:G126"/>
    <mergeCell ref="H123:H124"/>
    <mergeCell ref="H135:H136"/>
    <mergeCell ref="I135:I136"/>
    <mergeCell ref="G133:G134"/>
    <mergeCell ref="J135:J136"/>
    <mergeCell ref="J133:J134"/>
    <mergeCell ref="J137:J138"/>
    <mergeCell ref="G135:G136"/>
    <mergeCell ref="H121:H122"/>
    <mergeCell ref="I155:I156"/>
    <mergeCell ref="H151:H152"/>
    <mergeCell ref="I159:I160"/>
    <mergeCell ref="I157:I158"/>
    <mergeCell ref="B137:F138"/>
    <mergeCell ref="B139:F140"/>
    <mergeCell ref="H137:H138"/>
    <mergeCell ref="G143:G144"/>
    <mergeCell ref="H141:H142"/>
    <mergeCell ref="B147:F148"/>
    <mergeCell ref="B149:F150"/>
    <mergeCell ref="B151:F152"/>
    <mergeCell ref="G147:G148"/>
    <mergeCell ref="G155:G156"/>
    <mergeCell ref="I149:I150"/>
    <mergeCell ref="H147:H148"/>
    <mergeCell ref="B135:F136"/>
    <mergeCell ref="G139:G140"/>
    <mergeCell ref="G145:G146"/>
    <mergeCell ref="H145:H146"/>
    <mergeCell ref="B143:F144"/>
    <mergeCell ref="B141:F142"/>
    <mergeCell ref="G141:G142"/>
    <mergeCell ref="H139:H140"/>
    <mergeCell ref="H143:H144"/>
    <mergeCell ref="B145:F146"/>
    <mergeCell ref="K163:K164"/>
    <mergeCell ref="K171:K172"/>
    <mergeCell ref="J177:J178"/>
    <mergeCell ref="J153:J154"/>
    <mergeCell ref="B161:F162"/>
    <mergeCell ref="I151:I152"/>
    <mergeCell ref="I161:I162"/>
    <mergeCell ref="I167:I168"/>
    <mergeCell ref="I175:I176"/>
    <mergeCell ref="J169:J170"/>
    <mergeCell ref="I173:I174"/>
    <mergeCell ref="I165:I166"/>
    <mergeCell ref="I163:I164"/>
    <mergeCell ref="J173:J174"/>
    <mergeCell ref="I171:I172"/>
    <mergeCell ref="J159:J160"/>
    <mergeCell ref="B153:F154"/>
    <mergeCell ref="B157:F158"/>
    <mergeCell ref="G171:G172"/>
    <mergeCell ref="B165:F166"/>
    <mergeCell ref="G151:G152"/>
    <mergeCell ref="G165:G166"/>
    <mergeCell ref="G161:G162"/>
    <mergeCell ref="H155:H156"/>
    <mergeCell ref="H157:H158"/>
    <mergeCell ref="H153:H154"/>
    <mergeCell ref="B159:F160"/>
    <mergeCell ref="J161:J162"/>
    <mergeCell ref="J171:J172"/>
    <mergeCell ref="J167:J168"/>
    <mergeCell ref="J163:J164"/>
    <mergeCell ref="J155:J156"/>
    <mergeCell ref="I153:I154"/>
    <mergeCell ref="H161:H162"/>
    <mergeCell ref="H159:H160"/>
    <mergeCell ref="G153:G154"/>
    <mergeCell ref="B171:F172"/>
    <mergeCell ref="B155:F156"/>
    <mergeCell ref="B177:F178"/>
    <mergeCell ref="B175:F176"/>
    <mergeCell ref="G175:G176"/>
    <mergeCell ref="G167:G168"/>
    <mergeCell ref="B169:F170"/>
    <mergeCell ref="B167:F168"/>
    <mergeCell ref="G157:G158"/>
    <mergeCell ref="B163:F164"/>
    <mergeCell ref="H177:H178"/>
    <mergeCell ref="H165:H166"/>
    <mergeCell ref="H169:H170"/>
    <mergeCell ref="H171:H172"/>
    <mergeCell ref="I185:I186"/>
    <mergeCell ref="B183:F184"/>
    <mergeCell ref="G177:G178"/>
    <mergeCell ref="J183:J184"/>
    <mergeCell ref="B207:F208"/>
    <mergeCell ref="J207:J208"/>
    <mergeCell ref="G207:G208"/>
    <mergeCell ref="G205:G206"/>
    <mergeCell ref="B205:F206"/>
    <mergeCell ref="H207:H208"/>
    <mergeCell ref="B199:F200"/>
    <mergeCell ref="H205:H206"/>
    <mergeCell ref="B201:F202"/>
    <mergeCell ref="B203:F204"/>
    <mergeCell ref="H201:H202"/>
    <mergeCell ref="G203:G204"/>
    <mergeCell ref="H203:H204"/>
    <mergeCell ref="J203:J204"/>
    <mergeCell ref="G201:G202"/>
    <mergeCell ref="J205:J206"/>
    <mergeCell ref="B179:F180"/>
    <mergeCell ref="G179:G180"/>
    <mergeCell ref="B181:F182"/>
    <mergeCell ref="G181:G182"/>
    <mergeCell ref="K205:K206"/>
    <mergeCell ref="K201:K202"/>
    <mergeCell ref="K199:K200"/>
    <mergeCell ref="K203:K204"/>
    <mergeCell ref="K197:K198"/>
    <mergeCell ref="J189:J190"/>
    <mergeCell ref="K189:K190"/>
    <mergeCell ref="B197:F198"/>
    <mergeCell ref="B191:F192"/>
    <mergeCell ref="G191:G192"/>
    <mergeCell ref="H191:H192"/>
    <mergeCell ref="I197:I198"/>
    <mergeCell ref="G197:G198"/>
    <mergeCell ref="H197:H198"/>
    <mergeCell ref="J197:J198"/>
    <mergeCell ref="I191:I192"/>
    <mergeCell ref="B195:F196"/>
    <mergeCell ref="G195:G196"/>
    <mergeCell ref="H195:H196"/>
    <mergeCell ref="I195:I196"/>
    <mergeCell ref="B193:F194"/>
    <mergeCell ref="G193:G194"/>
    <mergeCell ref="H193:H194"/>
    <mergeCell ref="I193:I194"/>
    <mergeCell ref="B185:F186"/>
    <mergeCell ref="G169:G170"/>
    <mergeCell ref="I189:I190"/>
    <mergeCell ref="K187:K188"/>
    <mergeCell ref="K191:K192"/>
    <mergeCell ref="J201:J202"/>
    <mergeCell ref="J187:J188"/>
    <mergeCell ref="J195:J196"/>
    <mergeCell ref="K195:K196"/>
    <mergeCell ref="J193:J194"/>
    <mergeCell ref="K193:K194"/>
    <mergeCell ref="J191:J192"/>
    <mergeCell ref="B187:F188"/>
    <mergeCell ref="G187:G188"/>
    <mergeCell ref="B173:F174"/>
    <mergeCell ref="I187:I188"/>
    <mergeCell ref="J185:J186"/>
    <mergeCell ref="H187:H188"/>
    <mergeCell ref="H173:H174"/>
    <mergeCell ref="I177:I178"/>
    <mergeCell ref="H183:H184"/>
    <mergeCell ref="H179:H180"/>
    <mergeCell ref="H181:H182"/>
    <mergeCell ref="H175:H176"/>
    <mergeCell ref="K117:K118"/>
    <mergeCell ref="I117:I118"/>
    <mergeCell ref="J181:J182"/>
    <mergeCell ref="B189:F190"/>
    <mergeCell ref="G189:G190"/>
    <mergeCell ref="H189:H190"/>
    <mergeCell ref="G183:G184"/>
    <mergeCell ref="K159:K160"/>
    <mergeCell ref="G185:G186"/>
    <mergeCell ref="H185:H186"/>
    <mergeCell ref="H167:H168"/>
    <mergeCell ref="J165:J166"/>
    <mergeCell ref="G163:G164"/>
    <mergeCell ref="H163:H164"/>
    <mergeCell ref="G159:G160"/>
    <mergeCell ref="G173:G174"/>
    <mergeCell ref="K179:K180"/>
    <mergeCell ref="K183:K184"/>
    <mergeCell ref="K181:K182"/>
    <mergeCell ref="K177:K178"/>
    <mergeCell ref="K165:K166"/>
    <mergeCell ref="K173:K174"/>
    <mergeCell ref="J179:J180"/>
    <mergeCell ref="J175:J176"/>
    <mergeCell ref="I119:I120"/>
    <mergeCell ref="K119:K120"/>
    <mergeCell ref="K175:K176"/>
    <mergeCell ref="K169:K170"/>
    <mergeCell ref="J149:J150"/>
    <mergeCell ref="J157:J158"/>
    <mergeCell ref="I183:I184"/>
    <mergeCell ref="K167:K168"/>
    <mergeCell ref="K161:K162"/>
    <mergeCell ref="I179:I180"/>
    <mergeCell ref="I181:I182"/>
    <mergeCell ref="K157:K158"/>
    <mergeCell ref="I141:I142"/>
    <mergeCell ref="I137:I138"/>
    <mergeCell ref="K155:K156"/>
    <mergeCell ref="K149:K150"/>
    <mergeCell ref="K151:K152"/>
    <mergeCell ref="K153:K154"/>
    <mergeCell ref="K133:K134"/>
    <mergeCell ref="K143:K144"/>
    <mergeCell ref="K145:K146"/>
    <mergeCell ref="K141:K142"/>
    <mergeCell ref="K137:K138"/>
    <mergeCell ref="K139:K140"/>
    <mergeCell ref="J57:J58"/>
    <mergeCell ref="J59:J60"/>
    <mergeCell ref="K45:K46"/>
    <mergeCell ref="K51:K52"/>
    <mergeCell ref="K35:K36"/>
    <mergeCell ref="K39:K40"/>
    <mergeCell ref="K49:K50"/>
    <mergeCell ref="K43:K44"/>
    <mergeCell ref="K55:K56"/>
    <mergeCell ref="K53:K54"/>
    <mergeCell ref="K47:K48"/>
    <mergeCell ref="J45:J46"/>
    <mergeCell ref="J47:J48"/>
    <mergeCell ref="J49:J50"/>
    <mergeCell ref="J55:J56"/>
    <mergeCell ref="B41:F42"/>
    <mergeCell ref="G41:G42"/>
    <mergeCell ref="H41:H42"/>
    <mergeCell ref="G47:G48"/>
    <mergeCell ref="H33:H34"/>
    <mergeCell ref="G39:G40"/>
    <mergeCell ref="G35:G36"/>
    <mergeCell ref="H35:H36"/>
    <mergeCell ref="H39:H40"/>
    <mergeCell ref="B35:F36"/>
    <mergeCell ref="B39:F40"/>
    <mergeCell ref="G37:G38"/>
    <mergeCell ref="H37:H38"/>
    <mergeCell ref="B37:F38"/>
    <mergeCell ref="B33:F34"/>
    <mergeCell ref="G33:G34"/>
    <mergeCell ref="I41:I42"/>
    <mergeCell ref="G65:G66"/>
    <mergeCell ref="H65:H66"/>
    <mergeCell ref="G43:G44"/>
    <mergeCell ref="G45:G46"/>
    <mergeCell ref="G59:G60"/>
    <mergeCell ref="B49:F50"/>
    <mergeCell ref="G51:G52"/>
    <mergeCell ref="G55:G56"/>
    <mergeCell ref="H55:H56"/>
    <mergeCell ref="B43:F44"/>
    <mergeCell ref="H61:H62"/>
    <mergeCell ref="B45:F46"/>
    <mergeCell ref="B59:F60"/>
    <mergeCell ref="B61:F62"/>
    <mergeCell ref="B57:F58"/>
    <mergeCell ref="B51:F52"/>
    <mergeCell ref="B63:F64"/>
    <mergeCell ref="G61:G62"/>
    <mergeCell ref="G57:G58"/>
    <mergeCell ref="G49:G50"/>
    <mergeCell ref="B53:F54"/>
    <mergeCell ref="B55:F56"/>
    <mergeCell ref="B47:F48"/>
    <mergeCell ref="B101:F102"/>
    <mergeCell ref="B105:F106"/>
    <mergeCell ref="B67:F68"/>
    <mergeCell ref="B79:F80"/>
    <mergeCell ref="B93:F94"/>
    <mergeCell ref="B97:F98"/>
    <mergeCell ref="B91:F92"/>
    <mergeCell ref="B65:F66"/>
    <mergeCell ref="G91:G92"/>
    <mergeCell ref="G101:G102"/>
    <mergeCell ref="G105:G106"/>
    <mergeCell ref="G99:G100"/>
    <mergeCell ref="G89:G90"/>
    <mergeCell ref="G79:G80"/>
    <mergeCell ref="G93:G94"/>
    <mergeCell ref="G83:G84"/>
    <mergeCell ref="G87:G88"/>
    <mergeCell ref="G63:G64"/>
    <mergeCell ref="K109:K110"/>
    <mergeCell ref="K85:K86"/>
    <mergeCell ref="B115:F116"/>
    <mergeCell ref="B111:F112"/>
    <mergeCell ref="B75:F76"/>
    <mergeCell ref="B89:F90"/>
    <mergeCell ref="B85:F86"/>
    <mergeCell ref="B95:F96"/>
    <mergeCell ref="B71:F72"/>
    <mergeCell ref="B81:F82"/>
    <mergeCell ref="B73:F74"/>
    <mergeCell ref="B87:F88"/>
    <mergeCell ref="B83:F84"/>
    <mergeCell ref="B77:F78"/>
    <mergeCell ref="B99:F100"/>
    <mergeCell ref="B69:F70"/>
    <mergeCell ref="K67:K68"/>
    <mergeCell ref="J101:J102"/>
    <mergeCell ref="J67:J68"/>
    <mergeCell ref="J85:J86"/>
    <mergeCell ref="J71:J72"/>
    <mergeCell ref="G97:G98"/>
    <mergeCell ref="K79:K80"/>
    <mergeCell ref="C3:J5"/>
    <mergeCell ref="I31:I32"/>
    <mergeCell ref="B31:F32"/>
    <mergeCell ref="B11:F12"/>
    <mergeCell ref="B23:F24"/>
    <mergeCell ref="G23:G24"/>
    <mergeCell ref="H23:H24"/>
    <mergeCell ref="J13:J14"/>
    <mergeCell ref="B15:F16"/>
    <mergeCell ref="J11:J12"/>
    <mergeCell ref="J15:J16"/>
    <mergeCell ref="I15:I16"/>
    <mergeCell ref="D6:J7"/>
    <mergeCell ref="I25:I26"/>
    <mergeCell ref="B27:F28"/>
    <mergeCell ref="J31:J32"/>
    <mergeCell ref="J21:J22"/>
    <mergeCell ref="J23:J24"/>
    <mergeCell ref="J29:J30"/>
    <mergeCell ref="I29:I30"/>
    <mergeCell ref="G31:G32"/>
    <mergeCell ref="H31:H32"/>
    <mergeCell ref="K9:K10"/>
    <mergeCell ref="B9:F10"/>
    <mergeCell ref="K17:K18"/>
    <mergeCell ref="J17:J18"/>
    <mergeCell ref="G11:G12"/>
    <mergeCell ref="H11:H12"/>
    <mergeCell ref="I11:I12"/>
    <mergeCell ref="K11:K12"/>
    <mergeCell ref="K13:K14"/>
    <mergeCell ref="K15:K16"/>
    <mergeCell ref="I13:I14"/>
    <mergeCell ref="G15:G16"/>
    <mergeCell ref="H15:H16"/>
    <mergeCell ref="G13:G14"/>
    <mergeCell ref="B13:F14"/>
    <mergeCell ref="G9:G10"/>
    <mergeCell ref="H9:H10"/>
    <mergeCell ref="I9:I10"/>
    <mergeCell ref="H13:H14"/>
    <mergeCell ref="H17:H18"/>
    <mergeCell ref="B17:F18"/>
    <mergeCell ref="I17:I18"/>
    <mergeCell ref="G17:G18"/>
    <mergeCell ref="H25:H26"/>
    <mergeCell ref="B29:F30"/>
    <mergeCell ref="G29:G30"/>
    <mergeCell ref="H29:H30"/>
    <mergeCell ref="H27:H28"/>
    <mergeCell ref="B19:F20"/>
    <mergeCell ref="G19:G20"/>
    <mergeCell ref="H19:H20"/>
    <mergeCell ref="I19:I20"/>
    <mergeCell ref="G27:G28"/>
    <mergeCell ref="G25:G26"/>
    <mergeCell ref="B21:F22"/>
    <mergeCell ref="G21:G22"/>
    <mergeCell ref="H21:H22"/>
    <mergeCell ref="I21:I22"/>
    <mergeCell ref="B25:F26"/>
    <mergeCell ref="I23:I24"/>
    <mergeCell ref="I27:I28"/>
    <mergeCell ref="I89:I90"/>
    <mergeCell ref="K77:K78"/>
    <mergeCell ref="K81:K82"/>
    <mergeCell ref="K105:K106"/>
    <mergeCell ref="K103:K104"/>
    <mergeCell ref="K107:K108"/>
    <mergeCell ref="K115:K116"/>
    <mergeCell ref="K87:K88"/>
    <mergeCell ref="J91:J92"/>
    <mergeCell ref="J99:J100"/>
    <mergeCell ref="J93:J94"/>
    <mergeCell ref="K89:K90"/>
    <mergeCell ref="J89:J90"/>
    <mergeCell ref="J107:J108"/>
    <mergeCell ref="K93:K94"/>
    <mergeCell ref="J115:J116"/>
    <mergeCell ref="J95:J96"/>
    <mergeCell ref="K99:K100"/>
    <mergeCell ref="J113:J114"/>
    <mergeCell ref="J111:J112"/>
    <mergeCell ref="K83:K84"/>
    <mergeCell ref="K113:K114"/>
    <mergeCell ref="K61:K62"/>
    <mergeCell ref="K63:K64"/>
    <mergeCell ref="K69:K70"/>
    <mergeCell ref="K65:K66"/>
    <mergeCell ref="J75:J76"/>
    <mergeCell ref="K71:K72"/>
    <mergeCell ref="J109:J110"/>
    <mergeCell ref="J87:J88"/>
    <mergeCell ref="K75:K76"/>
    <mergeCell ref="J83:J84"/>
    <mergeCell ref="K73:K74"/>
    <mergeCell ref="I105:I106"/>
    <mergeCell ref="I97:I98"/>
    <mergeCell ref="I91:I92"/>
    <mergeCell ref="I99:I100"/>
    <mergeCell ref="K111:K112"/>
    <mergeCell ref="K91:K92"/>
    <mergeCell ref="J103:J104"/>
    <mergeCell ref="K97:K98"/>
    <mergeCell ref="K95:K96"/>
    <mergeCell ref="K101:K102"/>
    <mergeCell ref="I103:I104"/>
    <mergeCell ref="I93:I94"/>
    <mergeCell ref="H43:H44"/>
    <mergeCell ref="H73:H74"/>
    <mergeCell ref="H63:H64"/>
    <mergeCell ref="H75:H76"/>
    <mergeCell ref="H57:H58"/>
    <mergeCell ref="I57:I58"/>
    <mergeCell ref="H51:H52"/>
    <mergeCell ref="H49:H50"/>
    <mergeCell ref="H45:H46"/>
    <mergeCell ref="H47:H48"/>
    <mergeCell ref="I47:I48"/>
    <mergeCell ref="I45:I46"/>
    <mergeCell ref="H71:H72"/>
    <mergeCell ref="I69:I70"/>
    <mergeCell ref="I49:I50"/>
    <mergeCell ref="I55:I56"/>
    <mergeCell ref="I59:I60"/>
    <mergeCell ref="H113:H114"/>
    <mergeCell ref="H105:H106"/>
    <mergeCell ref="I101:I102"/>
    <mergeCell ref="H59:H60"/>
    <mergeCell ref="I79:I80"/>
    <mergeCell ref="H77:H78"/>
    <mergeCell ref="I71:I72"/>
    <mergeCell ref="I81:I82"/>
    <mergeCell ref="H83:H84"/>
    <mergeCell ref="I83:I84"/>
    <mergeCell ref="H85:H86"/>
    <mergeCell ref="H93:H94"/>
    <mergeCell ref="H89:H90"/>
    <mergeCell ref="H69:H70"/>
    <mergeCell ref="I85:I86"/>
    <mergeCell ref="I87:I88"/>
    <mergeCell ref="I63:I64"/>
    <mergeCell ref="H111:H112"/>
    <mergeCell ref="H103:H104"/>
    <mergeCell ref="H109:H110"/>
    <mergeCell ref="H97:H98"/>
    <mergeCell ref="H107:H108"/>
    <mergeCell ref="H101:H102"/>
    <mergeCell ref="H99:H100"/>
    <mergeCell ref="K19:K20"/>
    <mergeCell ref="J25:J26"/>
    <mergeCell ref="K25:K26"/>
    <mergeCell ref="I43:I44"/>
    <mergeCell ref="J41:J42"/>
    <mergeCell ref="J43:J44"/>
    <mergeCell ref="I37:I38"/>
    <mergeCell ref="K21:K22"/>
    <mergeCell ref="J37:J38"/>
    <mergeCell ref="K37:K38"/>
    <mergeCell ref="J35:J36"/>
    <mergeCell ref="J39:J40"/>
    <mergeCell ref="K29:K30"/>
    <mergeCell ref="K23:K24"/>
    <mergeCell ref="K31:K32"/>
    <mergeCell ref="J19:J20"/>
    <mergeCell ref="J33:J34"/>
    <mergeCell ref="J27:J28"/>
    <mergeCell ref="K33:K34"/>
    <mergeCell ref="K27:K28"/>
    <mergeCell ref="K41:K42"/>
    <mergeCell ref="I33:I34"/>
    <mergeCell ref="I35:I36"/>
    <mergeCell ref="I39:I40"/>
    <mergeCell ref="K185:K186"/>
    <mergeCell ref="I169:I170"/>
    <mergeCell ref="K59:K60"/>
    <mergeCell ref="K57:K58"/>
    <mergeCell ref="J129:J130"/>
    <mergeCell ref="J119:J120"/>
    <mergeCell ref="J117:J118"/>
    <mergeCell ref="I113:I114"/>
    <mergeCell ref="I77:I78"/>
    <mergeCell ref="I73:I74"/>
    <mergeCell ref="I75:I76"/>
    <mergeCell ref="I61:I62"/>
    <mergeCell ref="J61:J62"/>
    <mergeCell ref="I95:I96"/>
    <mergeCell ref="J105:J106"/>
    <mergeCell ref="J97:J98"/>
    <mergeCell ref="J69:J70"/>
    <mergeCell ref="J73:J74"/>
    <mergeCell ref="J63:J64"/>
    <mergeCell ref="I109:I110"/>
    <mergeCell ref="J77:J78"/>
    <mergeCell ref="J79:J80"/>
    <mergeCell ref="I111:I112"/>
    <mergeCell ref="I107:I108"/>
    <mergeCell ref="H115:H116"/>
    <mergeCell ref="H117:H118"/>
    <mergeCell ref="H119:H120"/>
    <mergeCell ref="G123:G124"/>
    <mergeCell ref="H67:H68"/>
    <mergeCell ref="G77:G78"/>
    <mergeCell ref="J65:J66"/>
    <mergeCell ref="I67:I68"/>
    <mergeCell ref="I65:I66"/>
    <mergeCell ref="J81:J82"/>
    <mergeCell ref="G95:G96"/>
    <mergeCell ref="H95:H96"/>
    <mergeCell ref="H91:H92"/>
    <mergeCell ref="G85:G86"/>
    <mergeCell ref="G71:G72"/>
    <mergeCell ref="G81:G82"/>
    <mergeCell ref="H81:H82"/>
    <mergeCell ref="G67:G68"/>
    <mergeCell ref="H79:H80"/>
    <mergeCell ref="G69:G70"/>
    <mergeCell ref="G73:G74"/>
    <mergeCell ref="H87:H88"/>
    <mergeCell ref="G75:G76"/>
    <mergeCell ref="I115:I116"/>
    <mergeCell ref="B121:F122"/>
    <mergeCell ref="G121:G122"/>
    <mergeCell ref="B131:F132"/>
    <mergeCell ref="H127:H128"/>
    <mergeCell ref="I51:I52"/>
    <mergeCell ref="G53:G54"/>
    <mergeCell ref="H53:H54"/>
    <mergeCell ref="I53:I54"/>
    <mergeCell ref="J53:J54"/>
    <mergeCell ref="J51:J52"/>
    <mergeCell ref="B113:F114"/>
    <mergeCell ref="G103:G104"/>
    <mergeCell ref="G113:G114"/>
    <mergeCell ref="G111:G112"/>
    <mergeCell ref="B117:F118"/>
    <mergeCell ref="B119:F120"/>
    <mergeCell ref="B107:F108"/>
    <mergeCell ref="G109:G110"/>
    <mergeCell ref="B109:F110"/>
    <mergeCell ref="B103:F104"/>
    <mergeCell ref="G107:G108"/>
    <mergeCell ref="G115:G116"/>
    <mergeCell ref="G117:G118"/>
    <mergeCell ref="G119:G120"/>
  </mergeCells>
  <phoneticPr fontId="0" type="noConversion"/>
  <printOptions horizontalCentered="1"/>
  <pageMargins left="0" right="0" top="0.51181102362204722" bottom="0.23622047244094491" header="0" footer="0"/>
  <pageSetup paperSize="9" scale="95" fitToWidth="0" fitToHeight="0" orientation="portrait" r:id="rId1"/>
  <headerFooter alignWithMargins="0">
    <oddFooter>&amp;L&amp;D&amp;R&amp;P/&amp;N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HeadingPairs>
  <TitlesOfParts>
    <vt:vector size="48" baseType="lpstr">
      <vt:lpstr>Res.</vt:lpstr>
      <vt:lpstr>T. Fr</vt:lpstr>
      <vt:lpstr>T.Fr. B.</vt:lpstr>
      <vt:lpstr>T.Fr.R.</vt:lpstr>
      <vt:lpstr>B. Fr</vt:lpstr>
      <vt:lpstr>B.Fr.B.</vt:lpstr>
      <vt:lpstr>B.Fr.R.</vt:lpstr>
      <vt:lpstr>T. It</vt:lpstr>
      <vt:lpstr>B. It</vt:lpstr>
      <vt:lpstr>T. Es</vt:lpstr>
      <vt:lpstr>B. Es</vt:lpstr>
      <vt:lpstr>T. Pt</vt:lpstr>
      <vt:lpstr>B. Pt</vt:lpstr>
      <vt:lpstr>T. US</vt:lpstr>
      <vt:lpstr>B. US</vt:lpstr>
      <vt:lpstr>T. Aust</vt:lpstr>
      <vt:lpstr>'B. Es'!Print_Area</vt:lpstr>
      <vt:lpstr>'B. Fr'!Print_Area</vt:lpstr>
      <vt:lpstr>'B. It'!Print_Area</vt:lpstr>
      <vt:lpstr>'B. Pt'!Print_Area</vt:lpstr>
      <vt:lpstr>'B. US'!Print_Area</vt:lpstr>
      <vt:lpstr>B.Fr.B.!Print_Area</vt:lpstr>
      <vt:lpstr>B.Fr.R.!Print_Area</vt:lpstr>
      <vt:lpstr>Res.!Print_Area</vt:lpstr>
      <vt:lpstr>'T. Aust'!Print_Area</vt:lpstr>
      <vt:lpstr>'T. Es'!Print_Area</vt:lpstr>
      <vt:lpstr>'T. Fr'!Print_Area</vt:lpstr>
      <vt:lpstr>'T. It'!Print_Area</vt:lpstr>
      <vt:lpstr>'T. Pt'!Print_Area</vt:lpstr>
      <vt:lpstr>'T. US'!Print_Area</vt:lpstr>
      <vt:lpstr>'T.Fr. B.'!Print_Area</vt:lpstr>
      <vt:lpstr>T.Fr.R.!Print_Area</vt:lpstr>
      <vt:lpstr>'B. Es'!Print_Titles</vt:lpstr>
      <vt:lpstr>'B. Fr'!Print_Titles</vt:lpstr>
      <vt:lpstr>'B. It'!Print_Titles</vt:lpstr>
      <vt:lpstr>'B. Pt'!Print_Titles</vt:lpstr>
      <vt:lpstr>'B. US'!Print_Titles</vt:lpstr>
      <vt:lpstr>B.Fr.B.!Print_Titles</vt:lpstr>
      <vt:lpstr>B.Fr.R.!Print_Titles</vt:lpstr>
      <vt:lpstr>Res.!Print_Titles</vt:lpstr>
      <vt:lpstr>'T. Aust'!Print_Titles</vt:lpstr>
      <vt:lpstr>'T. Es'!Print_Titles</vt:lpstr>
      <vt:lpstr>'T. Fr'!Print_Titles</vt:lpstr>
      <vt:lpstr>'T. It'!Print_Titles</vt:lpstr>
      <vt:lpstr>'T. Pt'!Print_Titles</vt:lpstr>
      <vt:lpstr>'T. US'!Print_Titles</vt:lpstr>
      <vt:lpstr>'T.Fr. B.'!Print_Titles</vt:lpstr>
      <vt:lpstr>T.Fr.R.!Print_Titles</vt:lpstr>
    </vt:vector>
  </TitlesOfParts>
  <Company>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Antônio</dc:creator>
  <cp:lastModifiedBy>Luciano Carvalho</cp:lastModifiedBy>
  <cp:lastPrinted>2026-01-14T19:20:52Z</cp:lastPrinted>
  <dcterms:created xsi:type="dcterms:W3CDTF">2005-02-05T12:40:45Z</dcterms:created>
  <dcterms:modified xsi:type="dcterms:W3CDTF">2026-01-31T20:38:36Z</dcterms:modified>
</cp:coreProperties>
</file>